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imperiallondon-my.sharepoint.com/personal/cw1013_ic_ac_uk/Documents/Publications/2025/TSE-UAM literature review/R1/"/>
    </mc:Choice>
  </mc:AlternateContent>
  <xr:revisionPtr revIDLastSave="1" documentId="13_ncr:1_{D9C603FA-DCC2-4672-9235-7FB1915060A1}" xr6:coauthVersionLast="47" xr6:coauthVersionMax="47" xr10:uidLastSave="{A4E283DE-3D54-4693-BB58-B30B90240547}"/>
  <bookViews>
    <workbookView xWindow="-120" yWindow="-120" windowWidth="30960" windowHeight="16800" activeTab="1" xr2:uid="{00000000-000D-0000-FFFF-FFFF00000000}"/>
  </bookViews>
  <sheets>
    <sheet name="Note" sheetId="16" r:id="rId1"/>
    <sheet name="Statistics" sheetId="1" r:id="rId2"/>
    <sheet name="Statistics_helper" sheetId="14" r:id="rId3"/>
    <sheet name="Access time" sheetId="2" r:id="rId4"/>
    <sheet name="Cost" sheetId="3" r:id="rId5"/>
    <sheet name="Cost calculation" sheetId="15" r:id="rId6"/>
    <sheet name="Cost_statistic" sheetId="4" r:id="rId7"/>
    <sheet name="Vertiport number" sheetId="5" r:id="rId8"/>
    <sheet name="Vertiport number (population si" sheetId="6" r:id="rId9"/>
    <sheet name="Vertiport number (area size)" sheetId="7" r:id="rId10"/>
    <sheet name="Time spent at vertiports" sheetId="8" r:id="rId11"/>
    <sheet name="Speed_statistic" sheetId="9" r:id="rId12"/>
    <sheet name="Speed" sheetId="10" r:id="rId13"/>
    <sheet name="Capacity" sheetId="11" r:id="rId14"/>
    <sheet name="Altitude" sheetId="12" r:id="rId15"/>
    <sheet name="Range" sheetId="13"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2" i="15" l="1"/>
  <c r="P12" i="15"/>
  <c r="R12" i="15" s="1"/>
  <c r="T12" i="15" s="1"/>
  <c r="V12" i="15" s="1"/>
  <c r="Q11" i="15"/>
  <c r="S11" i="15" s="1"/>
  <c r="U11" i="15" s="1"/>
  <c r="P11" i="15"/>
  <c r="R11" i="15" s="1"/>
  <c r="T11" i="15" s="1"/>
  <c r="V11" i="15" s="1"/>
  <c r="Q10" i="15"/>
  <c r="S10" i="15" s="1"/>
  <c r="U10" i="15" s="1"/>
  <c r="P10" i="15"/>
  <c r="R10" i="15" s="1"/>
  <c r="T10" i="15" s="1"/>
  <c r="V10" i="15" s="1"/>
  <c r="Q9" i="15"/>
  <c r="P9" i="15"/>
  <c r="Q8" i="15"/>
  <c r="S8" i="15" s="1"/>
  <c r="U8" i="15" s="1"/>
  <c r="P8" i="15"/>
  <c r="R8" i="15" s="1"/>
  <c r="T8" i="15" s="1"/>
  <c r="V8" i="15" s="1"/>
  <c r="Q7" i="15"/>
  <c r="P7" i="15"/>
  <c r="Q6" i="15"/>
  <c r="P6" i="15"/>
  <c r="Q5" i="15"/>
  <c r="P5" i="15"/>
  <c r="Q4" i="15"/>
  <c r="P4" i="15"/>
  <c r="P57" i="15"/>
  <c r="P56" i="15"/>
  <c r="P55" i="15"/>
  <c r="P54" i="15"/>
  <c r="P53" i="15"/>
  <c r="P52" i="15"/>
  <c r="P51" i="15"/>
  <c r="M51" i="15"/>
  <c r="O51" i="15" s="1"/>
  <c r="P50" i="15"/>
  <c r="P49" i="15"/>
  <c r="P48" i="15"/>
  <c r="P47" i="15"/>
  <c r="AE42" i="15"/>
  <c r="N42" i="15"/>
  <c r="M42" i="15"/>
  <c r="K42" i="15"/>
  <c r="X42" i="15" s="1"/>
  <c r="L42" i="15"/>
  <c r="AE41" i="15"/>
  <c r="N41" i="15"/>
  <c r="M41" i="15"/>
  <c r="K41" i="15"/>
  <c r="L41" i="15"/>
  <c r="AE40" i="15"/>
  <c r="N40" i="15"/>
  <c r="M40" i="15"/>
  <c r="K40" i="15"/>
  <c r="L40" i="15"/>
  <c r="AE39" i="15"/>
  <c r="N39" i="15"/>
  <c r="M39" i="15"/>
  <c r="K39" i="15"/>
  <c r="L39" i="15"/>
  <c r="AE38" i="15"/>
  <c r="P38" i="15"/>
  <c r="N38" i="15"/>
  <c r="M38" i="15"/>
  <c r="K38" i="15"/>
  <c r="L38" i="15"/>
  <c r="X38" i="15" s="1"/>
  <c r="AE37" i="15"/>
  <c r="N37" i="15"/>
  <c r="M37" i="15"/>
  <c r="K37" i="15"/>
  <c r="L37" i="15"/>
  <c r="AE36" i="15"/>
  <c r="N36" i="15"/>
  <c r="M36" i="15"/>
  <c r="K36" i="15"/>
  <c r="L36" i="15"/>
  <c r="AE35" i="15"/>
  <c r="N35" i="15"/>
  <c r="M35" i="15"/>
  <c r="K35" i="15"/>
  <c r="X35" i="15" s="1"/>
  <c r="L35" i="15"/>
  <c r="AE34" i="15"/>
  <c r="N34" i="15"/>
  <c r="M34" i="15"/>
  <c r="K34" i="15"/>
  <c r="L34" i="15"/>
  <c r="AE33" i="15"/>
  <c r="N33" i="15"/>
  <c r="M33" i="15"/>
  <c r="K33" i="15"/>
  <c r="L33" i="15"/>
  <c r="AE32" i="15"/>
  <c r="N32" i="15"/>
  <c r="M32" i="15"/>
  <c r="K32" i="15"/>
  <c r="V32" i="15" s="1"/>
  <c r="L32" i="15"/>
  <c r="AE31" i="15"/>
  <c r="N31" i="15"/>
  <c r="M31" i="15"/>
  <c r="K31" i="15"/>
  <c r="P31" i="15" s="1"/>
  <c r="L31" i="15"/>
  <c r="X31" i="15" s="1"/>
  <c r="AE30" i="15"/>
  <c r="N30" i="15"/>
  <c r="M30" i="15"/>
  <c r="K30" i="15"/>
  <c r="L30" i="15"/>
  <c r="AE29" i="15"/>
  <c r="N29" i="15"/>
  <c r="M29" i="15"/>
  <c r="K29" i="15"/>
  <c r="L29" i="15"/>
  <c r="AE28" i="15"/>
  <c r="N28" i="15"/>
  <c r="M28" i="15"/>
  <c r="K28" i="15"/>
  <c r="X28" i="15" s="1"/>
  <c r="L28" i="15"/>
  <c r="AE27" i="15"/>
  <c r="N27" i="15"/>
  <c r="M27" i="15"/>
  <c r="K27" i="15"/>
  <c r="L27" i="15"/>
  <c r="AE26" i="15"/>
  <c r="N26" i="15"/>
  <c r="M26" i="15"/>
  <c r="K26" i="15"/>
  <c r="L26" i="15"/>
  <c r="AE25" i="15"/>
  <c r="N25" i="15"/>
  <c r="M25" i="15"/>
  <c r="K25" i="15"/>
  <c r="L25" i="15"/>
  <c r="AE24" i="15"/>
  <c r="P24" i="15"/>
  <c r="N24" i="15"/>
  <c r="M24" i="15"/>
  <c r="K24" i="15"/>
  <c r="L24" i="15"/>
  <c r="X24" i="15" s="1"/>
  <c r="AE23" i="15"/>
  <c r="N23" i="15"/>
  <c r="M23" i="15"/>
  <c r="K23" i="15"/>
  <c r="L23" i="15"/>
  <c r="AE22" i="15"/>
  <c r="N22" i="15"/>
  <c r="M22" i="15"/>
  <c r="K22" i="15"/>
  <c r="L22" i="15"/>
  <c r="W16" i="15"/>
  <c r="M16" i="15"/>
  <c r="L16" i="15"/>
  <c r="W15" i="15"/>
  <c r="M15" i="15"/>
  <c r="L15" i="15"/>
  <c r="W14" i="15"/>
  <c r="M14" i="15"/>
  <c r="P14" i="15" s="1"/>
  <c r="L14" i="15"/>
  <c r="W13" i="15"/>
  <c r="M13" i="15"/>
  <c r="P13" i="15" s="1"/>
  <c r="L13" i="15"/>
  <c r="W12" i="15"/>
  <c r="S12" i="15"/>
  <c r="W11" i="15"/>
  <c r="W10" i="15"/>
  <c r="W9" i="15"/>
  <c r="S9" i="15"/>
  <c r="U9" i="15" s="1"/>
  <c r="R9" i="15"/>
  <c r="T9" i="15" s="1"/>
  <c r="V9" i="15" s="1"/>
  <c r="W8" i="15"/>
  <c r="W7" i="15"/>
  <c r="W6" i="15"/>
  <c r="O6" i="15"/>
  <c r="W5" i="15"/>
  <c r="W4" i="15"/>
  <c r="H22" i="13"/>
  <c r="G22" i="13"/>
  <c r="F22" i="13"/>
  <c r="H21" i="13"/>
  <c r="G21" i="13"/>
  <c r="F21" i="13"/>
  <c r="H20" i="13"/>
  <c r="G20" i="13"/>
  <c r="F20" i="13"/>
  <c r="H19" i="13"/>
  <c r="G19" i="13"/>
  <c r="F19" i="13"/>
  <c r="H18" i="13"/>
  <c r="G18" i="13"/>
  <c r="F18" i="13"/>
  <c r="H17" i="13"/>
  <c r="G17" i="13"/>
  <c r="F17" i="13"/>
  <c r="H16" i="13"/>
  <c r="G16" i="13"/>
  <c r="F16" i="13"/>
  <c r="H15" i="13"/>
  <c r="G15" i="13"/>
  <c r="F15" i="13"/>
  <c r="H14" i="13"/>
  <c r="G14" i="13"/>
  <c r="F14" i="13"/>
  <c r="H13" i="13"/>
  <c r="G13" i="13"/>
  <c r="F13" i="13"/>
  <c r="H12" i="13"/>
  <c r="G12" i="13"/>
  <c r="F12" i="13"/>
  <c r="H11" i="13"/>
  <c r="G11" i="13"/>
  <c r="F11" i="13"/>
  <c r="H10" i="13"/>
  <c r="G10" i="13"/>
  <c r="F10" i="13"/>
  <c r="H9" i="13"/>
  <c r="G9" i="13"/>
  <c r="F9" i="13"/>
  <c r="H8" i="13"/>
  <c r="G8" i="13"/>
  <c r="F8" i="13"/>
  <c r="H7" i="13"/>
  <c r="G7" i="13"/>
  <c r="F7" i="13"/>
  <c r="H6" i="13"/>
  <c r="G6" i="13"/>
  <c r="F6" i="13"/>
  <c r="H5" i="13"/>
  <c r="G5" i="13"/>
  <c r="F5" i="13"/>
  <c r="H4" i="13"/>
  <c r="G4" i="13"/>
  <c r="F4" i="13"/>
  <c r="H3" i="13"/>
  <c r="G3" i="13"/>
  <c r="F3" i="13"/>
  <c r="H2" i="13"/>
  <c r="G2" i="13"/>
  <c r="F2" i="13"/>
  <c r="H24" i="12"/>
  <c r="G24" i="12"/>
  <c r="F24" i="12"/>
  <c r="H23" i="12"/>
  <c r="G23" i="12"/>
  <c r="F23" i="12"/>
  <c r="H22" i="12"/>
  <c r="G22" i="12"/>
  <c r="F22" i="12"/>
  <c r="H21" i="12"/>
  <c r="G21" i="12"/>
  <c r="F21" i="12"/>
  <c r="H20" i="12"/>
  <c r="G20" i="12"/>
  <c r="F20" i="12"/>
  <c r="H19" i="12"/>
  <c r="G19" i="12"/>
  <c r="F19" i="12"/>
  <c r="H18" i="12"/>
  <c r="G18" i="12"/>
  <c r="F18" i="12"/>
  <c r="H17" i="12"/>
  <c r="G17" i="12"/>
  <c r="F17" i="12"/>
  <c r="H16" i="12"/>
  <c r="G16" i="12"/>
  <c r="F16" i="12"/>
  <c r="H15" i="12"/>
  <c r="G15" i="12"/>
  <c r="F15" i="12"/>
  <c r="H14" i="12"/>
  <c r="G14" i="12"/>
  <c r="F14" i="12"/>
  <c r="H13" i="12"/>
  <c r="G13" i="12"/>
  <c r="F13" i="12"/>
  <c r="H12" i="12"/>
  <c r="G12" i="12"/>
  <c r="F12" i="12"/>
  <c r="H11" i="12"/>
  <c r="G11" i="12"/>
  <c r="F11" i="12"/>
  <c r="H10" i="12"/>
  <c r="G10" i="12"/>
  <c r="F10" i="12"/>
  <c r="H9" i="12"/>
  <c r="G9" i="12"/>
  <c r="F9" i="12"/>
  <c r="H8" i="12"/>
  <c r="G8" i="12"/>
  <c r="F8" i="12"/>
  <c r="H7" i="12"/>
  <c r="G7" i="12"/>
  <c r="F7" i="12"/>
  <c r="H6" i="12"/>
  <c r="G6" i="12"/>
  <c r="F6" i="12"/>
  <c r="H5" i="12"/>
  <c r="G5" i="12"/>
  <c r="F5" i="12"/>
  <c r="H4" i="12"/>
  <c r="G4" i="12"/>
  <c r="F4" i="12"/>
  <c r="H3" i="12"/>
  <c r="G3" i="12"/>
  <c r="F3" i="12"/>
  <c r="H2" i="12"/>
  <c r="G2" i="12"/>
  <c r="F2" i="12"/>
  <c r="H69" i="11"/>
  <c r="G69" i="11"/>
  <c r="F69" i="11"/>
  <c r="H68" i="11"/>
  <c r="G68" i="11"/>
  <c r="F68" i="11"/>
  <c r="H67" i="11"/>
  <c r="G67" i="11"/>
  <c r="F67" i="11"/>
  <c r="H66" i="11"/>
  <c r="G66" i="11"/>
  <c r="F66" i="11"/>
  <c r="H65" i="11"/>
  <c r="G65" i="11"/>
  <c r="F65" i="11"/>
  <c r="H64" i="11"/>
  <c r="G64" i="11"/>
  <c r="F64" i="11"/>
  <c r="H63" i="11"/>
  <c r="G63" i="11"/>
  <c r="F63" i="11"/>
  <c r="H62" i="11"/>
  <c r="G62" i="11"/>
  <c r="F62" i="11"/>
  <c r="H61" i="11"/>
  <c r="G61" i="11"/>
  <c r="F61" i="11"/>
  <c r="H60" i="11"/>
  <c r="G60" i="11"/>
  <c r="F60" i="11"/>
  <c r="H59" i="11"/>
  <c r="G59" i="11"/>
  <c r="F59" i="11"/>
  <c r="H58" i="11"/>
  <c r="G58" i="11"/>
  <c r="F58" i="11"/>
  <c r="H57" i="11"/>
  <c r="G57" i="11"/>
  <c r="F57" i="11"/>
  <c r="H56" i="11"/>
  <c r="G56" i="11"/>
  <c r="F56" i="11"/>
  <c r="H55" i="11"/>
  <c r="G55" i="11"/>
  <c r="F55" i="11"/>
  <c r="H54" i="11"/>
  <c r="G54" i="11"/>
  <c r="F54" i="11"/>
  <c r="H53" i="11"/>
  <c r="G53" i="11"/>
  <c r="F53" i="11"/>
  <c r="H52" i="11"/>
  <c r="G52" i="11"/>
  <c r="F52" i="11"/>
  <c r="H51" i="11"/>
  <c r="G51" i="11"/>
  <c r="F51" i="11"/>
  <c r="H50" i="11"/>
  <c r="G50" i="11"/>
  <c r="F50" i="11"/>
  <c r="H49" i="11"/>
  <c r="G49" i="11"/>
  <c r="F49" i="11"/>
  <c r="H48" i="11"/>
  <c r="G48" i="11"/>
  <c r="F48" i="11"/>
  <c r="H47" i="11"/>
  <c r="G47" i="11"/>
  <c r="F47" i="11"/>
  <c r="H46" i="11"/>
  <c r="G46" i="11"/>
  <c r="F46" i="11"/>
  <c r="H45" i="11"/>
  <c r="G45" i="11"/>
  <c r="F45" i="11"/>
  <c r="H44" i="11"/>
  <c r="G44" i="11"/>
  <c r="F44" i="11"/>
  <c r="H43" i="11"/>
  <c r="G43" i="11"/>
  <c r="F43" i="11"/>
  <c r="H42" i="11"/>
  <c r="G42" i="11"/>
  <c r="F42" i="11"/>
  <c r="H41" i="11"/>
  <c r="G41" i="11"/>
  <c r="F41" i="11"/>
  <c r="H40" i="11"/>
  <c r="G40" i="11"/>
  <c r="F40" i="11"/>
  <c r="H39" i="11"/>
  <c r="G39" i="11"/>
  <c r="F39" i="11"/>
  <c r="H38" i="11"/>
  <c r="G38" i="11"/>
  <c r="F38" i="11"/>
  <c r="H37" i="11"/>
  <c r="G37" i="11"/>
  <c r="F37" i="11"/>
  <c r="H36" i="11"/>
  <c r="G36" i="11"/>
  <c r="F36" i="11"/>
  <c r="H35" i="11"/>
  <c r="G35" i="11"/>
  <c r="F35" i="11"/>
  <c r="H34" i="11"/>
  <c r="G34" i="11"/>
  <c r="F34" i="11"/>
  <c r="H33" i="11"/>
  <c r="G33" i="11"/>
  <c r="F33" i="11"/>
  <c r="H32" i="11"/>
  <c r="G32" i="11"/>
  <c r="F32" i="11"/>
  <c r="H31" i="11"/>
  <c r="G31" i="11"/>
  <c r="F31" i="11"/>
  <c r="H30" i="11"/>
  <c r="G30" i="11"/>
  <c r="F30" i="11"/>
  <c r="H29" i="11"/>
  <c r="G29" i="11"/>
  <c r="F29" i="11"/>
  <c r="H28" i="11"/>
  <c r="G28" i="11"/>
  <c r="F28" i="11"/>
  <c r="H27" i="11"/>
  <c r="G27" i="11"/>
  <c r="F27" i="11"/>
  <c r="H26" i="11"/>
  <c r="G26" i="11"/>
  <c r="F26" i="11"/>
  <c r="H25" i="11"/>
  <c r="G25" i="11"/>
  <c r="F25" i="11"/>
  <c r="H24" i="11"/>
  <c r="G24" i="11"/>
  <c r="F24" i="11"/>
  <c r="H23" i="11"/>
  <c r="G23" i="11"/>
  <c r="F23" i="11"/>
  <c r="H22" i="11"/>
  <c r="G22" i="11"/>
  <c r="F22" i="11"/>
  <c r="H21" i="11"/>
  <c r="G21" i="11"/>
  <c r="F21" i="11"/>
  <c r="H20" i="11"/>
  <c r="G20" i="11"/>
  <c r="F20" i="11"/>
  <c r="H19" i="11"/>
  <c r="G19" i="11"/>
  <c r="F19" i="11"/>
  <c r="H18" i="11"/>
  <c r="G18" i="11"/>
  <c r="F18" i="11"/>
  <c r="H17" i="11"/>
  <c r="G17" i="11"/>
  <c r="F17" i="11"/>
  <c r="H16" i="11"/>
  <c r="G16" i="11"/>
  <c r="F16" i="11"/>
  <c r="H15" i="11"/>
  <c r="G15" i="11"/>
  <c r="F15" i="11"/>
  <c r="H14" i="11"/>
  <c r="G14" i="11"/>
  <c r="F14" i="11"/>
  <c r="H13" i="11"/>
  <c r="G13" i="11"/>
  <c r="F13" i="11"/>
  <c r="H12" i="11"/>
  <c r="G12" i="11"/>
  <c r="F12" i="11"/>
  <c r="H11" i="11"/>
  <c r="G11" i="11"/>
  <c r="F11" i="11"/>
  <c r="H10" i="11"/>
  <c r="G10" i="11"/>
  <c r="F10" i="11"/>
  <c r="H9" i="11"/>
  <c r="H8" i="11"/>
  <c r="G8" i="11"/>
  <c r="F8" i="11"/>
  <c r="H7" i="11"/>
  <c r="G7" i="11"/>
  <c r="F7" i="11"/>
  <c r="H6" i="11"/>
  <c r="G6" i="11"/>
  <c r="F6" i="11"/>
  <c r="H5" i="11"/>
  <c r="G5" i="11"/>
  <c r="F5" i="11"/>
  <c r="H4" i="11"/>
  <c r="G4" i="11"/>
  <c r="F4" i="11"/>
  <c r="H3" i="11"/>
  <c r="G3" i="11"/>
  <c r="F3" i="11"/>
  <c r="H2" i="11"/>
  <c r="G2" i="11"/>
  <c r="I96" i="10"/>
  <c r="I95" i="10"/>
  <c r="I94" i="10"/>
  <c r="I93" i="10"/>
  <c r="I92" i="10"/>
  <c r="I91" i="10"/>
  <c r="I90" i="10"/>
  <c r="I89" i="10"/>
  <c r="I88" i="10"/>
  <c r="I87" i="10"/>
  <c r="I86" i="10"/>
  <c r="I85" i="10"/>
  <c r="I84" i="10"/>
  <c r="I83" i="10"/>
  <c r="I82" i="10"/>
  <c r="I81" i="10"/>
  <c r="I80" i="10"/>
  <c r="I79" i="10"/>
  <c r="I78" i="10"/>
  <c r="I77" i="10"/>
  <c r="I76" i="10"/>
  <c r="I75" i="10"/>
  <c r="I74" i="10"/>
  <c r="I73" i="10"/>
  <c r="I72" i="10"/>
  <c r="I71" i="10"/>
  <c r="I70" i="10"/>
  <c r="I69" i="10"/>
  <c r="I68" i="10"/>
  <c r="I67" i="10"/>
  <c r="I66" i="10"/>
  <c r="I65" i="10"/>
  <c r="I64" i="10"/>
  <c r="I63" i="10"/>
  <c r="I62" i="10"/>
  <c r="I61" i="10"/>
  <c r="I60" i="10"/>
  <c r="I59" i="10"/>
  <c r="I58" i="10"/>
  <c r="I57" i="10"/>
  <c r="I56" i="10"/>
  <c r="I55" i="10"/>
  <c r="I54" i="10"/>
  <c r="I53" i="10"/>
  <c r="I52" i="10"/>
  <c r="I51" i="10"/>
  <c r="I50" i="10"/>
  <c r="I49" i="10"/>
  <c r="I48" i="10"/>
  <c r="I47" i="10"/>
  <c r="I46" i="10"/>
  <c r="I45" i="10"/>
  <c r="I44" i="10"/>
  <c r="I43" i="10"/>
  <c r="I42" i="10"/>
  <c r="I41" i="10"/>
  <c r="I40" i="10"/>
  <c r="I39" i="10"/>
  <c r="I38" i="10"/>
  <c r="I37" i="10"/>
  <c r="I36" i="10"/>
  <c r="I35" i="10"/>
  <c r="I34" i="10"/>
  <c r="I33" i="10"/>
  <c r="I32" i="10"/>
  <c r="I31" i="10"/>
  <c r="I30" i="10"/>
  <c r="I29" i="10"/>
  <c r="I28" i="10"/>
  <c r="I23" i="10"/>
  <c r="I22" i="10"/>
  <c r="I21" i="10"/>
  <c r="I20" i="10"/>
  <c r="I18" i="10"/>
  <c r="I17" i="10"/>
  <c r="I16" i="10"/>
  <c r="I15" i="10"/>
  <c r="I13" i="10"/>
  <c r="I11" i="10"/>
  <c r="I10" i="10"/>
  <c r="I9" i="10"/>
  <c r="I8" i="10"/>
  <c r="I7" i="10"/>
  <c r="I6" i="10"/>
  <c r="I5" i="10"/>
  <c r="I4" i="10"/>
  <c r="I3" i="10"/>
  <c r="I2" i="10"/>
  <c r="B2" i="9"/>
  <c r="B1" i="9"/>
  <c r="H77" i="8"/>
  <c r="B59" i="14" s="1"/>
  <c r="G77" i="8"/>
  <c r="F77" i="8"/>
  <c r="H76" i="8"/>
  <c r="B58" i="14" s="1"/>
  <c r="G76" i="8"/>
  <c r="F76" i="8"/>
  <c r="H75" i="8"/>
  <c r="B57" i="14" s="1"/>
  <c r="G75" i="8"/>
  <c r="F75" i="8"/>
  <c r="H74" i="8"/>
  <c r="B56" i="14" s="1"/>
  <c r="G74" i="8"/>
  <c r="F74" i="8"/>
  <c r="H73" i="8"/>
  <c r="B55" i="14" s="1"/>
  <c r="G73" i="8"/>
  <c r="F73" i="8"/>
  <c r="H72" i="8"/>
  <c r="B54" i="14" s="1"/>
  <c r="G72" i="8"/>
  <c r="F72" i="8"/>
  <c r="H71" i="8"/>
  <c r="B53" i="14" s="1"/>
  <c r="G71" i="8"/>
  <c r="F71" i="8"/>
  <c r="H70" i="8"/>
  <c r="G70" i="8"/>
  <c r="F70" i="8"/>
  <c r="H69" i="8"/>
  <c r="B52" i="14" s="1"/>
  <c r="G69" i="8"/>
  <c r="F69" i="8"/>
  <c r="H68" i="8"/>
  <c r="B51" i="14" s="1"/>
  <c r="G68" i="8"/>
  <c r="F68" i="8"/>
  <c r="H67" i="8"/>
  <c r="B50" i="14" s="1"/>
  <c r="G67" i="8"/>
  <c r="F67" i="8"/>
  <c r="H66" i="8"/>
  <c r="G66" i="8"/>
  <c r="F66" i="8"/>
  <c r="H65" i="8"/>
  <c r="G65" i="8"/>
  <c r="F65" i="8"/>
  <c r="H64" i="8"/>
  <c r="G64" i="8"/>
  <c r="F64" i="8"/>
  <c r="H63" i="8"/>
  <c r="B49" i="14" s="1"/>
  <c r="G63" i="8"/>
  <c r="F63" i="8"/>
  <c r="H62" i="8"/>
  <c r="G62" i="8"/>
  <c r="F62" i="8"/>
  <c r="H61" i="8"/>
  <c r="G61" i="8"/>
  <c r="F61" i="8"/>
  <c r="H60" i="8"/>
  <c r="G60" i="8"/>
  <c r="F60" i="8"/>
  <c r="H59" i="8"/>
  <c r="G59" i="8"/>
  <c r="F59" i="8"/>
  <c r="H58" i="8"/>
  <c r="B48" i="14" s="1"/>
  <c r="G58" i="8"/>
  <c r="F58" i="8"/>
  <c r="H57" i="8"/>
  <c r="B47" i="14" s="1"/>
  <c r="G57" i="8"/>
  <c r="F57" i="8"/>
  <c r="H56" i="8"/>
  <c r="B46" i="14" s="1"/>
  <c r="G56" i="8"/>
  <c r="F56" i="8"/>
  <c r="H55" i="8"/>
  <c r="G55" i="8"/>
  <c r="F55" i="8"/>
  <c r="H54" i="8"/>
  <c r="B45" i="14" s="1"/>
  <c r="G54" i="8"/>
  <c r="F54" i="8"/>
  <c r="H53" i="8"/>
  <c r="B44" i="14" s="1"/>
  <c r="G53" i="8"/>
  <c r="F53" i="8"/>
  <c r="H52" i="8"/>
  <c r="B43" i="14" s="1"/>
  <c r="G52" i="8"/>
  <c r="F52" i="8"/>
  <c r="H51" i="8"/>
  <c r="B42" i="14" s="1"/>
  <c r="G51" i="8"/>
  <c r="F51" i="8"/>
  <c r="H50" i="8"/>
  <c r="G50" i="8"/>
  <c r="F50" i="8"/>
  <c r="H49" i="8"/>
  <c r="B40" i="14" s="1"/>
  <c r="G49" i="8"/>
  <c r="F49" i="8"/>
  <c r="H48" i="8"/>
  <c r="B39" i="14" s="1"/>
  <c r="G48" i="8"/>
  <c r="F48" i="8"/>
  <c r="H47" i="8"/>
  <c r="B38" i="14" s="1"/>
  <c r="G47" i="8"/>
  <c r="F47" i="8"/>
  <c r="H46" i="8"/>
  <c r="B37" i="14" s="1"/>
  <c r="G46" i="8"/>
  <c r="F46" i="8"/>
  <c r="H45" i="8"/>
  <c r="B36" i="14" s="1"/>
  <c r="G45" i="8"/>
  <c r="F45" i="8"/>
  <c r="H44" i="8"/>
  <c r="B35" i="14" s="1"/>
  <c r="G44" i="8"/>
  <c r="F44" i="8"/>
  <c r="H43" i="8"/>
  <c r="B34" i="14" s="1"/>
  <c r="G43" i="8"/>
  <c r="F43" i="8"/>
  <c r="H42" i="8"/>
  <c r="B33" i="14" s="1"/>
  <c r="G42" i="8"/>
  <c r="F42" i="8"/>
  <c r="H41" i="8"/>
  <c r="G41" i="8"/>
  <c r="F41" i="8"/>
  <c r="H40" i="8"/>
  <c r="B31" i="14" s="1"/>
  <c r="G40" i="8"/>
  <c r="F40" i="8"/>
  <c r="H39" i="8"/>
  <c r="B30" i="14" s="1"/>
  <c r="G39" i="8"/>
  <c r="F39" i="8"/>
  <c r="H38" i="8"/>
  <c r="B29" i="14" s="1"/>
  <c r="G38" i="8"/>
  <c r="F38" i="8"/>
  <c r="H37" i="8"/>
  <c r="B28" i="14" s="1"/>
  <c r="G37" i="8"/>
  <c r="F37" i="8"/>
  <c r="H36" i="8"/>
  <c r="G36" i="8"/>
  <c r="F36" i="8"/>
  <c r="H35" i="8"/>
  <c r="G35" i="8"/>
  <c r="F35" i="8"/>
  <c r="H34" i="8"/>
  <c r="B27" i="14" s="1"/>
  <c r="G34" i="8"/>
  <c r="F34" i="8"/>
  <c r="H33" i="8"/>
  <c r="B26" i="14" s="1"/>
  <c r="G33" i="8"/>
  <c r="F33" i="8"/>
  <c r="H32" i="8"/>
  <c r="B25" i="14" s="1"/>
  <c r="G32" i="8"/>
  <c r="F32" i="8"/>
  <c r="H31" i="8"/>
  <c r="B24" i="14" s="1"/>
  <c r="G31" i="8"/>
  <c r="F31" i="8"/>
  <c r="H30" i="8"/>
  <c r="B23" i="14" s="1"/>
  <c r="G30" i="8"/>
  <c r="F30" i="8"/>
  <c r="H29" i="8"/>
  <c r="B22" i="14" s="1"/>
  <c r="G29" i="8"/>
  <c r="F29" i="8"/>
  <c r="H28" i="8"/>
  <c r="B21" i="14" s="1"/>
  <c r="G28" i="8"/>
  <c r="F28" i="8"/>
  <c r="H27" i="8"/>
  <c r="B20" i="14" s="1"/>
  <c r="G27" i="8"/>
  <c r="F27" i="8"/>
  <c r="H26" i="8"/>
  <c r="B19" i="14" s="1"/>
  <c r="G26" i="8"/>
  <c r="F26" i="8"/>
  <c r="H25" i="8"/>
  <c r="G25" i="8"/>
  <c r="F25" i="8"/>
  <c r="H24" i="8"/>
  <c r="G24" i="8"/>
  <c r="F24" i="8"/>
  <c r="H23" i="8"/>
  <c r="G23" i="8"/>
  <c r="F23" i="8"/>
  <c r="H22" i="8"/>
  <c r="G22" i="8"/>
  <c r="F22" i="8"/>
  <c r="H21" i="8"/>
  <c r="G21" i="8"/>
  <c r="F21" i="8"/>
  <c r="H20" i="8"/>
  <c r="G20" i="8"/>
  <c r="F20" i="8"/>
  <c r="H18" i="8"/>
  <c r="B17" i="14" s="1"/>
  <c r="G18" i="8"/>
  <c r="F18" i="8"/>
  <c r="H17" i="8"/>
  <c r="B16" i="14" s="1"/>
  <c r="G17" i="8"/>
  <c r="F17" i="8"/>
  <c r="H16" i="8"/>
  <c r="B15" i="14" s="1"/>
  <c r="G16" i="8"/>
  <c r="F16" i="8"/>
  <c r="H15" i="8"/>
  <c r="G15" i="8"/>
  <c r="F15" i="8"/>
  <c r="H14" i="8"/>
  <c r="G14" i="8"/>
  <c r="F14" i="8"/>
  <c r="H13" i="8"/>
  <c r="B12" i="14" s="1"/>
  <c r="G13" i="8"/>
  <c r="F13" i="8"/>
  <c r="H12" i="8"/>
  <c r="G12" i="8"/>
  <c r="F12" i="8"/>
  <c r="H10" i="8"/>
  <c r="G10" i="8"/>
  <c r="F10" i="8"/>
  <c r="H9" i="8"/>
  <c r="B8" i="14" s="1"/>
  <c r="G9" i="8"/>
  <c r="F9" i="8"/>
  <c r="H8" i="8"/>
  <c r="H7" i="8"/>
  <c r="B7" i="14" s="1"/>
  <c r="H6" i="8"/>
  <c r="H5" i="8"/>
  <c r="B5" i="14" s="1"/>
  <c r="H2" i="8"/>
  <c r="G44" i="7"/>
  <c r="I44" i="7" s="1"/>
  <c r="G43" i="7"/>
  <c r="G42" i="7"/>
  <c r="G41" i="7"/>
  <c r="I41" i="7" s="1"/>
  <c r="G40" i="7"/>
  <c r="H40" i="7" s="1"/>
  <c r="G39" i="7"/>
  <c r="I39" i="7" s="1"/>
  <c r="G38" i="7"/>
  <c r="G37" i="7"/>
  <c r="I37" i="7" s="1"/>
  <c r="G36" i="7"/>
  <c r="G35" i="7"/>
  <c r="G34" i="7"/>
  <c r="I34" i="7" s="1"/>
  <c r="I33" i="7"/>
  <c r="H33" i="7"/>
  <c r="G32" i="7"/>
  <c r="I32" i="7" s="1"/>
  <c r="G31" i="7"/>
  <c r="I31" i="7" s="1"/>
  <c r="G30" i="7"/>
  <c r="H30" i="7" s="1"/>
  <c r="G29" i="7"/>
  <c r="H29" i="7" s="1"/>
  <c r="G28" i="7"/>
  <c r="H28" i="7" s="1"/>
  <c r="G27" i="7"/>
  <c r="I27" i="7" s="1"/>
  <c r="G26" i="7"/>
  <c r="I26" i="7" s="1"/>
  <c r="G25" i="7"/>
  <c r="I25" i="7" s="1"/>
  <c r="G24" i="7"/>
  <c r="H24" i="7" s="1"/>
  <c r="G23" i="7"/>
  <c r="H23" i="7" s="1"/>
  <c r="G22" i="7"/>
  <c r="I22" i="7" s="1"/>
  <c r="G21" i="7"/>
  <c r="H21" i="7" s="1"/>
  <c r="G20" i="7"/>
  <c r="I20" i="7" s="1"/>
  <c r="I19" i="7"/>
  <c r="H19" i="7"/>
  <c r="J19" i="7" s="1"/>
  <c r="I18" i="7"/>
  <c r="H18" i="7"/>
  <c r="J18" i="7" s="1"/>
  <c r="G17" i="7"/>
  <c r="I17" i="7" s="1"/>
  <c r="G16" i="7"/>
  <c r="I16" i="7" s="1"/>
  <c r="G15" i="7"/>
  <c r="I15" i="7" s="1"/>
  <c r="G14" i="7"/>
  <c r="H14" i="7" s="1"/>
  <c r="G13" i="7"/>
  <c r="I13" i="7" s="1"/>
  <c r="G12" i="7"/>
  <c r="H12" i="7" s="1"/>
  <c r="G11" i="7"/>
  <c r="I11" i="7" s="1"/>
  <c r="G10" i="7"/>
  <c r="I10" i="7" s="1"/>
  <c r="G9" i="7"/>
  <c r="I9" i="7" s="1"/>
  <c r="I8" i="7"/>
  <c r="H8" i="7"/>
  <c r="G7" i="7"/>
  <c r="H7" i="7" s="1"/>
  <c r="G6" i="7"/>
  <c r="G5" i="7"/>
  <c r="G4" i="7"/>
  <c r="I4" i="7" s="1"/>
  <c r="G3" i="7"/>
  <c r="I3" i="7" s="1"/>
  <c r="G2" i="7"/>
  <c r="I2" i="7" s="1"/>
  <c r="G52" i="6"/>
  <c r="I52" i="6" s="1"/>
  <c r="G51" i="6"/>
  <c r="H51" i="6" s="1"/>
  <c r="G50" i="6"/>
  <c r="H50" i="6" s="1"/>
  <c r="G49" i="6"/>
  <c r="I49" i="6" s="1"/>
  <c r="G48" i="6"/>
  <c r="I48" i="6" s="1"/>
  <c r="G47" i="6"/>
  <c r="H47" i="6" s="1"/>
  <c r="G46" i="6"/>
  <c r="G45" i="6"/>
  <c r="G44" i="6"/>
  <c r="H44" i="6" s="1"/>
  <c r="G43" i="6"/>
  <c r="G42" i="6"/>
  <c r="I42" i="6" s="1"/>
  <c r="G41" i="6"/>
  <c r="I41" i="6" s="1"/>
  <c r="G40" i="6"/>
  <c r="H40" i="6" s="1"/>
  <c r="G39" i="6"/>
  <c r="I39" i="6" s="1"/>
  <c r="G38" i="6"/>
  <c r="H38" i="6" s="1"/>
  <c r="G37" i="6"/>
  <c r="H37" i="6" s="1"/>
  <c r="G36" i="6"/>
  <c r="I36" i="6" s="1"/>
  <c r="G35" i="6"/>
  <c r="H35" i="6" s="1"/>
  <c r="G34" i="6"/>
  <c r="I34" i="6" s="1"/>
  <c r="G33" i="6"/>
  <c r="H33" i="6" s="1"/>
  <c r="G32" i="6"/>
  <c r="I32" i="6" s="1"/>
  <c r="G31" i="6"/>
  <c r="I31" i="6" s="1"/>
  <c r="G30" i="6"/>
  <c r="H30" i="6" s="1"/>
  <c r="G29" i="6"/>
  <c r="H29" i="6" s="1"/>
  <c r="G28" i="6"/>
  <c r="G27" i="6"/>
  <c r="I27" i="6" s="1"/>
  <c r="G26" i="6"/>
  <c r="H26" i="6" s="1"/>
  <c r="G25" i="6"/>
  <c r="G24" i="6"/>
  <c r="H24" i="6" s="1"/>
  <c r="G23" i="6"/>
  <c r="H23" i="6" s="1"/>
  <c r="G22" i="6"/>
  <c r="I22" i="6" s="1"/>
  <c r="G21" i="6"/>
  <c r="I21" i="6" s="1"/>
  <c r="G20" i="6"/>
  <c r="I20" i="6" s="1"/>
  <c r="G19" i="6"/>
  <c r="H19" i="6" s="1"/>
  <c r="G18" i="6"/>
  <c r="I18" i="6" s="1"/>
  <c r="G17" i="6"/>
  <c r="I17" i="6" s="1"/>
  <c r="G16" i="6"/>
  <c r="H16" i="6" s="1"/>
  <c r="G15" i="6"/>
  <c r="H15" i="6" s="1"/>
  <c r="G14" i="6"/>
  <c r="H14" i="6" s="1"/>
  <c r="G13" i="6"/>
  <c r="I13" i="6" s="1"/>
  <c r="G12" i="6"/>
  <c r="H12" i="6" s="1"/>
  <c r="G11" i="6"/>
  <c r="I11" i="6" s="1"/>
  <c r="G10" i="6"/>
  <c r="I10" i="6" s="1"/>
  <c r="G9" i="6"/>
  <c r="H9" i="6" s="1"/>
  <c r="G8" i="6"/>
  <c r="H8" i="6" s="1"/>
  <c r="G7" i="6"/>
  <c r="I7" i="6" s="1"/>
  <c r="G6" i="6"/>
  <c r="I6" i="6" s="1"/>
  <c r="G5" i="6"/>
  <c r="H5" i="6" s="1"/>
  <c r="G4" i="6"/>
  <c r="I4" i="6" s="1"/>
  <c r="G3" i="6"/>
  <c r="I3" i="6" s="1"/>
  <c r="G2" i="6"/>
  <c r="I2" i="6" s="1"/>
  <c r="P52" i="5"/>
  <c r="H52" i="5"/>
  <c r="G52" i="5"/>
  <c r="F52" i="5"/>
  <c r="P51" i="5"/>
  <c r="H51" i="5"/>
  <c r="G51" i="5"/>
  <c r="F51" i="5"/>
  <c r="P50" i="5"/>
  <c r="H50" i="5"/>
  <c r="G50" i="5"/>
  <c r="F50" i="5"/>
  <c r="P49" i="5"/>
  <c r="H49" i="5"/>
  <c r="G49" i="5"/>
  <c r="F49" i="5"/>
  <c r="H48" i="5"/>
  <c r="G48" i="5"/>
  <c r="F48" i="5"/>
  <c r="H47" i="5"/>
  <c r="G47" i="5"/>
  <c r="F47" i="5"/>
  <c r="H46" i="5"/>
  <c r="G46" i="5"/>
  <c r="F46" i="5"/>
  <c r="H45" i="5"/>
  <c r="G45" i="5"/>
  <c r="F45" i="5"/>
  <c r="H44" i="5"/>
  <c r="G44" i="5"/>
  <c r="F44" i="5"/>
  <c r="H43" i="5"/>
  <c r="G43" i="5"/>
  <c r="F43" i="5"/>
  <c r="H42" i="5"/>
  <c r="G42" i="5"/>
  <c r="F42" i="5"/>
  <c r="H41" i="5"/>
  <c r="G41" i="5"/>
  <c r="F41" i="5"/>
  <c r="H40" i="5"/>
  <c r="G40" i="5"/>
  <c r="F40" i="5"/>
  <c r="H39" i="5"/>
  <c r="G39" i="5"/>
  <c r="F39" i="5"/>
  <c r="H38" i="5"/>
  <c r="G38" i="5"/>
  <c r="F38" i="5"/>
  <c r="H37" i="5"/>
  <c r="G37" i="5"/>
  <c r="F37" i="5"/>
  <c r="H36" i="5"/>
  <c r="G36" i="5"/>
  <c r="F36" i="5"/>
  <c r="H35" i="5"/>
  <c r="G35" i="5"/>
  <c r="F35" i="5"/>
  <c r="H34" i="5"/>
  <c r="G34" i="5"/>
  <c r="F34" i="5"/>
  <c r="AE33" i="5"/>
  <c r="H33" i="5"/>
  <c r="G33" i="5"/>
  <c r="F33" i="5"/>
  <c r="AE32" i="5"/>
  <c r="H32" i="5"/>
  <c r="G32" i="5"/>
  <c r="F32" i="5"/>
  <c r="H31" i="5"/>
  <c r="G31" i="5"/>
  <c r="F31" i="5"/>
  <c r="H30" i="5"/>
  <c r="G30" i="5"/>
  <c r="F30" i="5"/>
  <c r="H29" i="5"/>
  <c r="G29" i="5"/>
  <c r="F29" i="5"/>
  <c r="H28" i="5"/>
  <c r="G28" i="5"/>
  <c r="F28" i="5"/>
  <c r="H27" i="5"/>
  <c r="G27" i="5"/>
  <c r="F27" i="5"/>
  <c r="H26" i="5"/>
  <c r="G26" i="5"/>
  <c r="F26" i="5"/>
  <c r="H25" i="5"/>
  <c r="G25" i="5"/>
  <c r="F25" i="5"/>
  <c r="H24" i="5"/>
  <c r="G24" i="5"/>
  <c r="F24" i="5"/>
  <c r="H23" i="5"/>
  <c r="G23" i="5"/>
  <c r="F23" i="5"/>
  <c r="H22" i="5"/>
  <c r="G22" i="5"/>
  <c r="F22" i="5"/>
  <c r="H21" i="5"/>
  <c r="G21" i="5"/>
  <c r="F21" i="5"/>
  <c r="H20" i="5"/>
  <c r="G20" i="5"/>
  <c r="F20" i="5"/>
  <c r="H19" i="5"/>
  <c r="G19" i="5"/>
  <c r="F19" i="5"/>
  <c r="H18" i="5"/>
  <c r="G18" i="5"/>
  <c r="F18" i="5"/>
  <c r="H17" i="5"/>
  <c r="G17" i="5"/>
  <c r="F17" i="5"/>
  <c r="H16" i="5"/>
  <c r="G16" i="5"/>
  <c r="F16" i="5"/>
  <c r="H15" i="5"/>
  <c r="G15" i="5"/>
  <c r="F15" i="5"/>
  <c r="H14" i="5"/>
  <c r="G14" i="5"/>
  <c r="F14" i="5"/>
  <c r="H13" i="5"/>
  <c r="G13" i="5"/>
  <c r="F13" i="5"/>
  <c r="H12" i="5"/>
  <c r="G12" i="5"/>
  <c r="F12" i="5"/>
  <c r="H11" i="5"/>
  <c r="G11" i="5"/>
  <c r="F11" i="5"/>
  <c r="H10" i="5"/>
  <c r="G10" i="5"/>
  <c r="F10" i="5"/>
  <c r="H9" i="5"/>
  <c r="G9" i="5"/>
  <c r="F9" i="5"/>
  <c r="H8" i="5"/>
  <c r="G8" i="5"/>
  <c r="F8" i="5"/>
  <c r="H7" i="5"/>
  <c r="G7" i="5"/>
  <c r="F7" i="5"/>
  <c r="H6" i="5"/>
  <c r="G6" i="5"/>
  <c r="F6" i="5"/>
  <c r="H5" i="5"/>
  <c r="G5" i="5"/>
  <c r="F5" i="5"/>
  <c r="H4" i="5"/>
  <c r="G4" i="5"/>
  <c r="F4" i="5"/>
  <c r="H3" i="5"/>
  <c r="G3" i="5"/>
  <c r="F3" i="5"/>
  <c r="H2" i="5"/>
  <c r="G2" i="5"/>
  <c r="F2" i="5"/>
  <c r="I57" i="15"/>
  <c r="N57" i="15" s="1"/>
  <c r="H57" i="15"/>
  <c r="G57" i="15"/>
  <c r="F57" i="15"/>
  <c r="E57" i="15"/>
  <c r="D57" i="15"/>
  <c r="C57" i="15"/>
  <c r="B57" i="15"/>
  <c r="A57" i="15"/>
  <c r="I56" i="15"/>
  <c r="H56" i="15"/>
  <c r="G56" i="15"/>
  <c r="F56" i="15"/>
  <c r="E56" i="15"/>
  <c r="D56" i="15"/>
  <c r="C56" i="15"/>
  <c r="B56" i="15"/>
  <c r="A56" i="15"/>
  <c r="I55" i="15"/>
  <c r="H55" i="15"/>
  <c r="G55" i="15"/>
  <c r="F55" i="15"/>
  <c r="E55" i="15"/>
  <c r="D55" i="15"/>
  <c r="C55" i="15"/>
  <c r="B55" i="15"/>
  <c r="A55" i="15"/>
  <c r="I54" i="15"/>
  <c r="N54" i="15" s="1"/>
  <c r="H54" i="15"/>
  <c r="G54" i="15"/>
  <c r="F54" i="15"/>
  <c r="E54" i="15"/>
  <c r="D54" i="15"/>
  <c r="C54" i="15"/>
  <c r="B54" i="15"/>
  <c r="A54" i="15"/>
  <c r="I53" i="15"/>
  <c r="N53" i="15" s="1"/>
  <c r="H53" i="15"/>
  <c r="G53" i="15"/>
  <c r="F53" i="15"/>
  <c r="E53" i="15"/>
  <c r="D53" i="15"/>
  <c r="C53" i="15"/>
  <c r="B53" i="15"/>
  <c r="A53" i="15"/>
  <c r="I52" i="15"/>
  <c r="N52" i="15" s="1"/>
  <c r="H52" i="15"/>
  <c r="G52" i="15"/>
  <c r="F52" i="15"/>
  <c r="E52" i="15"/>
  <c r="D52" i="15"/>
  <c r="C52" i="15"/>
  <c r="B52" i="15"/>
  <c r="A52" i="15"/>
  <c r="I51" i="15"/>
  <c r="H51" i="15"/>
  <c r="G51" i="15"/>
  <c r="F51" i="15"/>
  <c r="E51" i="15"/>
  <c r="D51" i="15"/>
  <c r="C51" i="15"/>
  <c r="B51" i="15"/>
  <c r="A51" i="15"/>
  <c r="I50" i="15"/>
  <c r="N50" i="15" s="1"/>
  <c r="H50" i="15"/>
  <c r="G50" i="15"/>
  <c r="F50" i="15"/>
  <c r="E50" i="15"/>
  <c r="D50" i="15"/>
  <c r="C50" i="15"/>
  <c r="B50" i="15"/>
  <c r="A50" i="15"/>
  <c r="I49" i="15"/>
  <c r="N49" i="15" s="1"/>
  <c r="H49" i="15"/>
  <c r="G49" i="15"/>
  <c r="F49" i="15"/>
  <c r="E49" i="15"/>
  <c r="D49" i="15"/>
  <c r="C49" i="15"/>
  <c r="B49" i="15"/>
  <c r="A49" i="15"/>
  <c r="I48" i="15"/>
  <c r="H48" i="15"/>
  <c r="G48" i="15"/>
  <c r="F48" i="15"/>
  <c r="E48" i="15"/>
  <c r="D48" i="15"/>
  <c r="C48" i="15"/>
  <c r="B48" i="15"/>
  <c r="A48" i="15"/>
  <c r="I47" i="15"/>
  <c r="H47" i="15"/>
  <c r="G47" i="15"/>
  <c r="F47" i="15"/>
  <c r="E47" i="15"/>
  <c r="D47" i="15"/>
  <c r="C47" i="15"/>
  <c r="B47" i="15"/>
  <c r="A47" i="15"/>
  <c r="I42" i="15"/>
  <c r="H42" i="15"/>
  <c r="G42" i="15"/>
  <c r="F42" i="15"/>
  <c r="E42" i="15"/>
  <c r="D42" i="15"/>
  <c r="C42" i="15"/>
  <c r="B42" i="15"/>
  <c r="A42" i="15"/>
  <c r="I41" i="15"/>
  <c r="H41" i="15"/>
  <c r="G41" i="15"/>
  <c r="F41" i="15"/>
  <c r="E41" i="15"/>
  <c r="D41" i="15"/>
  <c r="C41" i="15"/>
  <c r="B41" i="15"/>
  <c r="A41" i="15"/>
  <c r="I40" i="15"/>
  <c r="H40" i="15"/>
  <c r="G40" i="15"/>
  <c r="F40" i="15"/>
  <c r="E40" i="15"/>
  <c r="D40" i="15"/>
  <c r="C40" i="15"/>
  <c r="B40" i="15"/>
  <c r="A40" i="15"/>
  <c r="I39" i="15"/>
  <c r="H39" i="15"/>
  <c r="G39" i="15"/>
  <c r="F39" i="15"/>
  <c r="E39" i="15"/>
  <c r="D39" i="15"/>
  <c r="C39" i="15"/>
  <c r="B39" i="15"/>
  <c r="A39" i="15"/>
  <c r="I38" i="15"/>
  <c r="H38" i="15"/>
  <c r="G38" i="15"/>
  <c r="F38" i="15"/>
  <c r="E38" i="15"/>
  <c r="D38" i="15"/>
  <c r="C38" i="15"/>
  <c r="B38" i="15"/>
  <c r="A38" i="15"/>
  <c r="I37" i="15"/>
  <c r="H37" i="15"/>
  <c r="G37" i="15"/>
  <c r="F37" i="15"/>
  <c r="E37" i="15"/>
  <c r="D37" i="15"/>
  <c r="C37" i="15"/>
  <c r="B37" i="15"/>
  <c r="A37" i="15"/>
  <c r="I36" i="15"/>
  <c r="H36" i="15"/>
  <c r="G36" i="15"/>
  <c r="F36" i="15"/>
  <c r="E36" i="15"/>
  <c r="D36" i="15"/>
  <c r="C36" i="15"/>
  <c r="B36" i="15"/>
  <c r="A36" i="15"/>
  <c r="I35" i="15"/>
  <c r="H35" i="15"/>
  <c r="G35" i="15"/>
  <c r="F35" i="15"/>
  <c r="E35" i="15"/>
  <c r="D35" i="15"/>
  <c r="C35" i="15"/>
  <c r="B35" i="15"/>
  <c r="A35" i="15"/>
  <c r="I34" i="15"/>
  <c r="H34" i="15"/>
  <c r="G34" i="15"/>
  <c r="F34" i="15"/>
  <c r="E34" i="15"/>
  <c r="D34" i="15"/>
  <c r="C34" i="15"/>
  <c r="B34" i="15"/>
  <c r="A34" i="15"/>
  <c r="I33" i="15"/>
  <c r="H33" i="15"/>
  <c r="G33" i="15"/>
  <c r="F33" i="15"/>
  <c r="E33" i="15"/>
  <c r="D33" i="15"/>
  <c r="C33" i="15"/>
  <c r="B33" i="15"/>
  <c r="A33" i="15"/>
  <c r="I32" i="15"/>
  <c r="H32" i="15"/>
  <c r="G32" i="15"/>
  <c r="F32" i="15"/>
  <c r="E32" i="15"/>
  <c r="D32" i="15"/>
  <c r="C32" i="15"/>
  <c r="B32" i="15"/>
  <c r="A32" i="15"/>
  <c r="I31" i="15"/>
  <c r="H31" i="15"/>
  <c r="G31" i="15"/>
  <c r="F31" i="15"/>
  <c r="E31" i="15"/>
  <c r="D31" i="15"/>
  <c r="C31" i="15"/>
  <c r="B31" i="15"/>
  <c r="A31" i="15"/>
  <c r="I30" i="15"/>
  <c r="H30" i="15"/>
  <c r="G30" i="15"/>
  <c r="F30" i="15"/>
  <c r="E30" i="15"/>
  <c r="D30" i="15"/>
  <c r="C30" i="15"/>
  <c r="B30" i="15"/>
  <c r="A30" i="15"/>
  <c r="I29" i="15"/>
  <c r="H29" i="15"/>
  <c r="G29" i="15"/>
  <c r="F29" i="15"/>
  <c r="E29" i="15"/>
  <c r="D29" i="15"/>
  <c r="C29" i="15"/>
  <c r="B29" i="15"/>
  <c r="A29" i="15"/>
  <c r="I28" i="15"/>
  <c r="H28" i="15"/>
  <c r="G28" i="15"/>
  <c r="F28" i="15"/>
  <c r="E28" i="15"/>
  <c r="D28" i="15"/>
  <c r="C28" i="15"/>
  <c r="B28" i="15"/>
  <c r="A28" i="15"/>
  <c r="I27" i="15"/>
  <c r="H27" i="15"/>
  <c r="G27" i="15"/>
  <c r="F27" i="15"/>
  <c r="E27" i="15"/>
  <c r="D27" i="15"/>
  <c r="C27" i="15"/>
  <c r="B27" i="15"/>
  <c r="A27" i="15"/>
  <c r="I26" i="15"/>
  <c r="H26" i="15"/>
  <c r="G26" i="15"/>
  <c r="F26" i="15"/>
  <c r="E26" i="15"/>
  <c r="D26" i="15"/>
  <c r="C26" i="15"/>
  <c r="B26" i="15"/>
  <c r="A26" i="15"/>
  <c r="I25" i="15"/>
  <c r="H25" i="15"/>
  <c r="G25" i="15"/>
  <c r="F25" i="15"/>
  <c r="E25" i="15"/>
  <c r="D25" i="15"/>
  <c r="C25" i="15"/>
  <c r="B25" i="15"/>
  <c r="A25" i="15"/>
  <c r="I24" i="15"/>
  <c r="H24" i="15"/>
  <c r="G24" i="15"/>
  <c r="F24" i="15"/>
  <c r="E24" i="15"/>
  <c r="D24" i="15"/>
  <c r="C24" i="15"/>
  <c r="B24" i="15"/>
  <c r="A24" i="15"/>
  <c r="I23" i="15"/>
  <c r="H23" i="15"/>
  <c r="G23" i="15"/>
  <c r="F23" i="15"/>
  <c r="E23" i="15"/>
  <c r="D23" i="15"/>
  <c r="C23" i="15"/>
  <c r="B23" i="15"/>
  <c r="A23" i="15"/>
  <c r="I22" i="15"/>
  <c r="H22" i="15"/>
  <c r="G22" i="15"/>
  <c r="F22" i="15"/>
  <c r="E22" i="15"/>
  <c r="D22" i="15"/>
  <c r="C22" i="15"/>
  <c r="B22" i="15"/>
  <c r="A22" i="15"/>
  <c r="I16" i="15"/>
  <c r="H16" i="15"/>
  <c r="G16" i="15"/>
  <c r="F16" i="15"/>
  <c r="E16" i="15"/>
  <c r="D16" i="15"/>
  <c r="C16" i="15"/>
  <c r="B16" i="15"/>
  <c r="A16" i="15"/>
  <c r="I15" i="15"/>
  <c r="H15" i="15"/>
  <c r="G15" i="15"/>
  <c r="F15" i="15"/>
  <c r="E15" i="15"/>
  <c r="D15" i="15"/>
  <c r="C15" i="15"/>
  <c r="B15" i="15"/>
  <c r="A15" i="15"/>
  <c r="I14" i="15"/>
  <c r="H14" i="15"/>
  <c r="G14" i="15"/>
  <c r="F14" i="15"/>
  <c r="E14" i="15"/>
  <c r="D14" i="15"/>
  <c r="C14" i="15"/>
  <c r="B14" i="15"/>
  <c r="A14" i="15"/>
  <c r="I13" i="15"/>
  <c r="H13" i="15"/>
  <c r="G13" i="15"/>
  <c r="F13" i="15"/>
  <c r="E13" i="15"/>
  <c r="D13" i="15"/>
  <c r="C13" i="15"/>
  <c r="B13" i="15"/>
  <c r="A13" i="15"/>
  <c r="J12" i="15"/>
  <c r="I12" i="15"/>
  <c r="H12" i="15"/>
  <c r="G12" i="15"/>
  <c r="F12" i="15"/>
  <c r="E12" i="15"/>
  <c r="D12" i="15"/>
  <c r="C12" i="15"/>
  <c r="B12" i="15"/>
  <c r="A12" i="15"/>
  <c r="I11" i="15"/>
  <c r="H11" i="15"/>
  <c r="G11" i="15"/>
  <c r="F11" i="15"/>
  <c r="E11" i="15"/>
  <c r="D11" i="15"/>
  <c r="C11" i="15"/>
  <c r="B11" i="15"/>
  <c r="A11" i="15"/>
  <c r="I10" i="15"/>
  <c r="H10" i="15"/>
  <c r="G10" i="15"/>
  <c r="F10" i="15"/>
  <c r="E10" i="15"/>
  <c r="D10" i="15"/>
  <c r="C10" i="15"/>
  <c r="B10" i="15"/>
  <c r="A10" i="15"/>
  <c r="I9" i="15"/>
  <c r="H9" i="15"/>
  <c r="G9" i="15"/>
  <c r="F9" i="15"/>
  <c r="E9" i="15"/>
  <c r="D9" i="15"/>
  <c r="C9" i="15"/>
  <c r="B9" i="15"/>
  <c r="A9" i="15"/>
  <c r="I8" i="15"/>
  <c r="H8" i="15"/>
  <c r="G8" i="15"/>
  <c r="F8" i="15"/>
  <c r="E8" i="15"/>
  <c r="D8" i="15"/>
  <c r="C8" i="15"/>
  <c r="B8" i="15"/>
  <c r="A8" i="15"/>
  <c r="I7" i="15"/>
  <c r="U7" i="15" s="1"/>
  <c r="H7" i="15"/>
  <c r="G7" i="15"/>
  <c r="F7" i="15"/>
  <c r="E7" i="15"/>
  <c r="D7" i="15"/>
  <c r="C7" i="15"/>
  <c r="B7" i="15"/>
  <c r="A7" i="15"/>
  <c r="I6" i="15"/>
  <c r="H6" i="15"/>
  <c r="G6" i="15"/>
  <c r="F6" i="15"/>
  <c r="E6" i="15"/>
  <c r="D6" i="15"/>
  <c r="C6" i="15"/>
  <c r="B6" i="15"/>
  <c r="A6" i="15"/>
  <c r="I5" i="15"/>
  <c r="H5" i="15"/>
  <c r="G5" i="15"/>
  <c r="F5" i="15"/>
  <c r="E5" i="15"/>
  <c r="D5" i="15"/>
  <c r="C5" i="15"/>
  <c r="B5" i="15"/>
  <c r="A5" i="15"/>
  <c r="I4" i="15"/>
  <c r="H4" i="15"/>
  <c r="G4" i="15"/>
  <c r="F4" i="15"/>
  <c r="E4" i="15"/>
  <c r="D4" i="15"/>
  <c r="C4" i="15"/>
  <c r="B4" i="15"/>
  <c r="A4" i="15"/>
  <c r="I120" i="3"/>
  <c r="J42" i="15" s="1"/>
  <c r="I119" i="3"/>
  <c r="J41" i="15" s="1"/>
  <c r="I118" i="3"/>
  <c r="L118" i="3" s="1"/>
  <c r="I117" i="3"/>
  <c r="K117" i="3" s="1"/>
  <c r="I116" i="3"/>
  <c r="L116" i="3" s="1"/>
  <c r="I115" i="3"/>
  <c r="L115" i="3" s="1"/>
  <c r="I114" i="3"/>
  <c r="L114" i="3" s="1"/>
  <c r="I113" i="3"/>
  <c r="J57" i="15" s="1"/>
  <c r="I112" i="3"/>
  <c r="J56" i="15" s="1"/>
  <c r="I111" i="3"/>
  <c r="J55" i="15" s="1"/>
  <c r="I110" i="3"/>
  <c r="J54" i="15" s="1"/>
  <c r="I109" i="3"/>
  <c r="J53" i="15" s="1"/>
  <c r="I108" i="3"/>
  <c r="J52" i="15" s="1"/>
  <c r="M52" i="15" s="1"/>
  <c r="O52" i="15" s="1"/>
  <c r="I107" i="3"/>
  <c r="J51" i="15" s="1"/>
  <c r="N51" i="15" s="1"/>
  <c r="I106" i="3"/>
  <c r="J50" i="15" s="1"/>
  <c r="I105" i="3"/>
  <c r="L105" i="3" s="1"/>
  <c r="I104" i="3"/>
  <c r="J40" i="15" s="1"/>
  <c r="I103" i="3"/>
  <c r="J39" i="15" s="1"/>
  <c r="I102" i="3"/>
  <c r="J38" i="15" s="1"/>
  <c r="I101" i="3"/>
  <c r="J37" i="15" s="1"/>
  <c r="I100" i="3"/>
  <c r="J36" i="15" s="1"/>
  <c r="I99" i="3"/>
  <c r="J35" i="15" s="1"/>
  <c r="I98" i="3"/>
  <c r="J34" i="15" s="1"/>
  <c r="I97" i="3"/>
  <c r="J33" i="15" s="1"/>
  <c r="I96" i="3"/>
  <c r="L96" i="3" s="1"/>
  <c r="I95" i="3"/>
  <c r="J32" i="15" s="1"/>
  <c r="I94" i="3"/>
  <c r="J31" i="15" s="1"/>
  <c r="I93" i="3"/>
  <c r="J30" i="15" s="1"/>
  <c r="I92" i="3"/>
  <c r="J29" i="15" s="1"/>
  <c r="I91" i="3"/>
  <c r="I90" i="3"/>
  <c r="L90" i="3" s="1"/>
  <c r="I89" i="3"/>
  <c r="L89" i="3" s="1"/>
  <c r="I88" i="3"/>
  <c r="K88" i="3" s="1"/>
  <c r="J88" i="3" s="1"/>
  <c r="I87" i="3"/>
  <c r="J28" i="15" s="1"/>
  <c r="I86" i="3"/>
  <c r="J27" i="15" s="1"/>
  <c r="I85" i="3"/>
  <c r="J26" i="15" s="1"/>
  <c r="I84" i="3"/>
  <c r="J25" i="15" s="1"/>
  <c r="I83" i="3"/>
  <c r="J16" i="15" s="1"/>
  <c r="I82" i="3"/>
  <c r="J15" i="15" s="1"/>
  <c r="I81" i="3"/>
  <c r="J14" i="15" s="1"/>
  <c r="I80" i="3"/>
  <c r="J13" i="15" s="1"/>
  <c r="I79" i="3"/>
  <c r="I78" i="3"/>
  <c r="L78" i="3" s="1"/>
  <c r="I77" i="3"/>
  <c r="L77" i="3" s="1"/>
  <c r="I76" i="3"/>
  <c r="L76" i="3" s="1"/>
  <c r="I75" i="3"/>
  <c r="L75" i="3" s="1"/>
  <c r="I74" i="3"/>
  <c r="L74" i="3" s="1"/>
  <c r="I73" i="3"/>
  <c r="J24" i="15" s="1"/>
  <c r="I72" i="3"/>
  <c r="J23" i="15" s="1"/>
  <c r="I71" i="3"/>
  <c r="L71" i="3" s="1"/>
  <c r="I70" i="3"/>
  <c r="I69" i="3"/>
  <c r="L69" i="3" s="1"/>
  <c r="I68" i="3"/>
  <c r="K68" i="3" s="1"/>
  <c r="I67" i="3"/>
  <c r="K67" i="3" s="1"/>
  <c r="I66" i="3"/>
  <c r="L66" i="3" s="1"/>
  <c r="I65" i="3"/>
  <c r="L65" i="3" s="1"/>
  <c r="I64" i="3"/>
  <c r="L64" i="3" s="1"/>
  <c r="I63" i="3"/>
  <c r="L63" i="3" s="1"/>
  <c r="I62" i="3"/>
  <c r="K62" i="3" s="1"/>
  <c r="I61" i="3"/>
  <c r="L61" i="3" s="1"/>
  <c r="I60" i="3"/>
  <c r="L60" i="3" s="1"/>
  <c r="I59" i="3"/>
  <c r="I58" i="3"/>
  <c r="K58" i="3" s="1"/>
  <c r="I57" i="3"/>
  <c r="L57" i="3" s="1"/>
  <c r="I56" i="3"/>
  <c r="L56" i="3" s="1"/>
  <c r="I55" i="3"/>
  <c r="K55" i="3" s="1"/>
  <c r="I54" i="3"/>
  <c r="K54" i="3" s="1"/>
  <c r="I53" i="3"/>
  <c r="I52" i="3"/>
  <c r="I51" i="3"/>
  <c r="L51" i="3" s="1"/>
  <c r="I50" i="3"/>
  <c r="I49" i="3"/>
  <c r="I48" i="3"/>
  <c r="J49" i="15" s="1"/>
  <c r="I47" i="3"/>
  <c r="I46" i="3"/>
  <c r="J11" i="15" s="1"/>
  <c r="I45" i="3"/>
  <c r="J10" i="15" s="1"/>
  <c r="I44" i="3"/>
  <c r="J9" i="15" s="1"/>
  <c r="I43" i="3"/>
  <c r="I42" i="3"/>
  <c r="L42" i="3" s="1"/>
  <c r="I41" i="3"/>
  <c r="I40" i="3"/>
  <c r="K40" i="3" s="1"/>
  <c r="I39" i="3"/>
  <c r="I38" i="3"/>
  <c r="L38" i="3" s="1"/>
  <c r="I37" i="3"/>
  <c r="J48" i="15" s="1"/>
  <c r="M48" i="15" s="1"/>
  <c r="O48" i="15" s="1"/>
  <c r="I36" i="3"/>
  <c r="J47" i="15" s="1"/>
  <c r="N47" i="15" s="1"/>
  <c r="I35" i="3"/>
  <c r="L35" i="3" s="1"/>
  <c r="I34" i="3"/>
  <c r="L34" i="3" s="1"/>
  <c r="I33" i="3"/>
  <c r="L33" i="3" s="1"/>
  <c r="I32" i="3"/>
  <c r="I31" i="3"/>
  <c r="K31" i="3" s="1"/>
  <c r="I30" i="3"/>
  <c r="K30" i="3" s="1"/>
  <c r="J30" i="3" s="1"/>
  <c r="I29" i="3"/>
  <c r="L29" i="3" s="1"/>
  <c r="I28" i="3"/>
  <c r="K28" i="3" s="1"/>
  <c r="I27" i="3"/>
  <c r="J8" i="15" s="1"/>
  <c r="I26" i="3"/>
  <c r="L26" i="3" s="1"/>
  <c r="I25" i="3"/>
  <c r="I24" i="3"/>
  <c r="K24" i="3" s="1"/>
  <c r="I23" i="3"/>
  <c r="L23" i="3" s="1"/>
  <c r="I22" i="3"/>
  <c r="I21" i="3"/>
  <c r="K21" i="3" s="1"/>
  <c r="I20" i="3"/>
  <c r="K20" i="3" s="1"/>
  <c r="I19" i="3"/>
  <c r="J22" i="15" s="1"/>
  <c r="I18" i="3"/>
  <c r="J7" i="15" s="1"/>
  <c r="I17" i="3"/>
  <c r="L17" i="3" s="1"/>
  <c r="I16" i="3"/>
  <c r="I15" i="3"/>
  <c r="K15" i="3" s="1"/>
  <c r="I14" i="3"/>
  <c r="L14" i="3" s="1"/>
  <c r="I13" i="3"/>
  <c r="I12" i="3"/>
  <c r="J6" i="15" s="1"/>
  <c r="I11" i="3"/>
  <c r="K11" i="3" s="1"/>
  <c r="J11" i="3" s="1"/>
  <c r="I10" i="3"/>
  <c r="J5" i="15" s="1"/>
  <c r="I9" i="3"/>
  <c r="J4" i="15" s="1"/>
  <c r="I8" i="3"/>
  <c r="L8" i="3" s="1"/>
  <c r="I7" i="3"/>
  <c r="I6" i="3"/>
  <c r="K6" i="3" s="1"/>
  <c r="J6" i="3" s="1"/>
  <c r="I5" i="3"/>
  <c r="I4" i="3"/>
  <c r="I3" i="3"/>
  <c r="L3" i="3" s="1"/>
  <c r="I2" i="3"/>
  <c r="M45" i="2"/>
  <c r="A30" i="14" s="1"/>
  <c r="L45" i="2"/>
  <c r="K45" i="2"/>
  <c r="M44" i="2"/>
  <c r="A29" i="14" s="1"/>
  <c r="L44" i="2"/>
  <c r="K44" i="2"/>
  <c r="M43" i="2"/>
  <c r="M42" i="2"/>
  <c r="A28" i="14" s="1"/>
  <c r="L42" i="2"/>
  <c r="K42" i="2"/>
  <c r="M41" i="2"/>
  <c r="A27" i="14" s="1"/>
  <c r="L41" i="2"/>
  <c r="K41" i="2"/>
  <c r="M40" i="2"/>
  <c r="L40" i="2"/>
  <c r="K40" i="2"/>
  <c r="M39" i="2"/>
  <c r="L39" i="2"/>
  <c r="K39" i="2"/>
  <c r="M38" i="2"/>
  <c r="L38" i="2"/>
  <c r="K38" i="2"/>
  <c r="M37" i="2"/>
  <c r="L37" i="2"/>
  <c r="K37" i="2"/>
  <c r="M36" i="2"/>
  <c r="L36" i="2"/>
  <c r="K36" i="2"/>
  <c r="M35" i="2"/>
  <c r="L35" i="2"/>
  <c r="K35" i="2"/>
  <c r="M34" i="2"/>
  <c r="L34" i="2"/>
  <c r="K34" i="2"/>
  <c r="M33" i="2"/>
  <c r="A26" i="14" s="1"/>
  <c r="L33" i="2"/>
  <c r="K33" i="2"/>
  <c r="M32" i="2"/>
  <c r="A25" i="14" s="1"/>
  <c r="L32" i="2"/>
  <c r="K32" i="2"/>
  <c r="M31" i="2"/>
  <c r="A24" i="14" s="1"/>
  <c r="L31" i="2"/>
  <c r="K31" i="2"/>
  <c r="M30" i="2"/>
  <c r="A23" i="14" s="1"/>
  <c r="L30" i="2"/>
  <c r="K30" i="2"/>
  <c r="M29" i="2"/>
  <c r="A22" i="14" s="1"/>
  <c r="L29" i="2"/>
  <c r="K29" i="2"/>
  <c r="M28" i="2"/>
  <c r="A21" i="14" s="1"/>
  <c r="L28" i="2"/>
  <c r="K28" i="2"/>
  <c r="M27" i="2"/>
  <c r="A20" i="14" s="1"/>
  <c r="L27" i="2"/>
  <c r="K27" i="2"/>
  <c r="M26" i="2"/>
  <c r="A19" i="14" s="1"/>
  <c r="L26" i="2"/>
  <c r="K26" i="2"/>
  <c r="M25" i="2"/>
  <c r="M24" i="2"/>
  <c r="M23" i="2"/>
  <c r="A18" i="14" s="1"/>
  <c r="L23" i="2"/>
  <c r="K23" i="2"/>
  <c r="M22" i="2"/>
  <c r="A17" i="14" s="1"/>
  <c r="L22" i="2"/>
  <c r="K22" i="2"/>
  <c r="M21" i="2"/>
  <c r="A16" i="14" s="1"/>
  <c r="L21" i="2"/>
  <c r="K21" i="2"/>
  <c r="M20" i="2"/>
  <c r="A15" i="14" s="1"/>
  <c r="L20" i="2"/>
  <c r="K20" i="2"/>
  <c r="M19" i="2"/>
  <c r="A14" i="14" s="1"/>
  <c r="L19" i="2"/>
  <c r="K19" i="2"/>
  <c r="M18" i="2"/>
  <c r="A13" i="14" s="1"/>
  <c r="L18" i="2"/>
  <c r="K18" i="2"/>
  <c r="M17" i="2"/>
  <c r="M16" i="2"/>
  <c r="M15" i="2"/>
  <c r="M14" i="2"/>
  <c r="L14" i="2"/>
  <c r="K14" i="2"/>
  <c r="M13" i="2"/>
  <c r="A12" i="14" s="1"/>
  <c r="L13" i="2"/>
  <c r="K13" i="2"/>
  <c r="M12" i="2"/>
  <c r="A11" i="14" s="1"/>
  <c r="L12" i="2"/>
  <c r="K12" i="2"/>
  <c r="M11" i="2"/>
  <c r="A10" i="14" s="1"/>
  <c r="L11" i="2"/>
  <c r="K11" i="2"/>
  <c r="M10" i="2"/>
  <c r="L10" i="2"/>
  <c r="K10" i="2"/>
  <c r="M9" i="2"/>
  <c r="A8" i="14" s="1"/>
  <c r="L9" i="2"/>
  <c r="K9" i="2"/>
  <c r="M8" i="2"/>
  <c r="L8" i="2"/>
  <c r="K8" i="2"/>
  <c r="M7" i="2"/>
  <c r="A7" i="14" s="1"/>
  <c r="M6" i="2"/>
  <c r="A6" i="14" s="1"/>
  <c r="M5" i="2"/>
  <c r="A5" i="14" s="1"/>
  <c r="M4" i="2"/>
  <c r="A4" i="14" s="1"/>
  <c r="L4" i="2"/>
  <c r="K4" i="2"/>
  <c r="M3" i="2"/>
  <c r="L3" i="2"/>
  <c r="K3" i="2"/>
  <c r="M2" i="2"/>
  <c r="L2" i="2"/>
  <c r="K2" i="2"/>
  <c r="B41" i="14"/>
  <c r="B18" i="14"/>
  <c r="B14" i="14"/>
  <c r="B13" i="14"/>
  <c r="B10" i="14"/>
  <c r="B4" i="14"/>
  <c r="B3" i="14"/>
  <c r="G48" i="1"/>
  <c r="G47" i="1"/>
  <c r="G46" i="1"/>
  <c r="G45" i="1"/>
  <c r="F45" i="1"/>
  <c r="E45" i="1"/>
  <c r="G43" i="1"/>
  <c r="G42" i="1"/>
  <c r="G41" i="1"/>
  <c r="G36" i="1"/>
  <c r="G35" i="1"/>
  <c r="G34" i="1"/>
  <c r="G33" i="1"/>
  <c r="F33" i="1"/>
  <c r="E33" i="1"/>
  <c r="G31" i="1"/>
  <c r="G30" i="1"/>
  <c r="G29" i="1"/>
  <c r="G28" i="1"/>
  <c r="G24" i="1"/>
  <c r="G23" i="1"/>
  <c r="G22" i="1"/>
  <c r="G21" i="1"/>
  <c r="F21" i="1"/>
  <c r="E21" i="1"/>
  <c r="G19" i="1"/>
  <c r="G18" i="1"/>
  <c r="G17" i="1"/>
  <c r="F8" i="1"/>
  <c r="E8" i="1"/>
  <c r="G3" i="1"/>
  <c r="T25" i="15" l="1"/>
  <c r="P28" i="15"/>
  <c r="V33" i="15"/>
  <c r="P42" i="15"/>
  <c r="R28" i="15"/>
  <c r="R42" i="15"/>
  <c r="T28" i="15"/>
  <c r="T42" i="15"/>
  <c r="E36" i="1"/>
  <c r="V28" i="15"/>
  <c r="X33" i="15"/>
  <c r="V42" i="15"/>
  <c r="S13" i="15"/>
  <c r="U13" i="15" s="1"/>
  <c r="L80" i="3" s="1"/>
  <c r="N48" i="15"/>
  <c r="L37" i="3" s="1"/>
  <c r="M55" i="15"/>
  <c r="O55" i="15" s="1"/>
  <c r="X39" i="15"/>
  <c r="X37" i="15"/>
  <c r="U12" i="15"/>
  <c r="L47" i="3" s="1"/>
  <c r="T34" i="15"/>
  <c r="R23" i="15"/>
  <c r="X29" i="15"/>
  <c r="S15" i="15"/>
  <c r="U15" i="15" s="1"/>
  <c r="L82" i="3" s="1"/>
  <c r="V26" i="15"/>
  <c r="P35" i="15"/>
  <c r="V40" i="15"/>
  <c r="R15" i="15"/>
  <c r="T15" i="15" s="1"/>
  <c r="V15" i="15" s="1"/>
  <c r="R35" i="15"/>
  <c r="R13" i="15"/>
  <c r="T13" i="15" s="1"/>
  <c r="V13" i="15" s="1"/>
  <c r="S6" i="15"/>
  <c r="U6" i="15" s="1"/>
  <c r="T35" i="15"/>
  <c r="M53" i="15"/>
  <c r="O53" i="15" s="1"/>
  <c r="Q13" i="15"/>
  <c r="X26" i="15"/>
  <c r="V35" i="15"/>
  <c r="X40" i="15"/>
  <c r="R14" i="15"/>
  <c r="T14" i="15" s="1"/>
  <c r="V14" i="15" s="1"/>
  <c r="R30" i="15"/>
  <c r="N56" i="15"/>
  <c r="L112" i="3" s="1"/>
  <c r="T7" i="15"/>
  <c r="V7" i="15" s="1"/>
  <c r="Q14" i="15"/>
  <c r="S14" i="15" s="1"/>
  <c r="U14" i="15" s="1"/>
  <c r="L81" i="3" s="1"/>
  <c r="U4" i="15"/>
  <c r="L9" i="3" s="1"/>
  <c r="M54" i="15"/>
  <c r="O54" i="15" s="1"/>
  <c r="P15" i="15"/>
  <c r="P27" i="15"/>
  <c r="T41" i="15"/>
  <c r="Q15" i="15"/>
  <c r="X22" i="15"/>
  <c r="X36" i="15"/>
  <c r="P16" i="15"/>
  <c r="R16" i="15" s="1"/>
  <c r="T16" i="15" s="1"/>
  <c r="Q16" i="15"/>
  <c r="S16" i="15" s="1"/>
  <c r="U16" i="15" s="1"/>
  <c r="L83" i="3" s="1"/>
  <c r="Y38" i="15"/>
  <c r="U5" i="15"/>
  <c r="P25" i="15"/>
  <c r="T39" i="15"/>
  <c r="V27" i="15"/>
  <c r="P39" i="15"/>
  <c r="R25" i="15"/>
  <c r="X25" i="15"/>
  <c r="M47" i="15"/>
  <c r="O47" i="15" s="1"/>
  <c r="X41" i="15"/>
  <c r="F48" i="1"/>
  <c r="R22" i="15"/>
  <c r="R29" i="15"/>
  <c r="R36" i="15"/>
  <c r="N55" i="15"/>
  <c r="L111" i="3" s="1"/>
  <c r="R6" i="15"/>
  <c r="T6" i="15" s="1"/>
  <c r="V6" i="15" s="1"/>
  <c r="T30" i="15"/>
  <c r="R39" i="15"/>
  <c r="R41" i="15"/>
  <c r="T27" i="15"/>
  <c r="P22" i="15"/>
  <c r="X27" i="15"/>
  <c r="X34" i="15"/>
  <c r="P36" i="15"/>
  <c r="J33" i="7"/>
  <c r="E35" i="1"/>
  <c r="E24" i="1"/>
  <c r="T22" i="15"/>
  <c r="T29" i="15"/>
  <c r="T36" i="15"/>
  <c r="R37" i="15"/>
  <c r="V37" i="15"/>
  <c r="X30" i="15"/>
  <c r="V39" i="15"/>
  <c r="P41" i="15"/>
  <c r="R27" i="15"/>
  <c r="V34" i="15"/>
  <c r="V41" i="15"/>
  <c r="P29" i="15"/>
  <c r="F36" i="1"/>
  <c r="T4" i="15"/>
  <c r="V4" i="15" s="1"/>
  <c r="V22" i="15"/>
  <c r="V29" i="15"/>
  <c r="V36" i="15"/>
  <c r="T23" i="15"/>
  <c r="X23" i="15"/>
  <c r="R32" i="15"/>
  <c r="M49" i="15"/>
  <c r="O49" i="15" s="1"/>
  <c r="M56" i="15"/>
  <c r="O56" i="15" s="1"/>
  <c r="P30" i="15"/>
  <c r="V23" i="15"/>
  <c r="V30" i="15"/>
  <c r="P32" i="15"/>
  <c r="V25" i="15"/>
  <c r="P34" i="15"/>
  <c r="R34" i="15"/>
  <c r="E20" i="1"/>
  <c r="R24" i="15"/>
  <c r="R31" i="15"/>
  <c r="R38" i="15"/>
  <c r="P37" i="15"/>
  <c r="T37" i="15"/>
  <c r="X32" i="15"/>
  <c r="F20" i="1"/>
  <c r="T24" i="15"/>
  <c r="Y24" i="15" s="1"/>
  <c r="T31" i="15"/>
  <c r="T38" i="15"/>
  <c r="P23" i="15"/>
  <c r="F47" i="1"/>
  <c r="E47" i="1"/>
  <c r="V24" i="15"/>
  <c r="V31" i="15"/>
  <c r="V38" i="15"/>
  <c r="T32" i="15"/>
  <c r="P26" i="15"/>
  <c r="P33" i="15"/>
  <c r="Y33" i="15" s="1"/>
  <c r="P40" i="15"/>
  <c r="M50" i="15"/>
  <c r="O50" i="15" s="1"/>
  <c r="M57" i="15"/>
  <c r="O57" i="15" s="1"/>
  <c r="H11" i="6"/>
  <c r="J11" i="6" s="1"/>
  <c r="T5" i="15"/>
  <c r="V5" i="15" s="1"/>
  <c r="R26" i="15"/>
  <c r="R33" i="15"/>
  <c r="R40" i="15"/>
  <c r="T26" i="15"/>
  <c r="T33" i="15"/>
  <c r="T40" i="15"/>
  <c r="I40" i="7"/>
  <c r="L117" i="3"/>
  <c r="M117" i="3" s="1"/>
  <c r="I38" i="6"/>
  <c r="J38" i="6" s="1"/>
  <c r="K66" i="3"/>
  <c r="J66" i="3" s="1"/>
  <c r="C47" i="1"/>
  <c r="D47" i="1" s="1"/>
  <c r="F39" i="1"/>
  <c r="I44" i="6"/>
  <c r="J44" i="6" s="1"/>
  <c r="I14" i="6"/>
  <c r="J14" i="6" s="1"/>
  <c r="L110" i="3"/>
  <c r="B47" i="1"/>
  <c r="H32" i="6"/>
  <c r="J32" i="6" s="1"/>
  <c r="I23" i="7"/>
  <c r="J23" i="7" s="1"/>
  <c r="K107" i="3"/>
  <c r="I33" i="6"/>
  <c r="J33" i="6" s="1"/>
  <c r="L21" i="3"/>
  <c r="M21" i="3" s="1"/>
  <c r="L27" i="3"/>
  <c r="K74" i="3"/>
  <c r="M74" i="3" s="1"/>
  <c r="L54" i="3"/>
  <c r="K78" i="3"/>
  <c r="J78" i="3" s="1"/>
  <c r="L30" i="3"/>
  <c r="M30" i="3" s="1"/>
  <c r="L58" i="3"/>
  <c r="M58" i="3" s="1"/>
  <c r="L109" i="3"/>
  <c r="K14" i="3"/>
  <c r="H7" i="1"/>
  <c r="G7" i="1"/>
  <c r="F7" i="1"/>
  <c r="B32" i="14"/>
  <c r="B32" i="1"/>
  <c r="L22" i="3"/>
  <c r="K22" i="3"/>
  <c r="K63" i="3"/>
  <c r="M63" i="3" s="1"/>
  <c r="I36" i="7"/>
  <c r="H36" i="7"/>
  <c r="L107" i="3"/>
  <c r="I16" i="6"/>
  <c r="J16" i="6" s="1"/>
  <c r="G32" i="1"/>
  <c r="E7" i="1"/>
  <c r="F44" i="1"/>
  <c r="L91" i="3"/>
  <c r="K91" i="3"/>
  <c r="G20" i="1"/>
  <c r="B15" i="1"/>
  <c r="A2" i="14"/>
  <c r="L2" i="3"/>
  <c r="K2" i="3"/>
  <c r="M54" i="3"/>
  <c r="J54" i="3"/>
  <c r="K5" i="3"/>
  <c r="L5" i="3"/>
  <c r="F32" i="1"/>
  <c r="J58" i="3"/>
  <c r="I51" i="6"/>
  <c r="J51" i="6" s="1"/>
  <c r="K96" i="3"/>
  <c r="M96" i="3" s="1"/>
  <c r="H17" i="6"/>
  <c r="J17" i="6" s="1"/>
  <c r="K76" i="3"/>
  <c r="M76" i="3" s="1"/>
  <c r="K44" i="3"/>
  <c r="I35" i="6"/>
  <c r="J35" i="6" s="1"/>
  <c r="K3" i="3"/>
  <c r="M3" i="3" s="1"/>
  <c r="K23" i="3"/>
  <c r="J23" i="3" s="1"/>
  <c r="K38" i="3"/>
  <c r="K64" i="3"/>
  <c r="J64" i="3" s="1"/>
  <c r="C32" i="1"/>
  <c r="D32" i="1" s="1"/>
  <c r="K17" i="3"/>
  <c r="K108" i="3"/>
  <c r="I21" i="7"/>
  <c r="J21" i="7" s="1"/>
  <c r="H39" i="7"/>
  <c r="J39" i="7" s="1"/>
  <c r="E32" i="1"/>
  <c r="K65" i="3"/>
  <c r="J65" i="3" s="1"/>
  <c r="K77" i="3"/>
  <c r="J77" i="3" s="1"/>
  <c r="K106" i="3"/>
  <c r="L108" i="3"/>
  <c r="I19" i="6"/>
  <c r="J19" i="6" s="1"/>
  <c r="I37" i="6"/>
  <c r="J37" i="6" s="1"/>
  <c r="H4" i="7"/>
  <c r="J4" i="7" s="1"/>
  <c r="B6" i="14"/>
  <c r="L106" i="3"/>
  <c r="E29" i="1"/>
  <c r="H2" i="6"/>
  <c r="I7" i="7"/>
  <c r="J7" i="7" s="1"/>
  <c r="C29" i="1"/>
  <c r="L113" i="3"/>
  <c r="I8" i="6"/>
  <c r="J8" i="6" s="1"/>
  <c r="F27" i="1"/>
  <c r="L10" i="3"/>
  <c r="L46" i="3"/>
  <c r="I26" i="6"/>
  <c r="J26" i="6" s="1"/>
  <c r="I28" i="7"/>
  <c r="J28" i="7" s="1"/>
  <c r="H11" i="7"/>
  <c r="J11" i="7" s="1"/>
  <c r="B20" i="1"/>
  <c r="I29" i="7"/>
  <c r="J29" i="7" s="1"/>
  <c r="L55" i="3"/>
  <c r="J55" i="3" s="1"/>
  <c r="I5" i="6"/>
  <c r="H39" i="6"/>
  <c r="J39" i="6" s="1"/>
  <c r="K57" i="3"/>
  <c r="J57" i="3" s="1"/>
  <c r="H27" i="7"/>
  <c r="J27" i="7" s="1"/>
  <c r="C22" i="1"/>
  <c r="L20" i="3"/>
  <c r="M20" i="3" s="1"/>
  <c r="L31" i="3"/>
  <c r="M31" i="3" s="1"/>
  <c r="L88" i="3"/>
  <c r="M88" i="3" s="1"/>
  <c r="K18" i="3"/>
  <c r="I12" i="6"/>
  <c r="J12" i="6" s="1"/>
  <c r="I30" i="6"/>
  <c r="J30" i="6" s="1"/>
  <c r="I14" i="7"/>
  <c r="J14" i="7" s="1"/>
  <c r="L6" i="3"/>
  <c r="M6" i="3" s="1"/>
  <c r="I23" i="6"/>
  <c r="J23" i="6" s="1"/>
  <c r="I24" i="6"/>
  <c r="J24" i="6" s="1"/>
  <c r="J8" i="7"/>
  <c r="E15" i="1"/>
  <c r="E39" i="1"/>
  <c r="F15" i="1"/>
  <c r="L11" i="3"/>
  <c r="M11" i="3"/>
  <c r="K118" i="3"/>
  <c r="K61" i="3"/>
  <c r="K89" i="3"/>
  <c r="I47" i="6"/>
  <c r="J47" i="6" s="1"/>
  <c r="J40" i="7"/>
  <c r="M66" i="3"/>
  <c r="I24" i="7"/>
  <c r="J24" i="7" s="1"/>
  <c r="K27" i="3"/>
  <c r="E22" i="1"/>
  <c r="E44" i="1"/>
  <c r="F24" i="1"/>
  <c r="L45" i="3"/>
  <c r="I40" i="6"/>
  <c r="J40" i="6" s="1"/>
  <c r="K29" i="3"/>
  <c r="I29" i="6"/>
  <c r="J29" i="6" s="1"/>
  <c r="E27" i="1"/>
  <c r="L36" i="3"/>
  <c r="K47" i="3"/>
  <c r="J28" i="3"/>
  <c r="H5" i="7"/>
  <c r="I5" i="7"/>
  <c r="D9" i="9"/>
  <c r="C9" i="9"/>
  <c r="B9" i="9"/>
  <c r="C21" i="1"/>
  <c r="B21" i="1"/>
  <c r="B11" i="1"/>
  <c r="J11" i="1"/>
  <c r="H11" i="1"/>
  <c r="B48" i="1"/>
  <c r="C11" i="1"/>
  <c r="C48" i="1"/>
  <c r="G11" i="1"/>
  <c r="F11" i="1"/>
  <c r="E11" i="1"/>
  <c r="E48" i="1"/>
  <c r="B2" i="1"/>
  <c r="J117" i="3"/>
  <c r="L59" i="3"/>
  <c r="K59" i="3"/>
  <c r="K42" i="3"/>
  <c r="L49" i="3"/>
  <c r="K49" i="3"/>
  <c r="F2" i="1"/>
  <c r="L15" i="3"/>
  <c r="J15" i="3" s="1"/>
  <c r="K50" i="3"/>
  <c r="L50" i="3"/>
  <c r="K79" i="3"/>
  <c r="L79" i="3"/>
  <c r="H22" i="7"/>
  <c r="J22" i="7" s="1"/>
  <c r="B41" i="1"/>
  <c r="C4" i="1"/>
  <c r="B4" i="1"/>
  <c r="E4" i="1"/>
  <c r="B4" i="9"/>
  <c r="F41" i="1"/>
  <c r="K32" i="3"/>
  <c r="L32" i="3"/>
  <c r="L52" i="3"/>
  <c r="K52" i="3"/>
  <c r="I43" i="6"/>
  <c r="H43" i="6"/>
  <c r="A9" i="14"/>
  <c r="C27" i="1"/>
  <c r="B27" i="1"/>
  <c r="J62" i="3"/>
  <c r="K90" i="3"/>
  <c r="I15" i="6"/>
  <c r="J15" i="6" s="1"/>
  <c r="B17" i="1"/>
  <c r="C17" i="1"/>
  <c r="H8" i="1"/>
  <c r="G8" i="1"/>
  <c r="D12" i="9"/>
  <c r="C12" i="9"/>
  <c r="B12" i="9"/>
  <c r="C45" i="1"/>
  <c r="B8" i="1"/>
  <c r="B45" i="1"/>
  <c r="B6" i="9"/>
  <c r="D6" i="9"/>
  <c r="J8" i="1"/>
  <c r="I8" i="1"/>
  <c r="C6" i="9"/>
  <c r="C36" i="1"/>
  <c r="B36" i="1"/>
  <c r="C15" i="1"/>
  <c r="F9" i="1"/>
  <c r="B35" i="1"/>
  <c r="C35" i="1"/>
  <c r="D35" i="1" s="1"/>
  <c r="L7" i="3"/>
  <c r="K7" i="3"/>
  <c r="K16" i="3"/>
  <c r="L16" i="3"/>
  <c r="I28" i="6"/>
  <c r="H28" i="6"/>
  <c r="G15" i="1"/>
  <c r="J31" i="3"/>
  <c r="E9" i="1"/>
  <c r="D4" i="9"/>
  <c r="H9" i="7"/>
  <c r="J9" i="7" s="1"/>
  <c r="B34" i="1"/>
  <c r="C34" i="1"/>
  <c r="D34" i="1" s="1"/>
  <c r="J10" i="1"/>
  <c r="C10" i="1"/>
  <c r="B10" i="1"/>
  <c r="D7" i="9"/>
  <c r="C7" i="9"/>
  <c r="B7" i="9"/>
  <c r="F10" i="1"/>
  <c r="J2" i="6"/>
  <c r="E10" i="1"/>
  <c r="H3" i="6"/>
  <c r="L24" i="3"/>
  <c r="B7" i="1"/>
  <c r="C7" i="1"/>
  <c r="B2" i="14"/>
  <c r="H36" i="6"/>
  <c r="J36" i="6" s="1"/>
  <c r="L67" i="3"/>
  <c r="M67" i="3" s="1"/>
  <c r="L12" i="3"/>
  <c r="F4" i="1"/>
  <c r="J9" i="1"/>
  <c r="H10" i="6"/>
  <c r="J10" i="6" s="1"/>
  <c r="C10" i="9"/>
  <c r="B10" i="9"/>
  <c r="C33" i="1"/>
  <c r="B33" i="1"/>
  <c r="C46" i="1"/>
  <c r="B46" i="1"/>
  <c r="L25" i="3"/>
  <c r="K25" i="3"/>
  <c r="I50" i="6"/>
  <c r="J50" i="6" s="1"/>
  <c r="G39" i="1"/>
  <c r="L28" i="3"/>
  <c r="M28" i="3" s="1"/>
  <c r="G44" i="1"/>
  <c r="H41" i="7"/>
  <c r="J41" i="7" s="1"/>
  <c r="K35" i="3"/>
  <c r="H21" i="6"/>
  <c r="J21" i="6" s="1"/>
  <c r="G10" i="1"/>
  <c r="H10" i="1"/>
  <c r="B39" i="1"/>
  <c r="C39" i="1"/>
  <c r="I10" i="1"/>
  <c r="L4" i="3"/>
  <c r="K4" i="3"/>
  <c r="L68" i="3"/>
  <c r="M68" i="3" s="1"/>
  <c r="I45" i="6"/>
  <c r="H45" i="6"/>
  <c r="F46" i="1"/>
  <c r="E46" i="1"/>
  <c r="J24" i="3"/>
  <c r="C24" i="1"/>
  <c r="B24" i="1"/>
  <c r="C8" i="1"/>
  <c r="K56" i="3"/>
  <c r="I9" i="1"/>
  <c r="I11" i="1"/>
  <c r="I25" i="6"/>
  <c r="H25" i="6"/>
  <c r="H9" i="1"/>
  <c r="L13" i="3"/>
  <c r="K13" i="3"/>
  <c r="F34" i="1"/>
  <c r="L43" i="3"/>
  <c r="K43" i="3"/>
  <c r="I30" i="7"/>
  <c r="K26" i="3"/>
  <c r="I43" i="7"/>
  <c r="H43" i="7"/>
  <c r="B22" i="1"/>
  <c r="D11" i="9"/>
  <c r="C11" i="9"/>
  <c r="D5" i="9"/>
  <c r="F23" i="1"/>
  <c r="F22" i="1"/>
  <c r="K34" i="3"/>
  <c r="I46" i="6"/>
  <c r="H46" i="6"/>
  <c r="E23" i="1"/>
  <c r="E17" i="1"/>
  <c r="I12" i="7"/>
  <c r="J12" i="7" s="1"/>
  <c r="K105" i="3"/>
  <c r="B9" i="1"/>
  <c r="B29" i="1"/>
  <c r="I4" i="1"/>
  <c r="H4" i="1"/>
  <c r="C20" i="1"/>
  <c r="C4" i="9"/>
  <c r="L70" i="3"/>
  <c r="K70" i="3"/>
  <c r="E41" i="1"/>
  <c r="H18" i="6"/>
  <c r="J18" i="6" s="1"/>
  <c r="H13" i="7"/>
  <c r="J13" i="7" s="1"/>
  <c r="L18" i="3"/>
  <c r="B5" i="9"/>
  <c r="H7" i="6"/>
  <c r="J7" i="6" s="1"/>
  <c r="B9" i="14"/>
  <c r="K69" i="3"/>
  <c r="K115" i="3"/>
  <c r="K75" i="3"/>
  <c r="B11" i="14"/>
  <c r="C41" i="1"/>
  <c r="H42" i="6"/>
  <c r="J42" i="6" s="1"/>
  <c r="H2" i="7"/>
  <c r="C5" i="9"/>
  <c r="H37" i="7"/>
  <c r="J37" i="7" s="1"/>
  <c r="C9" i="1"/>
  <c r="L39" i="3"/>
  <c r="K39" i="3"/>
  <c r="K116" i="3"/>
  <c r="J4" i="1"/>
  <c r="L62" i="3"/>
  <c r="M62" i="3" s="1"/>
  <c r="L44" i="3"/>
  <c r="I9" i="6"/>
  <c r="J9" i="6" s="1"/>
  <c r="C44" i="1"/>
  <c r="B44" i="1"/>
  <c r="E2" i="1"/>
  <c r="L53" i="3"/>
  <c r="K53" i="3"/>
  <c r="F29" i="1"/>
  <c r="H2" i="1"/>
  <c r="G2" i="1"/>
  <c r="C2" i="1"/>
  <c r="A3" i="14"/>
  <c r="G9" i="1"/>
  <c r="L41" i="3"/>
  <c r="K41" i="3"/>
  <c r="H52" i="6"/>
  <c r="J52" i="6" s="1"/>
  <c r="H20" i="7"/>
  <c r="J20" i="7" s="1"/>
  <c r="D10" i="9"/>
  <c r="E34" i="1"/>
  <c r="I38" i="7"/>
  <c r="H38" i="7"/>
  <c r="G27" i="1"/>
  <c r="I42" i="7"/>
  <c r="H42" i="7"/>
  <c r="C23" i="1"/>
  <c r="B23" i="1"/>
  <c r="H34" i="7"/>
  <c r="J34" i="7" s="1"/>
  <c r="H15" i="7"/>
  <c r="J15" i="7" s="1"/>
  <c r="I6" i="7"/>
  <c r="H6" i="7"/>
  <c r="J6" i="7" s="1"/>
  <c r="F17" i="1"/>
  <c r="H22" i="6"/>
  <c r="J22" i="6" s="1"/>
  <c r="H49" i="6"/>
  <c r="J49" i="6" s="1"/>
  <c r="I35" i="7"/>
  <c r="H35" i="7"/>
  <c r="H44" i="7"/>
  <c r="J44" i="7" s="1"/>
  <c r="K33" i="3"/>
  <c r="K114" i="3"/>
  <c r="H4" i="6"/>
  <c r="H31" i="6"/>
  <c r="J31" i="6" s="1"/>
  <c r="H26" i="7"/>
  <c r="J26" i="7" s="1"/>
  <c r="K71" i="3"/>
  <c r="L40" i="3"/>
  <c r="J40" i="3" s="1"/>
  <c r="K51" i="3"/>
  <c r="L48" i="3"/>
  <c r="H16" i="7"/>
  <c r="J16" i="7" s="1"/>
  <c r="B11" i="9"/>
  <c r="H31" i="7"/>
  <c r="J31" i="7" s="1"/>
  <c r="H3" i="7"/>
  <c r="H10" i="7"/>
  <c r="J10" i="7" s="1"/>
  <c r="H17" i="7"/>
  <c r="J17" i="7" s="1"/>
  <c r="K8" i="3"/>
  <c r="K60" i="3"/>
  <c r="H6" i="6"/>
  <c r="J6" i="6" s="1"/>
  <c r="H13" i="6"/>
  <c r="J13" i="6" s="1"/>
  <c r="H20" i="6"/>
  <c r="J20" i="6" s="1"/>
  <c r="H27" i="6"/>
  <c r="J27" i="6" s="1"/>
  <c r="H34" i="6"/>
  <c r="J34" i="6" s="1"/>
  <c r="H41" i="6"/>
  <c r="J41" i="6" s="1"/>
  <c r="H48" i="6"/>
  <c r="J48" i="6" s="1"/>
  <c r="H25" i="7"/>
  <c r="J25" i="7" s="1"/>
  <c r="H32" i="7"/>
  <c r="J32" i="7" s="1"/>
  <c r="V16" i="15" l="1"/>
  <c r="K83" i="3"/>
  <c r="Y27" i="15"/>
  <c r="Y26" i="15"/>
  <c r="AA26" i="15" s="1"/>
  <c r="AC26" i="15" s="1"/>
  <c r="K80" i="3"/>
  <c r="J20" i="3"/>
  <c r="K113" i="3"/>
  <c r="Y31" i="15"/>
  <c r="Y35" i="15"/>
  <c r="F42" i="1"/>
  <c r="Y42" i="15"/>
  <c r="J38" i="7"/>
  <c r="M78" i="3"/>
  <c r="K112" i="3"/>
  <c r="J46" i="6"/>
  <c r="Y28" i="15"/>
  <c r="D15" i="1"/>
  <c r="AA31" i="15"/>
  <c r="AC31" i="15" s="1"/>
  <c r="L94" i="3" s="1"/>
  <c r="Z31" i="15"/>
  <c r="AB31" i="15" s="1"/>
  <c r="AD31" i="15" s="1"/>
  <c r="AA24" i="15"/>
  <c r="AC24" i="15" s="1"/>
  <c r="Z24" i="15"/>
  <c r="AB24" i="15" s="1"/>
  <c r="AD24" i="15" s="1"/>
  <c r="AA27" i="15"/>
  <c r="AC27" i="15" s="1"/>
  <c r="Z27" i="15"/>
  <c r="AB27" i="15" s="1"/>
  <c r="AD27" i="15" s="1"/>
  <c r="Y39" i="15"/>
  <c r="Y34" i="15"/>
  <c r="AA33" i="15"/>
  <c r="AC33" i="15" s="1"/>
  <c r="Z33" i="15"/>
  <c r="AB33" i="15" s="1"/>
  <c r="AD33" i="15" s="1"/>
  <c r="Y37" i="15"/>
  <c r="Y23" i="15"/>
  <c r="Y32" i="15"/>
  <c r="M40" i="3"/>
  <c r="J43" i="6"/>
  <c r="Y36" i="15"/>
  <c r="AA38" i="15"/>
  <c r="AC38" i="15" s="1"/>
  <c r="Z38" i="15"/>
  <c r="AB38" i="15" s="1"/>
  <c r="AD38" i="15" s="1"/>
  <c r="Y29" i="15"/>
  <c r="Y41" i="15"/>
  <c r="Y25" i="15"/>
  <c r="M57" i="3"/>
  <c r="D9" i="1"/>
  <c r="Y30" i="15"/>
  <c r="J35" i="7"/>
  <c r="J43" i="7"/>
  <c r="Y40" i="15"/>
  <c r="Y22" i="15"/>
  <c r="J25" i="6"/>
  <c r="D48" i="1"/>
  <c r="D11" i="1"/>
  <c r="J5" i="6"/>
  <c r="M107" i="3"/>
  <c r="J36" i="7"/>
  <c r="J27" i="3"/>
  <c r="J96" i="3"/>
  <c r="J21" i="3"/>
  <c r="J2" i="1"/>
  <c r="D17" i="1"/>
  <c r="D29" i="1"/>
  <c r="M91" i="3"/>
  <c r="M5" i="3"/>
  <c r="M55" i="3"/>
  <c r="D22" i="1"/>
  <c r="D20" i="1"/>
  <c r="D2" i="1"/>
  <c r="J22" i="3"/>
  <c r="K46" i="3"/>
  <c r="J46" i="3" s="1"/>
  <c r="K10" i="3"/>
  <c r="M10" i="3" s="1"/>
  <c r="M77" i="3"/>
  <c r="M44" i="3"/>
  <c r="J5" i="3"/>
  <c r="J91" i="3"/>
  <c r="M14" i="3"/>
  <c r="J14" i="3"/>
  <c r="M22" i="3"/>
  <c r="J74" i="3"/>
  <c r="J67" i="3"/>
  <c r="J3" i="3"/>
  <c r="J76" i="3"/>
  <c r="E5" i="1"/>
  <c r="F31" i="1"/>
  <c r="K11" i="1"/>
  <c r="M17" i="3"/>
  <c r="J17" i="3"/>
  <c r="J42" i="7"/>
  <c r="M27" i="3"/>
  <c r="M23" i="3"/>
  <c r="J44" i="3"/>
  <c r="M61" i="3"/>
  <c r="J61" i="3"/>
  <c r="M2" i="3"/>
  <c r="J2" i="3"/>
  <c r="J63" i="3"/>
  <c r="M118" i="3"/>
  <c r="J118" i="3"/>
  <c r="J107" i="3"/>
  <c r="J29" i="3"/>
  <c r="M29" i="3"/>
  <c r="J45" i="6"/>
  <c r="K9" i="1"/>
  <c r="M38" i="3"/>
  <c r="J38" i="3"/>
  <c r="F18" i="1"/>
  <c r="F19" i="1"/>
  <c r="M64" i="3"/>
  <c r="F30" i="1"/>
  <c r="D7" i="1"/>
  <c r="J28" i="6"/>
  <c r="M65" i="3"/>
  <c r="D46" i="1"/>
  <c r="J89" i="3"/>
  <c r="M89" i="3"/>
  <c r="D8" i="1"/>
  <c r="M39" i="3"/>
  <c r="J39" i="3"/>
  <c r="D24" i="1"/>
  <c r="M71" i="3"/>
  <c r="J71" i="3"/>
  <c r="J68" i="3"/>
  <c r="K110" i="3"/>
  <c r="K8" i="1"/>
  <c r="J51" i="3"/>
  <c r="M51" i="3"/>
  <c r="D33" i="1"/>
  <c r="J113" i="3"/>
  <c r="M113" i="3"/>
  <c r="D36" i="1"/>
  <c r="M24" i="3"/>
  <c r="K36" i="3"/>
  <c r="M35" i="3"/>
  <c r="J35" i="3"/>
  <c r="J25" i="3"/>
  <c r="M25" i="3"/>
  <c r="M53" i="3"/>
  <c r="J53" i="3"/>
  <c r="D41" i="1"/>
  <c r="M60" i="3"/>
  <c r="J60" i="3"/>
  <c r="M75" i="3"/>
  <c r="J75" i="3"/>
  <c r="M105" i="3"/>
  <c r="J105" i="3"/>
  <c r="J30" i="7"/>
  <c r="F5" i="1"/>
  <c r="M116" i="3"/>
  <c r="J116" i="3"/>
  <c r="D27" i="1"/>
  <c r="M56" i="3"/>
  <c r="J56" i="3"/>
  <c r="J43" i="3"/>
  <c r="M43" i="3"/>
  <c r="K109" i="3"/>
  <c r="K9" i="3"/>
  <c r="M32" i="3"/>
  <c r="J32" i="3"/>
  <c r="M13" i="3"/>
  <c r="J13" i="3"/>
  <c r="M4" i="3"/>
  <c r="J4" i="3"/>
  <c r="I2" i="1"/>
  <c r="J18" i="3"/>
  <c r="M18" i="3"/>
  <c r="M16" i="3"/>
  <c r="J16" i="3"/>
  <c r="M79" i="3"/>
  <c r="J79" i="3"/>
  <c r="D44" i="1"/>
  <c r="D39" i="1"/>
  <c r="J49" i="3"/>
  <c r="M49" i="3"/>
  <c r="F43" i="1"/>
  <c r="F6" i="1"/>
  <c r="M15" i="3"/>
  <c r="M59" i="3"/>
  <c r="J59" i="3"/>
  <c r="J33" i="3"/>
  <c r="M33" i="3"/>
  <c r="M52" i="3"/>
  <c r="J52" i="3"/>
  <c r="M70" i="3"/>
  <c r="J70" i="3"/>
  <c r="E42" i="1"/>
  <c r="J4" i="6"/>
  <c r="K48" i="3"/>
  <c r="M50" i="3"/>
  <c r="J50" i="3"/>
  <c r="K4" i="1"/>
  <c r="K12" i="3"/>
  <c r="M90" i="3"/>
  <c r="J90" i="3"/>
  <c r="J5" i="7"/>
  <c r="E43" i="1"/>
  <c r="J80" i="3"/>
  <c r="M80" i="3"/>
  <c r="D23" i="1"/>
  <c r="K45" i="3"/>
  <c r="J2" i="7"/>
  <c r="E19" i="1"/>
  <c r="D10" i="1"/>
  <c r="M7" i="3"/>
  <c r="J7" i="3"/>
  <c r="K10" i="1"/>
  <c r="M106" i="3"/>
  <c r="J106" i="3"/>
  <c r="K81" i="3"/>
  <c r="J108" i="3"/>
  <c r="M108" i="3"/>
  <c r="K111" i="3"/>
  <c r="M42" i="3"/>
  <c r="J42" i="3"/>
  <c r="K82" i="3"/>
  <c r="J3" i="6"/>
  <c r="E30" i="1"/>
  <c r="E18" i="1"/>
  <c r="D45" i="1"/>
  <c r="M34" i="3"/>
  <c r="J34" i="3"/>
  <c r="D4" i="1"/>
  <c r="M112" i="3"/>
  <c r="J112" i="3"/>
  <c r="D21" i="1"/>
  <c r="K37" i="3"/>
  <c r="M8" i="3"/>
  <c r="J8" i="3"/>
  <c r="J114" i="3"/>
  <c r="M114" i="3"/>
  <c r="J41" i="3"/>
  <c r="M41" i="3"/>
  <c r="J115" i="3"/>
  <c r="M115" i="3"/>
  <c r="J3" i="7"/>
  <c r="E31" i="1"/>
  <c r="E6" i="1"/>
  <c r="J69" i="3"/>
  <c r="M69" i="3"/>
  <c r="M26" i="3"/>
  <c r="J26" i="3"/>
  <c r="M83" i="3"/>
  <c r="J83" i="3"/>
  <c r="I7" i="1"/>
  <c r="J7" i="1"/>
  <c r="J47" i="3"/>
  <c r="M47" i="3"/>
  <c r="Z28" i="15" l="1"/>
  <c r="AB28" i="15" s="1"/>
  <c r="AD28" i="15" s="1"/>
  <c r="AA28" i="15"/>
  <c r="AC28" i="15" s="1"/>
  <c r="Z42" i="15"/>
  <c r="AB42" i="15" s="1"/>
  <c r="AD42" i="15" s="1"/>
  <c r="AA42" i="15"/>
  <c r="AC42" i="15" s="1"/>
  <c r="Z35" i="15"/>
  <c r="AB35" i="15" s="1"/>
  <c r="AD35" i="15" s="1"/>
  <c r="AA35" i="15"/>
  <c r="AC35" i="15" s="1"/>
  <c r="L99" i="3" s="1"/>
  <c r="Z26" i="15"/>
  <c r="AB26" i="15" s="1"/>
  <c r="AD26" i="15" s="1"/>
  <c r="AA36" i="15"/>
  <c r="AC36" i="15" s="1"/>
  <c r="Z36" i="15"/>
  <c r="AB36" i="15" s="1"/>
  <c r="AD36" i="15" s="1"/>
  <c r="Z30" i="15"/>
  <c r="AB30" i="15" s="1"/>
  <c r="AD30" i="15" s="1"/>
  <c r="AA30" i="15"/>
  <c r="AC30" i="15" s="1"/>
  <c r="AA25" i="15"/>
  <c r="AC25" i="15" s="1"/>
  <c r="L84" i="3" s="1"/>
  <c r="Z25" i="15"/>
  <c r="AB25" i="15" s="1"/>
  <c r="AD25" i="15" s="1"/>
  <c r="AA37" i="15"/>
  <c r="AC37" i="15" s="1"/>
  <c r="Z37" i="15"/>
  <c r="AB37" i="15" s="1"/>
  <c r="AD37" i="15" s="1"/>
  <c r="AA32" i="15"/>
  <c r="AC32" i="15" s="1"/>
  <c r="L95" i="3" s="1"/>
  <c r="Z32" i="15"/>
  <c r="AB32" i="15" s="1"/>
  <c r="AD32" i="15" s="1"/>
  <c r="B18" i="1"/>
  <c r="AA39" i="15"/>
  <c r="AC39" i="15" s="1"/>
  <c r="L103" i="3" s="1"/>
  <c r="Z39" i="15"/>
  <c r="AB39" i="15" s="1"/>
  <c r="AD39" i="15" s="1"/>
  <c r="AA29" i="15"/>
  <c r="AC29" i="15" s="1"/>
  <c r="L92" i="3" s="1"/>
  <c r="Z29" i="15"/>
  <c r="AB29" i="15" s="1"/>
  <c r="AD29" i="15" s="1"/>
  <c r="J5" i="1"/>
  <c r="AA23" i="15"/>
  <c r="AC23" i="15" s="1"/>
  <c r="L72" i="3" s="1"/>
  <c r="Z23" i="15"/>
  <c r="AB23" i="15" s="1"/>
  <c r="AD23" i="15" s="1"/>
  <c r="AA41" i="15"/>
  <c r="AC41" i="15" s="1"/>
  <c r="L119" i="3" s="1"/>
  <c r="Z41" i="15"/>
  <c r="AB41" i="15" s="1"/>
  <c r="AD41" i="15" s="1"/>
  <c r="AA34" i="15"/>
  <c r="AC34" i="15" s="1"/>
  <c r="L98" i="3" s="1"/>
  <c r="Z34" i="15"/>
  <c r="AB34" i="15" s="1"/>
  <c r="AD34" i="15" s="1"/>
  <c r="AA22" i="15"/>
  <c r="AC22" i="15" s="1"/>
  <c r="L19" i="3" s="1"/>
  <c r="Z22" i="15"/>
  <c r="AB22" i="15" s="1"/>
  <c r="AD22" i="15" s="1"/>
  <c r="AA40" i="15"/>
  <c r="AC40" i="15" s="1"/>
  <c r="L104" i="3" s="1"/>
  <c r="Z40" i="15"/>
  <c r="AB40" i="15" s="1"/>
  <c r="AD40" i="15" s="1"/>
  <c r="M46" i="3"/>
  <c r="K2" i="1"/>
  <c r="J10" i="3"/>
  <c r="L73" i="3"/>
  <c r="K7" i="1"/>
  <c r="L86" i="3"/>
  <c r="C5" i="1"/>
  <c r="C18" i="1"/>
  <c r="L85" i="3"/>
  <c r="K99" i="3"/>
  <c r="L87" i="3"/>
  <c r="J36" i="3"/>
  <c r="M36" i="3"/>
  <c r="P1" i="6"/>
  <c r="J45" i="3"/>
  <c r="M45" i="3"/>
  <c r="P2" i="6"/>
  <c r="L101" i="3"/>
  <c r="M109" i="3"/>
  <c r="J109" i="3"/>
  <c r="M48" i="3"/>
  <c r="J48" i="3"/>
  <c r="B43" i="1"/>
  <c r="C43" i="1"/>
  <c r="D43" i="1" s="1"/>
  <c r="C31" i="1"/>
  <c r="B31" i="1"/>
  <c r="N2" i="7"/>
  <c r="J6" i="1"/>
  <c r="I6" i="1"/>
  <c r="C19" i="1"/>
  <c r="N1" i="7"/>
  <c r="B19" i="1"/>
  <c r="H6" i="1"/>
  <c r="C6" i="1"/>
  <c r="B6" i="1"/>
  <c r="M82" i="3"/>
  <c r="J82" i="3"/>
  <c r="B30" i="1"/>
  <c r="C30" i="1"/>
  <c r="L120" i="3"/>
  <c r="B5" i="1"/>
  <c r="D5" i="1" s="1"/>
  <c r="L97" i="3"/>
  <c r="M9" i="3"/>
  <c r="J9" i="3"/>
  <c r="K95" i="3"/>
  <c r="B7" i="4"/>
  <c r="C7" i="4"/>
  <c r="C42" i="1"/>
  <c r="B42" i="1"/>
  <c r="H5" i="1"/>
  <c r="M111" i="3"/>
  <c r="J111" i="3"/>
  <c r="I5" i="1"/>
  <c r="K73" i="3"/>
  <c r="M37" i="3"/>
  <c r="J37" i="3"/>
  <c r="L100" i="3"/>
  <c r="M12" i="3"/>
  <c r="J12" i="3"/>
  <c r="L93" i="3"/>
  <c r="J110" i="3"/>
  <c r="M110" i="3"/>
  <c r="M81" i="3"/>
  <c r="J81" i="3"/>
  <c r="L102" i="3"/>
  <c r="K94" i="3"/>
  <c r="K85" i="3" l="1"/>
  <c r="K5" i="1"/>
  <c r="K103" i="3"/>
  <c r="K84" i="3"/>
  <c r="D18" i="1"/>
  <c r="K92" i="3"/>
  <c r="K72" i="3"/>
  <c r="K98" i="3"/>
  <c r="F40" i="1"/>
  <c r="D6" i="1"/>
  <c r="N3" i="7"/>
  <c r="K119" i="3"/>
  <c r="D19" i="1"/>
  <c r="D42" i="1"/>
  <c r="F28" i="1"/>
  <c r="P3" i="6"/>
  <c r="K86" i="3"/>
  <c r="M98" i="3"/>
  <c r="J98" i="3"/>
  <c r="K93" i="3"/>
  <c r="K19" i="3"/>
  <c r="D30" i="1"/>
  <c r="M84" i="3"/>
  <c r="J84" i="3"/>
  <c r="J72" i="3"/>
  <c r="M72" i="3"/>
  <c r="K6" i="1"/>
  <c r="K87" i="3"/>
  <c r="F3" i="1"/>
  <c r="B2" i="4"/>
  <c r="F16" i="1"/>
  <c r="K120" i="3"/>
  <c r="K102" i="3"/>
  <c r="M95" i="3"/>
  <c r="J95" i="3"/>
  <c r="M99" i="3"/>
  <c r="J99" i="3"/>
  <c r="M92" i="3"/>
  <c r="J92" i="3"/>
  <c r="K97" i="3"/>
  <c r="M103" i="3"/>
  <c r="J103" i="3"/>
  <c r="M94" i="3"/>
  <c r="J94" i="3"/>
  <c r="K104" i="3"/>
  <c r="K100" i="3"/>
  <c r="M73" i="3"/>
  <c r="J73" i="3"/>
  <c r="K101" i="3"/>
  <c r="M85" i="3"/>
  <c r="J85" i="3"/>
  <c r="D31" i="1"/>
  <c r="M86" i="3" l="1"/>
  <c r="J86" i="3"/>
  <c r="J119" i="3"/>
  <c r="M119" i="3"/>
  <c r="E28" i="1"/>
  <c r="M101" i="3"/>
  <c r="J101" i="3"/>
  <c r="M93" i="3"/>
  <c r="J93" i="3"/>
  <c r="M104" i="3"/>
  <c r="J104" i="3"/>
  <c r="M97" i="3"/>
  <c r="J97" i="3"/>
  <c r="D12" i="4"/>
  <c r="B12" i="4"/>
  <c r="C12" i="4"/>
  <c r="M102" i="3"/>
  <c r="J102" i="3"/>
  <c r="M120" i="3"/>
  <c r="J120" i="3"/>
  <c r="J87" i="3"/>
  <c r="M87" i="3"/>
  <c r="M19" i="3"/>
  <c r="J19" i="3"/>
  <c r="B1" i="4"/>
  <c r="E3" i="1"/>
  <c r="E16" i="1"/>
  <c r="J100" i="3"/>
  <c r="M100" i="3"/>
  <c r="E40" i="1"/>
  <c r="B5" i="4" l="1"/>
  <c r="B4" i="4"/>
  <c r="C11" i="4"/>
  <c r="B11" i="4"/>
  <c r="D10" i="4"/>
  <c r="C5" i="4"/>
  <c r="D11" i="4"/>
  <c r="C28" i="1"/>
  <c r="B28" i="1"/>
  <c r="C40" i="1"/>
  <c r="C10" i="4"/>
  <c r="G40" i="1"/>
  <c r="D5" i="4"/>
  <c r="B10" i="4"/>
  <c r="C3" i="1"/>
  <c r="B9" i="4"/>
  <c r="C16" i="1"/>
  <c r="B6" i="4"/>
  <c r="D9" i="4"/>
  <c r="D6" i="4"/>
  <c r="C9" i="4"/>
  <c r="B3" i="1"/>
  <c r="B16" i="1"/>
  <c r="G16" i="1"/>
  <c r="H3" i="1"/>
  <c r="C6" i="4"/>
  <c r="I3" i="1"/>
  <c r="J3" i="1"/>
  <c r="B40" i="1"/>
  <c r="C4" i="4"/>
  <c r="D4" i="4"/>
  <c r="D28" i="1" l="1"/>
  <c r="D16" i="1"/>
  <c r="D40" i="1"/>
  <c r="K3" i="1"/>
  <c r="D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N4" authorId="0" shapeId="0" xr:uid="{00000000-0006-0000-0300-000001000000}">
      <text>
        <r>
          <rPr>
            <sz val="11"/>
            <color theme="1"/>
            <rFont val="Calibri"/>
            <family val="2"/>
          </rPr>
          <t>======
ID#AAACFl3bVw8
Chenyang Wu    (2026-08-15 06:37:17)
@kingyuchen816@gmail.com 应该是walking
------
ID#AAACFue5Yak
Yuchen King    (2026-08-16 09:02:20)
对，这个没问题</t>
        </r>
      </text>
    </comment>
    <comment ref="A8" authorId="0" shapeId="0" xr:uid="{00000000-0006-0000-0300-000002000000}">
      <text>
        <r>
          <rPr>
            <sz val="11"/>
            <color theme="1"/>
            <rFont val="Calibri"/>
            <family val="2"/>
          </rPr>
          <t>======
ID#AAACFl3bVxE
Chenyang Wu    (2026-08-15 06:43:51)
@kingyuchen816@gmail.com 我给你加上了
------
ID#AAACFue5Yag
Yuchen King    (2026-08-16 09:01:35)
对，这个没问题</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I7" authorId="0" shapeId="0" xr:uid="{00000000-0006-0000-0C00-000001000000}">
      <text>
        <r>
          <rPr>
            <sz val="11"/>
            <color theme="1"/>
            <rFont val="Calibri"/>
            <family val="2"/>
          </rPr>
          <t>======
ID#AAACFl3bVxU
Chenyang Wu    (2026-08-15 07:01:03)
@kingyuchen816@gmail.com 我给你改了
------
ID#AAACFue5Yac
Yuchen King    (2026-08-16 09:00:57)
这个没问题</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9" authorId="0" shapeId="0" xr:uid="{00000000-0006-0000-0D00-000001000000}">
      <text>
        <r>
          <rPr>
            <sz val="11"/>
            <color theme="1"/>
            <rFont val="Calibri"/>
            <family val="2"/>
          </rPr>
          <t>======
ID#AAACFl3bVxY
Chenyang Wu    (2026-08-15 07:08:55)
@kingyuchen816@gmail.com 我给你加了
------
ID#AAACFue5YaY
Yuchen King    (2026-08-16 09:00:50)
好的，老师，这个没问题</t>
        </r>
      </text>
    </comment>
  </commentList>
</comments>
</file>

<file path=xl/sharedStrings.xml><?xml version="1.0" encoding="utf-8"?>
<sst xmlns="http://schemas.openxmlformats.org/spreadsheetml/2006/main" count="3386" uniqueCount="524">
  <si>
    <t>Supply summary workbook guide</t>
  </si>
  <si>
    <t>Worksheet</t>
  </si>
  <si>
    <t>Purpose</t>
  </si>
  <si>
    <t>Note</t>
  </si>
  <si>
    <t>Lists the purpose of each worksheet in this workbook.</t>
  </si>
  <si>
    <t>Statistics</t>
  </si>
  <si>
    <t>Summarizes the overall descriptive statistics for the main supply-side attributes.</t>
  </si>
  <si>
    <t>Statistics_helper</t>
  </si>
  <si>
    <t>Stores contiguous helper series used by the quartile formulas in Statistics, avoiding the unsupported VSTACK function.</t>
  </si>
  <si>
    <t>Access time</t>
  </si>
  <si>
    <t>Records access, egress, and combined access-plus-egress time reported in the reviewed studies.</t>
  </si>
  <si>
    <t>Cost</t>
  </si>
  <si>
    <t>Records original travel-cost inputs, exchange/CPI adjustments, and normalized 2026 USD per kilometre values.</t>
  </si>
  <si>
    <t>Cost calculation</t>
  </si>
  <si>
    <t>Cost_statistic</t>
  </si>
  <si>
    <t>Provides supporting checks and source-paper identification for minimum and maximum cost values.</t>
  </si>
  <si>
    <t>Vertiport number</t>
  </si>
  <si>
    <t>Records the number of vertiports reported or assumed in each study.</t>
  </si>
  <si>
    <t>Vertiport number (population si</t>
  </si>
  <si>
    <t>Calculates vertiport density relative to population size.</t>
  </si>
  <si>
    <t>Vertiport number (area size)</t>
  </si>
  <si>
    <t>Calculates vertiport density relative to geographic area.</t>
  </si>
  <si>
    <t>Time spent at vertiports</t>
  </si>
  <si>
    <t>Records waiting, boarding, deboarding, and other time spent at vertiports.</t>
  </si>
  <si>
    <t>Speed_statistic</t>
  </si>
  <si>
    <t>Provides supporting checks and source-paper identification for minimum and maximum speed values.</t>
  </si>
  <si>
    <t>Speed</t>
  </si>
  <si>
    <t>Records reported or assumed UAM operating speeds.</t>
  </si>
  <si>
    <t>Capacity</t>
  </si>
  <si>
    <t>Records reported or assumed passenger or system capacity values.</t>
  </si>
  <si>
    <t>Altitude</t>
  </si>
  <si>
    <t>Records reported or assumed UAM operating altitudes.</t>
  </si>
  <si>
    <t>Range</t>
  </si>
  <si>
    <t>Records reported or assumed UAM operating ranges.</t>
  </si>
  <si>
    <t>Factor</t>
  </si>
  <si>
    <t>Mean value</t>
  </si>
  <si>
    <t>Std</t>
  </si>
  <si>
    <t>cv</t>
  </si>
  <si>
    <t>Min</t>
  </si>
  <si>
    <t>Max</t>
  </si>
  <si>
    <t>Sample size</t>
  </si>
  <si>
    <t>Median</t>
  </si>
  <si>
    <t>IQR_25%</t>
  </si>
  <si>
    <t>IQR_75%</t>
  </si>
  <si>
    <t>IQR</t>
  </si>
  <si>
    <t>Vertiport number (population size)</t>
  </si>
  <si>
    <t>Intracity</t>
  </si>
  <si>
    <t>Intercity</t>
  </si>
  <si>
    <t>Airport shuttle</t>
  </si>
  <si>
    <t>Access time mean</t>
  </si>
  <si>
    <t>Time spent at vertiports mean</t>
  </si>
  <si>
    <t>Author</t>
  </si>
  <si>
    <t>Year</t>
  </si>
  <si>
    <t>Country</t>
  </si>
  <si>
    <t>Region</t>
  </si>
  <si>
    <t>Use</t>
  </si>
  <si>
    <t>Mean</t>
  </si>
  <si>
    <t>Access</t>
  </si>
  <si>
    <t>Egress</t>
  </si>
  <si>
    <t>Access+Egress</t>
  </si>
  <si>
    <t>MIN</t>
  </si>
  <si>
    <t>MAX</t>
  </si>
  <si>
    <t>Mean (Access+Egress)</t>
  </si>
  <si>
    <t>Note (access mode)</t>
  </si>
  <si>
    <t>Dou</t>
  </si>
  <si>
    <t>China</t>
  </si>
  <si>
    <t>Asia</t>
  </si>
  <si>
    <t>5-20</t>
  </si>
  <si>
    <t>Walking</t>
  </si>
  <si>
    <t>Lee (a)</t>
  </si>
  <si>
    <t>South Korea</t>
  </si>
  <si>
    <t>Not specified</t>
  </si>
  <si>
    <t>12-30</t>
  </si>
  <si>
    <t>Nazari</t>
  </si>
  <si>
    <t>2026</t>
  </si>
  <si>
    <t>US</t>
  </si>
  <si>
    <t>Airport/railway station access</t>
  </si>
  <si>
    <t>5</t>
  </si>
  <si>
    <t>Subedi and Singleton</t>
  </si>
  <si>
    <t>15-25</t>
  </si>
  <si>
    <t>Car</t>
  </si>
  <si>
    <t>Wu</t>
  </si>
  <si>
    <t>5-15</t>
  </si>
  <si>
    <t>5-25</t>
  </si>
  <si>
    <t>Zhang (a)</t>
  </si>
  <si>
    <t>10-25</t>
  </si>
  <si>
    <t>All non-flying time</t>
  </si>
  <si>
    <t>Belgiawan</t>
  </si>
  <si>
    <t>Indonesia</t>
  </si>
  <si>
    <t>0-10</t>
  </si>
  <si>
    <t>Benchekroun</t>
  </si>
  <si>
    <t>2025</t>
  </si>
  <si>
    <t>15</t>
  </si>
  <si>
    <t>30</t>
  </si>
  <si>
    <t>Access/Egress</t>
  </si>
  <si>
    <t>Coppola</t>
  </si>
  <si>
    <t>Italy</t>
  </si>
  <si>
    <t>Europe</t>
  </si>
  <si>
    <t>Jang</t>
  </si>
  <si>
    <t>20-40</t>
  </si>
  <si>
    <t>Zhao</t>
  </si>
  <si>
    <t>2-6</t>
  </si>
  <si>
    <t>4-12</t>
  </si>
  <si>
    <t>Walking+waiting (Bikesharing)</t>
  </si>
  <si>
    <t>Walking+Waiting</t>
  </si>
  <si>
    <t>6-14</t>
  </si>
  <si>
    <t>12-28</t>
  </si>
  <si>
    <t>Walking+waiting (PT)</t>
  </si>
  <si>
    <t>4-10</t>
  </si>
  <si>
    <t>8-20</t>
  </si>
  <si>
    <t>Walking+waiting (Taxi)</t>
  </si>
  <si>
    <t>Volakakis</t>
  </si>
  <si>
    <t>10-30</t>
  </si>
  <si>
    <t>Boddupalli</t>
  </si>
  <si>
    <t>10-20</t>
  </si>
  <si>
    <t>Coppola (a)</t>
  </si>
  <si>
    <t>Coppola (b)</t>
  </si>
  <si>
    <t>Karimi</t>
  </si>
  <si>
    <t>Iran</t>
  </si>
  <si>
    <t>Samadzad</t>
  </si>
  <si>
    <t>5-10</t>
  </si>
  <si>
    <t>Walking/Waiting</t>
  </si>
  <si>
    <t>Song</t>
  </si>
  <si>
    <t>9</t>
  </si>
  <si>
    <t>car or walking</t>
  </si>
  <si>
    <t>Access/egress</t>
  </si>
  <si>
    <t>Hwang &amp; Hong</t>
  </si>
  <si>
    <t>4-24</t>
  </si>
  <si>
    <t>8-48</t>
  </si>
  <si>
    <t>walking</t>
  </si>
  <si>
    <t>Norte</t>
  </si>
  <si>
    <t>France</t>
  </si>
  <si>
    <t>10</t>
  </si>
  <si>
    <t>Rothfeld</t>
  </si>
  <si>
    <t xml:space="preserve">walking </t>
  </si>
  <si>
    <t>Haan</t>
  </si>
  <si>
    <t>2021</t>
  </si>
  <si>
    <t>12.4-21.8</t>
  </si>
  <si>
    <t>24.8-43.6</t>
  </si>
  <si>
    <t>car or rideshare</t>
  </si>
  <si>
    <t>Leonard</t>
  </si>
  <si>
    <t>Al Haddad (b)</t>
  </si>
  <si>
    <t>Germany</t>
  </si>
  <si>
    <t>Fu</t>
  </si>
  <si>
    <t>Ploetner</t>
  </si>
  <si>
    <t>Balac (b)</t>
  </si>
  <si>
    <t>Switzerland</t>
  </si>
  <si>
    <t>2-10</t>
  </si>
  <si>
    <t>4-20</t>
  </si>
  <si>
    <t xml:space="preserve">Fu </t>
  </si>
  <si>
    <t>Walking+waiting</t>
  </si>
  <si>
    <t>Garrow</t>
  </si>
  <si>
    <t>Binder</t>
  </si>
  <si>
    <t>Cost (Previous/km)</t>
  </si>
  <si>
    <t>Unit</t>
  </si>
  <si>
    <t>Exchange</t>
  </si>
  <si>
    <t>CPI (CPI_2026/CPI_paper year)</t>
  </si>
  <si>
    <t>Cost (USD/km)</t>
  </si>
  <si>
    <t>Cost min</t>
  </si>
  <si>
    <t>Cost max</t>
  </si>
  <si>
    <t>Acharya</t>
  </si>
  <si>
    <t>USD/mile</t>
  </si>
  <si>
    <t>1-4</t>
  </si>
  <si>
    <t>CNY/km</t>
  </si>
  <si>
    <t>Jiang</t>
  </si>
  <si>
    <t>3.33-6.25</t>
  </si>
  <si>
    <t>Kim</t>
  </si>
  <si>
    <t>KRW/km</t>
  </si>
  <si>
    <t>Lee (b)</t>
  </si>
  <si>
    <t>Lee and Kim</t>
  </si>
  <si>
    <t>957.55-1,224.81</t>
  </si>
  <si>
    <t>1,244.81-1,422.64</t>
  </si>
  <si>
    <t>Mehrabani</t>
  </si>
  <si>
    <t>Belgium</t>
  </si>
  <si>
    <t>EUR/km</t>
  </si>
  <si>
    <t>75-125</t>
  </si>
  <si>
    <t>USD/journey</t>
  </si>
  <si>
    <t>0.5-2.5</t>
  </si>
  <si>
    <t>3-5</t>
  </si>
  <si>
    <t>2.2-2.4</t>
  </si>
  <si>
    <t>Adamidis</t>
  </si>
  <si>
    <t>62-187</t>
  </si>
  <si>
    <t>Bi</t>
  </si>
  <si>
    <t>10 base + 1/km</t>
  </si>
  <si>
    <t>CNY</t>
  </si>
  <si>
    <t>base fare: 1.43 USD, unit fare: 0.14 USD/km</t>
  </si>
  <si>
    <t>Chen</t>
  </si>
  <si>
    <t>4-9</t>
  </si>
  <si>
    <t>3-3.5</t>
  </si>
  <si>
    <t>Initial</t>
  </si>
  <si>
    <t>Matural</t>
  </si>
  <si>
    <t>Sunitivon</t>
  </si>
  <si>
    <t>300-900</t>
  </si>
  <si>
    <t>IDR/journey</t>
  </si>
  <si>
    <t>In optimistic scnario</t>
  </si>
  <si>
    <t>In intermediate scenario</t>
  </si>
  <si>
    <t>In pessimistic scenario</t>
  </si>
  <si>
    <t>Zhao &amp; Feng</t>
  </si>
  <si>
    <t>Zhao (a)</t>
  </si>
  <si>
    <t>Zhao (b)</t>
  </si>
  <si>
    <t>Asmer</t>
  </si>
  <si>
    <t>Global</t>
  </si>
  <si>
    <t>2.5-6</t>
  </si>
  <si>
    <t>Boddupall</t>
  </si>
  <si>
    <t>0.5-1.5</t>
  </si>
  <si>
    <t>Chae</t>
  </si>
  <si>
    <t>39.5-71.1</t>
  </si>
  <si>
    <t>39.5-55.3</t>
  </si>
  <si>
    <t>North America</t>
  </si>
  <si>
    <t>1.94-6.79</t>
  </si>
  <si>
    <t>USD/km</t>
  </si>
  <si>
    <t>near term</t>
  </si>
  <si>
    <t>0.78-2.71</t>
  </si>
  <si>
    <t>long term</t>
  </si>
  <si>
    <t>40-80</t>
  </si>
  <si>
    <t>EUR/journey</t>
  </si>
  <si>
    <t>travel with a party and travel under 60 mins</t>
  </si>
  <si>
    <t>travel with a party and travel over 60 mins</t>
  </si>
  <si>
    <t>90-150</t>
  </si>
  <si>
    <t>travel alone and travel under 60 mins</t>
  </si>
  <si>
    <t>150-250</t>
  </si>
  <si>
    <t>travel alone and travel over 60 mins</t>
  </si>
  <si>
    <t>200-400</t>
  </si>
  <si>
    <t>thousand IRR/journey</t>
  </si>
  <si>
    <t>Qu</t>
  </si>
  <si>
    <t>5.77-14.63</t>
  </si>
  <si>
    <t>thousand IRR/km</t>
  </si>
  <si>
    <t>Brunelli</t>
  </si>
  <si>
    <t>0.67-2</t>
  </si>
  <si>
    <t>0.5-3</t>
  </si>
  <si>
    <t>thousand KRW/km</t>
  </si>
  <si>
    <t>Kim &amp; Yee</t>
  </si>
  <si>
    <t>initial stage</t>
  </si>
  <si>
    <t>growth stage</t>
  </si>
  <si>
    <t>maturity stage</t>
  </si>
  <si>
    <t>Lotz</t>
  </si>
  <si>
    <t>Jha</t>
  </si>
  <si>
    <t>0-200 base + 0-9/km</t>
  </si>
  <si>
    <t>EUR</t>
  </si>
  <si>
    <t>base fare, 0-216 USD, unit fare, 0-9.72 USD/km</t>
  </si>
  <si>
    <t>Zaps &amp; Chankov</t>
  </si>
  <si>
    <t>0.33-2</t>
  </si>
  <si>
    <t>0.28-1.83</t>
  </si>
  <si>
    <t>0.28-1.71</t>
  </si>
  <si>
    <t>Anand</t>
  </si>
  <si>
    <t>0.5-7.5</t>
  </si>
  <si>
    <t>Goyal</t>
  </si>
  <si>
    <t>3.13-9.37</t>
  </si>
  <si>
    <t>50-125</t>
  </si>
  <si>
    <t>less than10 miles</t>
  </si>
  <si>
    <t>11-20 miles</t>
  </si>
  <si>
    <t>75-150</t>
  </si>
  <si>
    <t>21-40 miles</t>
  </si>
  <si>
    <t>41+ miles</t>
  </si>
  <si>
    <t>Pukhova</t>
  </si>
  <si>
    <t>5 base + 1-7/km</t>
  </si>
  <si>
    <t>base fare, 5.3 USD, unit fare, 1.09-7.61 USD/km</t>
  </si>
  <si>
    <t>Rimjha (a)</t>
  </si>
  <si>
    <t>2.2 base + 1-3/mile</t>
  </si>
  <si>
    <t>USD</t>
  </si>
  <si>
    <t>base fare, 2.2 USD, unit fare, 0.62-1.86 USD/km</t>
  </si>
  <si>
    <t>Rimjha (b)</t>
  </si>
  <si>
    <t>15 base + 10-20 landing + 2.4-4/mile</t>
  </si>
  <si>
    <t>base fare, 15 USD, landing cost, 10-20 USD, unit fare, 1.24-2.48 USD/km</t>
  </si>
  <si>
    <t>Rimjha (c)</t>
  </si>
  <si>
    <t>15 base + 20 landing + 1.4-3/mile</t>
  </si>
  <si>
    <t>base fare, 15 USD, landing cost, 20 USD, unit fare, 0.87-1.86 USD/km</t>
  </si>
  <si>
    <t xml:space="preserve">Wai et al. </t>
  </si>
  <si>
    <t>Singapore</t>
  </si>
  <si>
    <t>SGD/km</t>
  </si>
  <si>
    <t>Zapico</t>
  </si>
  <si>
    <t>Initial term</t>
  </si>
  <si>
    <t>Short term</t>
  </si>
  <si>
    <t>Long term</t>
  </si>
  <si>
    <t>0-10 base + 1-5/km</t>
  </si>
  <si>
    <t>base fare, 0-10.8 USD, unit fare, 1.08-5.4 USD/km</t>
  </si>
  <si>
    <t>Mayakonda</t>
  </si>
  <si>
    <t>0.3-7.2</t>
  </si>
  <si>
    <t>Balac (a)</t>
  </si>
  <si>
    <t>3-60 base + 0.6-4.2/km</t>
  </si>
  <si>
    <t>CHF</t>
  </si>
  <si>
    <t>base fare, 3.4-67.96 USD, unit fare, 0.68-4.75 USD/km</t>
  </si>
  <si>
    <t>4 base + 2-4/km</t>
  </si>
  <si>
    <t>base fare, 4.52 USD, unit fare, 2.27-4.52 USD/km</t>
  </si>
  <si>
    <t>1-5</t>
  </si>
  <si>
    <t>0-24 miles travel distance</t>
  </si>
  <si>
    <t>25-39 miles travel distance</t>
  </si>
  <si>
    <t>40-54</t>
  </si>
  <si>
    <t>40-54 miles travel distance</t>
  </si>
  <si>
    <t>20-45</t>
  </si>
  <si>
    <t>55+ miles travel distance</t>
  </si>
  <si>
    <t>Reiche</t>
  </si>
  <si>
    <t>Shaheen</t>
  </si>
  <si>
    <t>Kreimeier</t>
  </si>
  <si>
    <t>0.2-0.4</t>
  </si>
  <si>
    <t>Syed (a)</t>
  </si>
  <si>
    <t>15 base + 0.15/mile landing + 0.75-1.63/mile</t>
  </si>
  <si>
    <t>base fare, 15 USD, landing fare, 0.09 USD/km unit fare, 0.47-1.01 USD/km</t>
  </si>
  <si>
    <t>Syed (b)</t>
  </si>
  <si>
    <t>paper</t>
  </si>
  <si>
    <t>Garrow et al. (2019), Binder et al. (2018)</t>
  </si>
  <si>
    <t>Rothfeld (2022)</t>
  </si>
  <si>
    <t>Size</t>
  </si>
  <si>
    <t>Population size (million)</t>
  </si>
  <si>
    <t>Area (km2)</t>
  </si>
  <si>
    <t>4-17</t>
  </si>
  <si>
    <t>Lombardy</t>
  </si>
  <si>
    <t>4</t>
  </si>
  <si>
    <t>Seoul Metropolitan City</t>
  </si>
  <si>
    <t>24</t>
  </si>
  <si>
    <t>52</t>
  </si>
  <si>
    <t>NA</t>
  </si>
  <si>
    <t>Synthetic city, near term</t>
  </si>
  <si>
    <t>Synthetic city,near term</t>
  </si>
  <si>
    <t>Synthetic city, long term</t>
  </si>
  <si>
    <t>Gerardus</t>
  </si>
  <si>
    <t>Jakarta metro area</t>
  </si>
  <si>
    <t>Seoul metroplitan area</t>
  </si>
  <si>
    <t>Rhine-Ruhr metropolitan region</t>
  </si>
  <si>
    <t>Cho &amp; Kim</t>
  </si>
  <si>
    <t>Atlanta</t>
  </si>
  <si>
    <t>Chicago</t>
  </si>
  <si>
    <t>Bulusu</t>
  </si>
  <si>
    <t>0-60</t>
  </si>
  <si>
    <t>San Francisco Bay Area</t>
  </si>
  <si>
    <t>Upper Bavaria</t>
  </si>
  <si>
    <t>Rajendran</t>
  </si>
  <si>
    <t>New York city</t>
  </si>
  <si>
    <t>Sonoma</t>
  </si>
  <si>
    <t>Napa</t>
  </si>
  <si>
    <t>Yolo</t>
  </si>
  <si>
    <t>Solano</t>
  </si>
  <si>
    <t>Sacramento</t>
  </si>
  <si>
    <t>Marin</t>
  </si>
  <si>
    <t>Contra Costa</t>
  </si>
  <si>
    <t>San Joaquin</t>
  </si>
  <si>
    <t>San Francisco</t>
  </si>
  <si>
    <t>San Mateo</t>
  </si>
  <si>
    <t>Alameda</t>
  </si>
  <si>
    <t>Santa Cruz</t>
  </si>
  <si>
    <t>Santa Clara</t>
  </si>
  <si>
    <t>Stanislaus</t>
  </si>
  <si>
    <t>Merced</t>
  </si>
  <si>
    <t>Monterey</t>
  </si>
  <si>
    <t>San Benito</t>
  </si>
  <si>
    <t>Sum</t>
  </si>
  <si>
    <t>50-400</t>
  </si>
  <si>
    <t>North Califonia (19 counties)</t>
  </si>
  <si>
    <t>50-100</t>
  </si>
  <si>
    <t>Dallas-Fort Worth metro area</t>
  </si>
  <si>
    <t>Los Angeles</t>
  </si>
  <si>
    <t>Germany, France, US</t>
  </si>
  <si>
    <t>4-130</t>
  </si>
  <si>
    <t>Munich Metropolitan Region</t>
  </si>
  <si>
    <t>Île-de-France</t>
  </si>
  <si>
    <t>10-100</t>
  </si>
  <si>
    <t>24-130</t>
  </si>
  <si>
    <t>Munich metroplitan region</t>
  </si>
  <si>
    <t>Zurich metroplitan region</t>
  </si>
  <si>
    <t>Sioux Falls</t>
  </si>
  <si>
    <t>200-1000</t>
  </si>
  <si>
    <t>Northern California</t>
  </si>
  <si>
    <t>Washington-Baltimore</t>
  </si>
  <si>
    <t>Vertiport density (vertiport per million persons)</t>
  </si>
  <si>
    <t>STD</t>
  </si>
  <si>
    <t>CV</t>
  </si>
  <si>
    <t>For Atlanta</t>
  </si>
  <si>
    <t>For Chicago</t>
  </si>
  <si>
    <t>SF bay area</t>
  </si>
  <si>
    <t>Vertiport density (vertiport/km2)</t>
  </si>
  <si>
    <t>0.01-0.04</t>
  </si>
  <si>
    <t>Low demand</t>
  </si>
  <si>
    <t>High demand</t>
  </si>
  <si>
    <t>0.0022-0.0067</t>
  </si>
  <si>
    <t>Waiting/Boarding/Deboading time (min)</t>
  </si>
  <si>
    <t>3-7</t>
  </si>
  <si>
    <t>Waiting</t>
  </si>
  <si>
    <t>Waiting+Boarding</t>
  </si>
  <si>
    <t>Transfer</t>
  </si>
  <si>
    <t>Boarding+Deboarding+Processing</t>
  </si>
  <si>
    <t>Boarding/Deboarding</t>
  </si>
  <si>
    <t>1-11</t>
  </si>
  <si>
    <t>Waiting/Boarding</t>
  </si>
  <si>
    <t>Sunitiyoso</t>
  </si>
  <si>
    <t>Car as access mode</t>
  </si>
  <si>
    <t>PT as acess mode</t>
  </si>
  <si>
    <t>Taxi as access mode</t>
  </si>
  <si>
    <t xml:space="preserve">Asmer </t>
  </si>
  <si>
    <t>3</t>
  </si>
  <si>
    <t>0-15</t>
  </si>
  <si>
    <t>2.5</t>
  </si>
  <si>
    <t xml:space="preserve">Qu </t>
  </si>
  <si>
    <t>1</t>
  </si>
  <si>
    <t>Boarding</t>
  </si>
  <si>
    <t>Hwang and Hong</t>
  </si>
  <si>
    <t>0-7</t>
  </si>
  <si>
    <t>6-12</t>
  </si>
  <si>
    <t>All non-flying time (except for access time)</t>
  </si>
  <si>
    <t>7</t>
  </si>
  <si>
    <t>Boarding+Deboarding</t>
  </si>
  <si>
    <t>5-8</t>
  </si>
  <si>
    <t>10-60</t>
  </si>
  <si>
    <t>Waiting+Processing+Boarding+Deboarding</t>
  </si>
  <si>
    <t>Processing+Boarding+Deboarding</t>
  </si>
  <si>
    <t>0-30</t>
  </si>
  <si>
    <t>Al Haddad (a)</t>
  </si>
  <si>
    <t>Boarding+deboarding</t>
  </si>
  <si>
    <t>0-12</t>
  </si>
  <si>
    <t>Al Haddad</t>
  </si>
  <si>
    <t>0.5-20</t>
  </si>
  <si>
    <t>Processing + Boarding/Deboarding</t>
  </si>
  <si>
    <t>0-14</t>
  </si>
  <si>
    <t>Waiting+deboarding</t>
  </si>
  <si>
    <t>10-14</t>
  </si>
  <si>
    <t>Paper</t>
  </si>
  <si>
    <t>Al Haddad et al. (2020), Fu et al. (2020), Ploetner et al. (2020), Rothfeld et al. (2018)</t>
  </si>
  <si>
    <t>Rothfled et al. (2018)</t>
  </si>
  <si>
    <t>Airport/Railway station access</t>
  </si>
  <si>
    <t>201.16-281.63</t>
  </si>
  <si>
    <t>Cai</t>
  </si>
  <si>
    <t>180</t>
  </si>
  <si>
    <t>150</t>
  </si>
  <si>
    <t>70-150</t>
  </si>
  <si>
    <t>80-200</t>
  </si>
  <si>
    <t>120</t>
  </si>
  <si>
    <t>241-322</t>
  </si>
  <si>
    <t>280.02</t>
  </si>
  <si>
    <t>130-200</t>
  </si>
  <si>
    <t>80-130</t>
  </si>
  <si>
    <t>Decaro</t>
  </si>
  <si>
    <t>100</t>
  </si>
  <si>
    <t>Kim and Zhang</t>
  </si>
  <si>
    <t>150-300</t>
  </si>
  <si>
    <t>Trapsilawati</t>
  </si>
  <si>
    <t>161</t>
  </si>
  <si>
    <t>225</t>
  </si>
  <si>
    <t>290</t>
  </si>
  <si>
    <t>160</t>
  </si>
  <si>
    <t>120-322</t>
  </si>
  <si>
    <t>150-200</t>
  </si>
  <si>
    <t>Smith</t>
  </si>
  <si>
    <t>UK</t>
  </si>
  <si>
    <t>Bridgelall (a)</t>
  </si>
  <si>
    <t>120-200</t>
  </si>
  <si>
    <t>Papenfuss</t>
  </si>
  <si>
    <t>60-80</t>
  </si>
  <si>
    <t>112.5-300</t>
  </si>
  <si>
    <t>191-350</t>
  </si>
  <si>
    <t>198-304</t>
  </si>
  <si>
    <t>201-282</t>
  </si>
  <si>
    <t>241</t>
  </si>
  <si>
    <t>80-300</t>
  </si>
  <si>
    <t>Roy</t>
  </si>
  <si>
    <t>100-200</t>
  </si>
  <si>
    <t>Wai et al.</t>
  </si>
  <si>
    <t>50-300</t>
  </si>
  <si>
    <t>50-350</t>
  </si>
  <si>
    <t>60-240</t>
  </si>
  <si>
    <t>72-108</t>
  </si>
  <si>
    <t>274-322</t>
  </si>
  <si>
    <t>50-450</t>
  </si>
  <si>
    <t>250-400</t>
  </si>
  <si>
    <t>5-40</t>
  </si>
  <si>
    <t>2</t>
  </si>
  <si>
    <t>2-4</t>
  </si>
  <si>
    <t>Johnson</t>
  </si>
  <si>
    <t>3-4</t>
  </si>
  <si>
    <t>Janotta &amp; Hogreve</t>
  </si>
  <si>
    <t>Yao</t>
  </si>
  <si>
    <t>Short-intracity</t>
  </si>
  <si>
    <t>Long-intracity</t>
  </si>
  <si>
    <t>US, India</t>
  </si>
  <si>
    <t>Hasan</t>
  </si>
  <si>
    <t>2-5</t>
  </si>
  <si>
    <t>1-12</t>
  </si>
  <si>
    <t>304.8-609.6</t>
  </si>
  <si>
    <t>Stolz</t>
  </si>
  <si>
    <t>Stolz and Laudien</t>
  </si>
  <si>
    <t>200</t>
  </si>
  <si>
    <t>152-1524</t>
  </si>
  <si>
    <t>800</t>
  </si>
  <si>
    <t>600</t>
  </si>
  <si>
    <t>Yedavalli &amp; Mooberry</t>
  </si>
  <si>
    <t>US, Mexico, New Zeland, Switzerland</t>
  </si>
  <si>
    <t>243.84-304.8</t>
  </si>
  <si>
    <t>250-1000</t>
  </si>
  <si>
    <t>100-300</t>
  </si>
  <si>
    <t>80-250</t>
  </si>
  <si>
    <t>low demand</t>
  </si>
  <si>
    <t>high demand</t>
  </si>
  <si>
    <t>48-145</t>
  </si>
  <si>
    <t>16.09-112.65</t>
  </si>
  <si>
    <t>Contains all travel-cost calculations previously stored in Cost columns O:AG, including speed-and-time, base-fare-plus-unit-fare, and pre-normalized source values.</t>
  </si>
  <si>
    <t>Cost calculation details</t>
  </si>
  <si>
    <t>Speed and travel-time method</t>
  </si>
  <si>
    <t>Cost row</t>
  </si>
  <si>
    <t>Original cost</t>
  </si>
  <si>
    <t>CPI ratio</t>
  </si>
  <si>
    <t>Time min (min)</t>
  </si>
  <si>
    <t>Time max (min)</t>
  </si>
  <si>
    <t>Speed (km/h)</t>
  </si>
  <si>
    <t>Calculated normalized min</t>
  </si>
  <si>
    <t>Calculated normalized max</t>
  </si>
  <si>
    <t>Normalized min used</t>
  </si>
  <si>
    <t>Normalized max used</t>
  </si>
  <si>
    <t>2026 USD/km min</t>
  </si>
  <si>
    <t>2026 USD/km max</t>
  </si>
  <si>
    <t>Base fare + unit fare method</t>
  </si>
  <si>
    <t>Base min</t>
  </si>
  <si>
    <t>Base max</t>
  </si>
  <si>
    <t>Unit min (/km)</t>
  </si>
  <si>
    <t>Unit max (/km)</t>
  </si>
  <si>
    <t>Distance 1</t>
  </si>
  <si>
    <t>Cost/km 1</t>
  </si>
  <si>
    <t>Distance 2</t>
  </si>
  <si>
    <t>Cost/km 2</t>
  </si>
  <si>
    <t>Distance 3</t>
  </si>
  <si>
    <t>Cost/km 3</t>
  </si>
  <si>
    <t>Distance 4</t>
  </si>
  <si>
    <t>Cost/km 4</t>
  </si>
  <si>
    <t>Distance 5</t>
  </si>
  <si>
    <t>Cost/km 5</t>
  </si>
  <si>
    <t>Average normalized</t>
  </si>
  <si>
    <t>Pre-normalized source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</si>
</sst>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Red]\(0.00\)"/>
    <numFmt numFmtId="165" formatCode="m\-d"/>
    <numFmt numFmtId="166" formatCode="#,##0.00000"/>
    <numFmt numFmtId="167" formatCode="#,##0.0000"/>
    <numFmt numFmtId="168" formatCode="0.00_ "/>
    <numFmt numFmtId="169" formatCode="0.0000"/>
  </numFmts>
  <fonts count="17" x14ac:knownFonts="1">
    <font>
      <sz val="11"/>
      <color theme="1"/>
      <name val="Calibri"/>
    </font>
    <font>
      <sz val="11"/>
      <color theme="1"/>
      <name val="Calibri"/>
      <family val="2"/>
    </font>
    <font>
      <sz val="11"/>
      <color rgb="FF000000"/>
      <name val="Calibri"/>
      <family val="2"/>
    </font>
    <font>
      <sz val="11"/>
      <color theme="1"/>
      <name val="Calibri"/>
      <family val="2"/>
    </font>
    <font>
      <sz val="11"/>
      <color rgb="FFFF0000"/>
      <name val="Calibri"/>
      <family val="2"/>
    </font>
    <font>
      <sz val="11"/>
      <color rgb="FF000000"/>
      <name val="Calibri"/>
      <family val="2"/>
    </font>
    <font>
      <sz val="11"/>
      <color rgb="FF000000"/>
      <name val="Calibri"/>
      <family val="2"/>
    </font>
    <font>
      <b/>
      <sz val="11"/>
      <color theme="1"/>
      <name val="Calibri"/>
      <family val="2"/>
    </font>
    <font>
      <i/>
      <sz val="11"/>
      <color rgb="FF000000"/>
      <name val="Calibri"/>
      <family val="2"/>
    </font>
    <font>
      <i/>
      <sz val="11"/>
      <color theme="1"/>
      <name val="Calibri"/>
      <family val="2"/>
    </font>
    <font>
      <sz val="10"/>
      <color theme="1"/>
      <name val="Arial"/>
      <family val="2"/>
    </font>
    <font>
      <b/>
      <sz val="10"/>
      <color rgb="FF1F1F1F"/>
      <name val="Arial"/>
      <family val="2"/>
    </font>
    <font>
      <b/>
      <sz val="14"/>
      <color rgb="FF1F4E78"/>
      <name val="Arial"/>
      <family val="2"/>
    </font>
    <font>
      <b/>
      <sz val="10"/>
      <color rgb="FFFFFFFF"/>
      <name val="Arial"/>
      <family val="2"/>
    </font>
    <font>
      <sz val="10"/>
      <color rgb="FF1F1F1F"/>
      <name val="Arial"/>
      <family val="2"/>
    </font>
    <font>
      <b/>
      <sz val="10"/>
      <color rgb="FF1F4E78"/>
      <name val="Arial"/>
      <family val="2"/>
    </font>
    <font>
      <sz val="9"/>
      <name val="宋体"/>
      <family val="3"/>
      <charset val="134"/>
    </font>
  </fonts>
  <fills count="6">
    <fill>
      <patternFill patternType="none"/>
    </fill>
    <fill>
      <patternFill patternType="gray125"/>
    </fill>
    <fill>
      <patternFill patternType="solid">
        <fgColor rgb="FFD9EAF7"/>
      </patternFill>
    </fill>
    <fill>
      <patternFill patternType="solid">
        <fgColor rgb="FF1F4E78"/>
      </patternFill>
    </fill>
    <fill>
      <patternFill patternType="solid">
        <fgColor rgb="FFD9EAF7"/>
      </patternFill>
    </fill>
    <fill>
      <patternFill patternType="solid">
        <fgColor rgb="FF1F4E78"/>
      </patternFill>
    </fill>
  </fills>
  <borders count="5">
    <border>
      <left/>
      <right/>
      <top/>
      <bottom/>
      <diagonal/>
    </border>
    <border>
      <left style="thin">
        <color rgb="FF8EA9C1"/>
      </left>
      <right/>
      <top style="thin">
        <color rgb="FF8EA9C1"/>
      </top>
      <bottom style="thin">
        <color rgb="FF8EA9C1"/>
      </bottom>
      <diagonal/>
    </border>
    <border>
      <left/>
      <right style="thin">
        <color rgb="FF8EA9C1"/>
      </right>
      <top style="thin">
        <color rgb="FF8EA9C1"/>
      </top>
      <bottom style="thin">
        <color rgb="FF8EA9C1"/>
      </bottom>
      <diagonal/>
    </border>
    <border>
      <left/>
      <right/>
      <top style="thin">
        <color rgb="FF8EA9C1"/>
      </top>
      <bottom style="thin">
        <color rgb="FF8EA9C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49">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49" fontId="5" fillId="0" borderId="0" xfId="0" applyNumberFormat="1" applyFont="1" applyAlignment="1">
      <alignment horizontal="left" vertical="center"/>
    </xf>
    <xf numFmtId="0" fontId="6" fillId="0" borderId="0" xfId="0" applyFont="1" applyAlignment="1">
      <alignment horizontal="left" vertical="center"/>
    </xf>
    <xf numFmtId="0" fontId="4" fillId="0" borderId="0" xfId="0" applyFont="1" applyAlignment="1">
      <alignment horizontal="left" vertical="center"/>
    </xf>
    <xf numFmtId="0" fontId="7" fillId="0" borderId="0" xfId="0" applyFont="1" applyAlignment="1">
      <alignment vertical="center"/>
    </xf>
    <xf numFmtId="0" fontId="3" fillId="0" borderId="0" xfId="0" applyFont="1" applyAlignment="1">
      <alignment horizontal="left" vertical="center"/>
    </xf>
    <xf numFmtId="49" fontId="0" fillId="0" borderId="0" xfId="0" applyNumberFormat="1" applyAlignment="1">
      <alignment horizontal="left" vertical="center"/>
    </xf>
    <xf numFmtId="164" fontId="0" fillId="0" borderId="0" xfId="0" applyNumberFormat="1" applyAlignment="1">
      <alignment horizontal="left" vertical="center"/>
    </xf>
    <xf numFmtId="2" fontId="2" fillId="0" borderId="0" xfId="0" applyNumberFormat="1" applyFont="1" applyAlignment="1">
      <alignment horizontal="right" vertical="center"/>
    </xf>
    <xf numFmtId="167" fontId="3" fillId="0" borderId="0" xfId="0" applyNumberFormat="1" applyFont="1" applyAlignment="1">
      <alignment vertical="center"/>
    </xf>
    <xf numFmtId="49" fontId="3" fillId="0" borderId="0" xfId="0" applyNumberFormat="1" applyFont="1" applyAlignment="1">
      <alignment vertical="center"/>
    </xf>
    <xf numFmtId="168" fontId="0" fillId="0" borderId="0" xfId="0" applyNumberFormat="1" applyAlignment="1">
      <alignment vertical="center"/>
    </xf>
    <xf numFmtId="49" fontId="3" fillId="0" borderId="0" xfId="0" applyNumberFormat="1" applyFont="1" applyAlignment="1">
      <alignment horizontal="left" vertical="center"/>
    </xf>
    <xf numFmtId="49" fontId="0" fillId="0" borderId="0" xfId="0" applyNumberFormat="1" applyAlignment="1">
      <alignment vertical="center"/>
    </xf>
    <xf numFmtId="49" fontId="1" fillId="0" borderId="0" xfId="0" applyNumberFormat="1" applyFont="1" applyAlignment="1">
      <alignment horizontal="left" vertical="center"/>
    </xf>
    <xf numFmtId="49" fontId="8" fillId="0" borderId="0" xfId="0" applyNumberFormat="1" applyFont="1" applyAlignment="1">
      <alignment horizontal="left" vertical="center"/>
    </xf>
    <xf numFmtId="49" fontId="9" fillId="0" borderId="0" xfId="0" applyNumberFormat="1" applyFont="1" applyAlignment="1">
      <alignment vertical="center"/>
    </xf>
    <xf numFmtId="168" fontId="1" fillId="0" borderId="0" xfId="0" applyNumberFormat="1" applyFont="1" applyAlignment="1">
      <alignment vertical="center" wrapText="1"/>
    </xf>
    <xf numFmtId="0" fontId="10"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horizontal="center" vertical="center"/>
    </xf>
    <xf numFmtId="2" fontId="10" fillId="0" borderId="0" xfId="0" applyNumberFormat="1" applyFont="1" applyAlignment="1">
      <alignment vertical="center"/>
    </xf>
    <xf numFmtId="0" fontId="12" fillId="0" borderId="0" xfId="0" applyFont="1" applyAlignment="1">
      <alignment vertical="center"/>
    </xf>
    <xf numFmtId="0" fontId="13" fillId="3" borderId="4" xfId="0" applyFont="1" applyFill="1" applyBorder="1" applyAlignment="1">
      <alignment horizontal="center" vertical="center" wrapText="1"/>
    </xf>
    <xf numFmtId="0" fontId="10" fillId="0" borderId="4" xfId="0" applyFont="1" applyBorder="1" applyAlignment="1">
      <alignment vertical="center"/>
    </xf>
    <xf numFmtId="169" fontId="10" fillId="0" borderId="4" xfId="0" applyNumberFormat="1" applyFont="1" applyBorder="1" applyAlignment="1">
      <alignment vertical="center"/>
    </xf>
    <xf numFmtId="0" fontId="14" fillId="0" borderId="4" xfId="0" applyFont="1" applyBorder="1" applyAlignment="1">
      <alignment vertical="top" wrapText="1"/>
    </xf>
    <xf numFmtId="0" fontId="1" fillId="0" borderId="0" xfId="0" applyFont="1" applyAlignment="1">
      <alignment vertical="center"/>
    </xf>
    <xf numFmtId="164" fontId="1" fillId="0" borderId="0" xfId="0" applyNumberFormat="1" applyFont="1" applyAlignment="1">
      <alignment vertical="center"/>
    </xf>
    <xf numFmtId="166" fontId="1" fillId="0" borderId="0" xfId="0" applyNumberFormat="1" applyFont="1" applyAlignment="1">
      <alignment vertical="center"/>
    </xf>
    <xf numFmtId="167" fontId="1" fillId="0" borderId="0" xfId="0" applyNumberFormat="1" applyFont="1" applyAlignment="1">
      <alignment vertical="center"/>
    </xf>
    <xf numFmtId="2" fontId="1" fillId="0" borderId="0" xfId="0" applyNumberFormat="1" applyFont="1" applyAlignment="1">
      <alignment horizontal="right" vertical="center"/>
    </xf>
    <xf numFmtId="49" fontId="1" fillId="0" borderId="0" xfId="0" applyNumberFormat="1" applyFont="1" applyAlignment="1">
      <alignment horizontal="right" vertical="center"/>
    </xf>
    <xf numFmtId="0" fontId="1" fillId="0" borderId="0" xfId="0" applyFont="1" applyAlignment="1">
      <alignment horizontal="left" vertical="center"/>
    </xf>
    <xf numFmtId="168" fontId="1" fillId="0" borderId="0" xfId="0" applyNumberFormat="1" applyFont="1" applyAlignment="1">
      <alignment horizontal="left" vertical="center"/>
    </xf>
    <xf numFmtId="0" fontId="1" fillId="0" borderId="0" xfId="0" applyFont="1" applyAlignment="1">
      <alignment horizontal="left" vertical="center" wrapText="1"/>
    </xf>
    <xf numFmtId="0" fontId="1" fillId="0" borderId="0" xfId="0" applyFont="1" applyAlignment="1">
      <alignment horizontal="left"/>
    </xf>
    <xf numFmtId="165" fontId="1" fillId="0" borderId="0" xfId="0" applyNumberFormat="1" applyFont="1" applyAlignment="1">
      <alignment horizontal="left" vertical="center"/>
    </xf>
    <xf numFmtId="164" fontId="1" fillId="0" borderId="0" xfId="0" applyNumberFormat="1" applyFont="1" applyAlignment="1">
      <alignment horizontal="left" vertical="center"/>
    </xf>
    <xf numFmtId="0" fontId="7" fillId="0" borderId="0" xfId="0" applyFont="1" applyAlignment="1">
      <alignment horizontal="left" vertical="center"/>
    </xf>
    <xf numFmtId="0" fontId="11" fillId="4" borderId="1" xfId="0" applyFont="1" applyFill="1" applyBorder="1" applyAlignment="1">
      <alignment vertical="center"/>
    </xf>
    <xf numFmtId="0" fontId="11" fillId="4" borderId="3" xfId="0" applyFont="1" applyFill="1" applyBorder="1" applyAlignment="1">
      <alignment vertical="center"/>
    </xf>
    <xf numFmtId="0" fontId="11" fillId="4" borderId="2" xfId="0" applyFont="1" applyFill="1" applyBorder="1" applyAlignment="1">
      <alignment vertical="center"/>
    </xf>
    <xf numFmtId="0" fontId="13" fillId="5" borderId="4" xfId="0" applyFont="1" applyFill="1" applyBorder="1" applyAlignment="1">
      <alignment horizontal="center" vertical="center" wrapText="1"/>
    </xf>
    <xf numFmtId="0" fontId="15" fillId="0" borderId="0" xfId="0" applyFont="1" applyAlignment="1">
      <alignment vertical="center"/>
    </xf>
    <xf numFmtId="165" fontId="1" fillId="0" borderId="0" xfId="0" quotePrefix="1" applyNumberFormat="1"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914400</xdr:colOff>
      <xdr:row>52</xdr:row>
      <xdr:rowOff>114300</xdr:rowOff>
    </xdr:to>
    <xdr:sp macro="" textlink="">
      <xdr:nvSpPr>
        <xdr:cNvPr id="1027" name="Text Box 3" hidden="1">
          <a:extLst>
            <a:ext uri="{FF2B5EF4-FFF2-40B4-BE49-F238E27FC236}">
              <a16:creationId xmlns:a16="http://schemas.microsoft.com/office/drawing/2014/main" id="{F27EA43F-FA8C-CAC5-F81A-09F90B21F556}"/>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914400</xdr:colOff>
      <xdr:row>52</xdr:row>
      <xdr:rowOff>114300</xdr:rowOff>
    </xdr:to>
    <xdr:sp macro="" textlink="">
      <xdr:nvSpPr>
        <xdr:cNvPr id="5" name="AutoShape 3">
          <a:extLst>
            <a:ext uri="{FF2B5EF4-FFF2-40B4-BE49-F238E27FC236}">
              <a16:creationId xmlns:a16="http://schemas.microsoft.com/office/drawing/2014/main" id="{4CBE166E-A6A2-A3A2-C800-B64FFBAB624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914400</xdr:colOff>
      <xdr:row>52</xdr:row>
      <xdr:rowOff>114300</xdr:rowOff>
    </xdr:to>
    <xdr:sp macro="" textlink="">
      <xdr:nvSpPr>
        <xdr:cNvPr id="6" name="AutoShape 3">
          <a:extLst>
            <a:ext uri="{FF2B5EF4-FFF2-40B4-BE49-F238E27FC236}">
              <a16:creationId xmlns:a16="http://schemas.microsoft.com/office/drawing/2014/main" id="{CEA182C0-6FEA-82F9-D06E-6CE92E9A9FE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914400</xdr:colOff>
      <xdr:row>52</xdr:row>
      <xdr:rowOff>114300</xdr:rowOff>
    </xdr:to>
    <xdr:sp macro="" textlink="">
      <xdr:nvSpPr>
        <xdr:cNvPr id="7" name="AutoShape 3">
          <a:extLst>
            <a:ext uri="{FF2B5EF4-FFF2-40B4-BE49-F238E27FC236}">
              <a16:creationId xmlns:a16="http://schemas.microsoft.com/office/drawing/2014/main" id="{6C64E6FF-747C-69B2-6C89-54A3A935754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914400</xdr:colOff>
      <xdr:row>52</xdr:row>
      <xdr:rowOff>114300</xdr:rowOff>
    </xdr:to>
    <xdr:sp macro="" textlink="">
      <xdr:nvSpPr>
        <xdr:cNvPr id="2" name="AutoShape 3">
          <a:extLst>
            <a:ext uri="{FF2B5EF4-FFF2-40B4-BE49-F238E27FC236}">
              <a16:creationId xmlns:a16="http://schemas.microsoft.com/office/drawing/2014/main" id="{2FF3C596-6F19-96C1-4296-06DA4598C0E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361950</xdr:colOff>
      <xdr:row>52</xdr:row>
      <xdr:rowOff>114300</xdr:rowOff>
    </xdr:to>
    <xdr:sp macro="" textlink="">
      <xdr:nvSpPr>
        <xdr:cNvPr id="2050" name="Text Box 2" hidden="1">
          <a:extLst>
            <a:ext uri="{FF2B5EF4-FFF2-40B4-BE49-F238E27FC236}">
              <a16:creationId xmlns:a16="http://schemas.microsoft.com/office/drawing/2014/main" id="{7AAA8DD2-D9C4-54D6-88D6-D7EBB07A8391}"/>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15</xdr:col>
      <xdr:colOff>361950</xdr:colOff>
      <xdr:row>52</xdr:row>
      <xdr:rowOff>114300</xdr:rowOff>
    </xdr:to>
    <xdr:sp macro="" textlink="">
      <xdr:nvSpPr>
        <xdr:cNvPr id="5" name="AutoShape 2">
          <a:extLst>
            <a:ext uri="{FF2B5EF4-FFF2-40B4-BE49-F238E27FC236}">
              <a16:creationId xmlns:a16="http://schemas.microsoft.com/office/drawing/2014/main" id="{0EDC57C3-0CC6-AF2D-B707-BDDD4495799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15</xdr:col>
      <xdr:colOff>361950</xdr:colOff>
      <xdr:row>52</xdr:row>
      <xdr:rowOff>114300</xdr:rowOff>
    </xdr:to>
    <xdr:sp macro="" textlink="">
      <xdr:nvSpPr>
        <xdr:cNvPr id="6" name="AutoShape 2">
          <a:extLst>
            <a:ext uri="{FF2B5EF4-FFF2-40B4-BE49-F238E27FC236}">
              <a16:creationId xmlns:a16="http://schemas.microsoft.com/office/drawing/2014/main" id="{D3CBF54E-D926-FCF6-5DAB-DC1F8D29ABD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15</xdr:col>
      <xdr:colOff>361950</xdr:colOff>
      <xdr:row>52</xdr:row>
      <xdr:rowOff>114300</xdr:rowOff>
    </xdr:to>
    <xdr:sp macro="" textlink="">
      <xdr:nvSpPr>
        <xdr:cNvPr id="7" name="AutoShape 2">
          <a:extLst>
            <a:ext uri="{FF2B5EF4-FFF2-40B4-BE49-F238E27FC236}">
              <a16:creationId xmlns:a16="http://schemas.microsoft.com/office/drawing/2014/main" id="{D1EFF4AB-2C77-4EB0-6E9A-C89EC9FD818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15</xdr:col>
      <xdr:colOff>361950</xdr:colOff>
      <xdr:row>52</xdr:row>
      <xdr:rowOff>114300</xdr:rowOff>
    </xdr:to>
    <xdr:sp macro="" textlink="">
      <xdr:nvSpPr>
        <xdr:cNvPr id="2" name="AutoShape 2">
          <a:extLst>
            <a:ext uri="{FF2B5EF4-FFF2-40B4-BE49-F238E27FC236}">
              <a16:creationId xmlns:a16="http://schemas.microsoft.com/office/drawing/2014/main" id="{DC4BA75F-AD03-E787-02D6-D0A5F5457D2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428625</xdr:colOff>
      <xdr:row>52</xdr:row>
      <xdr:rowOff>85725</xdr:rowOff>
    </xdr:to>
    <xdr:sp macro="" textlink="">
      <xdr:nvSpPr>
        <xdr:cNvPr id="3074" name="Text Box 2" hidden="1">
          <a:extLst>
            <a:ext uri="{FF2B5EF4-FFF2-40B4-BE49-F238E27FC236}">
              <a16:creationId xmlns:a16="http://schemas.microsoft.com/office/drawing/2014/main" id="{D52F7988-7DD4-C381-CD42-754C11F2635E}"/>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15</xdr:col>
      <xdr:colOff>428625</xdr:colOff>
      <xdr:row>52</xdr:row>
      <xdr:rowOff>85725</xdr:rowOff>
    </xdr:to>
    <xdr:sp macro="" textlink="">
      <xdr:nvSpPr>
        <xdr:cNvPr id="5" name="AutoShape 2">
          <a:extLst>
            <a:ext uri="{FF2B5EF4-FFF2-40B4-BE49-F238E27FC236}">
              <a16:creationId xmlns:a16="http://schemas.microsoft.com/office/drawing/2014/main" id="{A1B78597-D6F8-1860-D3E2-71D9BF857BD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15</xdr:col>
      <xdr:colOff>428625</xdr:colOff>
      <xdr:row>52</xdr:row>
      <xdr:rowOff>85725</xdr:rowOff>
    </xdr:to>
    <xdr:sp macro="" textlink="">
      <xdr:nvSpPr>
        <xdr:cNvPr id="6" name="AutoShape 2">
          <a:extLst>
            <a:ext uri="{FF2B5EF4-FFF2-40B4-BE49-F238E27FC236}">
              <a16:creationId xmlns:a16="http://schemas.microsoft.com/office/drawing/2014/main" id="{5675F842-0119-E067-7931-1177E7B827E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15</xdr:col>
      <xdr:colOff>428625</xdr:colOff>
      <xdr:row>52</xdr:row>
      <xdr:rowOff>85725</xdr:rowOff>
    </xdr:to>
    <xdr:sp macro="" textlink="">
      <xdr:nvSpPr>
        <xdr:cNvPr id="7" name="AutoShape 2">
          <a:extLst>
            <a:ext uri="{FF2B5EF4-FFF2-40B4-BE49-F238E27FC236}">
              <a16:creationId xmlns:a16="http://schemas.microsoft.com/office/drawing/2014/main" id="{9F96411C-F687-AD9E-6FCD-7EA48745D99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15</xdr:col>
      <xdr:colOff>428625</xdr:colOff>
      <xdr:row>52</xdr:row>
      <xdr:rowOff>85725</xdr:rowOff>
    </xdr:to>
    <xdr:sp macro="" textlink="">
      <xdr:nvSpPr>
        <xdr:cNvPr id="2" name="AutoShape 2">
          <a:extLst>
            <a:ext uri="{FF2B5EF4-FFF2-40B4-BE49-F238E27FC236}">
              <a16:creationId xmlns:a16="http://schemas.microsoft.com/office/drawing/2014/main" id="{8CB9111A-AC94-BE01-93D5-1ADEBA6B93A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showGridLines="0" workbookViewId="0">
      <pane ySplit="2" topLeftCell="A3" activePane="bottomLeft" state="frozen"/>
      <selection pane="bottomLeft"/>
    </sheetView>
  </sheetViews>
  <sheetFormatPr defaultRowHeight="15" x14ac:dyDescent="0.25"/>
  <cols>
    <col min="1" max="1" width="36" customWidth="1"/>
    <col min="2" max="2" width="88" customWidth="1"/>
  </cols>
  <sheetData>
    <row r="1" spans="1:2" ht="18" x14ac:dyDescent="0.25">
      <c r="A1" s="25" t="s">
        <v>0</v>
      </c>
    </row>
    <row r="2" spans="1:2" x14ac:dyDescent="0.25">
      <c r="A2" s="26" t="s">
        <v>1</v>
      </c>
      <c r="B2" s="26" t="s">
        <v>2</v>
      </c>
    </row>
    <row r="3" spans="1:2" ht="30.95" customHeight="1" x14ac:dyDescent="0.25">
      <c r="A3" s="29" t="s">
        <v>3</v>
      </c>
      <c r="B3" s="29" t="s">
        <v>4</v>
      </c>
    </row>
    <row r="4" spans="1:2" ht="30.95" customHeight="1" x14ac:dyDescent="0.25">
      <c r="A4" s="29" t="s">
        <v>5</v>
      </c>
      <c r="B4" s="29" t="s">
        <v>6</v>
      </c>
    </row>
    <row r="5" spans="1:2" ht="30.95" customHeight="1" x14ac:dyDescent="0.25">
      <c r="A5" s="29" t="s">
        <v>7</v>
      </c>
      <c r="B5" s="29" t="s">
        <v>8</v>
      </c>
    </row>
    <row r="6" spans="1:2" ht="30.95" customHeight="1" x14ac:dyDescent="0.25">
      <c r="A6" s="29" t="s">
        <v>9</v>
      </c>
      <c r="B6" s="29" t="s">
        <v>10</v>
      </c>
    </row>
    <row r="7" spans="1:2" ht="30.95" customHeight="1" x14ac:dyDescent="0.25">
      <c r="A7" s="29" t="s">
        <v>11</v>
      </c>
      <c r="B7" s="29" t="s">
        <v>12</v>
      </c>
    </row>
    <row r="8" spans="1:2" ht="30.95" customHeight="1" x14ac:dyDescent="0.25">
      <c r="A8" s="29" t="s">
        <v>13</v>
      </c>
      <c r="B8" s="29" t="s">
        <v>492</v>
      </c>
    </row>
    <row r="9" spans="1:2" ht="30.95" customHeight="1" x14ac:dyDescent="0.25">
      <c r="A9" s="29" t="s">
        <v>14</v>
      </c>
      <c r="B9" s="29" t="s">
        <v>15</v>
      </c>
    </row>
    <row r="10" spans="1:2" ht="30.95" customHeight="1" x14ac:dyDescent="0.25">
      <c r="A10" s="29" t="s">
        <v>16</v>
      </c>
      <c r="B10" s="29" t="s">
        <v>17</v>
      </c>
    </row>
    <row r="11" spans="1:2" ht="30.95" customHeight="1" x14ac:dyDescent="0.25">
      <c r="A11" s="29" t="s">
        <v>18</v>
      </c>
      <c r="B11" s="29" t="s">
        <v>19</v>
      </c>
    </row>
    <row r="12" spans="1:2" ht="30.95" customHeight="1" x14ac:dyDescent="0.25">
      <c r="A12" s="29" t="s">
        <v>20</v>
      </c>
      <c r="B12" s="29" t="s">
        <v>21</v>
      </c>
    </row>
    <row r="13" spans="1:2" ht="30.95" customHeight="1" x14ac:dyDescent="0.25">
      <c r="A13" s="29" t="s">
        <v>22</v>
      </c>
      <c r="B13" s="29" t="s">
        <v>23</v>
      </c>
    </row>
    <row r="14" spans="1:2" ht="30.95" customHeight="1" x14ac:dyDescent="0.25">
      <c r="A14" s="29" t="s">
        <v>24</v>
      </c>
      <c r="B14" s="29" t="s">
        <v>25</v>
      </c>
    </row>
    <row r="15" spans="1:2" ht="30.95" customHeight="1" x14ac:dyDescent="0.25">
      <c r="A15" s="29" t="s">
        <v>26</v>
      </c>
      <c r="B15" s="29" t="s">
        <v>27</v>
      </c>
    </row>
    <row r="16" spans="1:2" ht="30.95" customHeight="1" x14ac:dyDescent="0.25">
      <c r="A16" s="29" t="s">
        <v>28</v>
      </c>
      <c r="B16" s="29" t="s">
        <v>29</v>
      </c>
    </row>
    <row r="17" spans="1:2" ht="30.95" customHeight="1" x14ac:dyDescent="0.25">
      <c r="A17" s="29" t="s">
        <v>30</v>
      </c>
      <c r="B17" s="29" t="s">
        <v>31</v>
      </c>
    </row>
    <row r="18" spans="1:2" ht="30.95" customHeight="1" x14ac:dyDescent="0.25">
      <c r="A18" s="29" t="s">
        <v>32</v>
      </c>
      <c r="B18" s="29" t="s">
        <v>33</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0"/>
  <sheetViews>
    <sheetView tabSelected="1" workbookViewId="0">
      <selection activeCell="H11" sqref="H11"/>
    </sheetView>
  </sheetViews>
  <sheetFormatPr defaultColWidth="14.42578125" defaultRowHeight="15" x14ac:dyDescent="0.25"/>
  <cols>
    <col min="1" max="1" width="20.7109375" customWidth="1"/>
  </cols>
  <sheetData>
    <row r="1" spans="1:11" x14ac:dyDescent="0.25">
      <c r="A1" s="30" t="s">
        <v>34</v>
      </c>
      <c r="B1" s="30" t="s">
        <v>35</v>
      </c>
      <c r="C1" s="30" t="s">
        <v>36</v>
      </c>
      <c r="D1" s="30" t="s">
        <v>37</v>
      </c>
      <c r="E1" s="30" t="s">
        <v>38</v>
      </c>
      <c r="F1" s="30" t="s">
        <v>39</v>
      </c>
      <c r="G1" s="30" t="s">
        <v>40</v>
      </c>
      <c r="H1" s="30" t="s">
        <v>41</v>
      </c>
      <c r="I1" s="30" t="s">
        <v>42</v>
      </c>
      <c r="J1" s="30" t="s">
        <v>43</v>
      </c>
      <c r="K1" s="30" t="s">
        <v>44</v>
      </c>
    </row>
    <row r="2" spans="1:11" x14ac:dyDescent="0.25">
      <c r="A2" s="30" t="s">
        <v>9</v>
      </c>
      <c r="B2" s="30">
        <f>AVERAGE('Access time'!M2,'Access time'!M3,'Access time'!M4,'Access time'!M5,'Access time'!M6,'Access time'!M7,'Access time'!M9,'Access time'!M10,'Access time'!M11,'Access time'!M12,'Access time'!M13,'Access time'!M18,'Access time'!M19,'Access time'!M20,'Access time'!M21,'Access time'!M22,'Access time'!M23,'Access time'!M26,'Access time'!M27,'Access time'!M28,'Access time'!M29,'Access time'!M30,'Access time'!M31,'Access time'!M32,'Access time'!M33,'Access time'!M41,'Access time'!M42,'Access time'!M44,'Access time'!M45)</f>
        <v>17.524137931034481</v>
      </c>
      <c r="C2" s="30">
        <f>_xlfn.STDEV.P('Access time'!M2,'Access time'!M3,'Access time'!M4,'Access time'!M5,'Access time'!M6,'Access time'!M7,'Access time'!M9,'Access time'!M10,'Access time'!M11,'Access time'!M12,'Access time'!M13,'Access time'!M18,'Access time'!M19,'Access time'!M20,'Access time'!M21,'Access time'!M22,'Access time'!M23,'Access time'!M26,'Access time'!M27,'Access time'!M28,'Access time'!M29,'Access time'!M30,'Access time'!M31,'Access time'!M32,'Access time'!M33,'Access time'!M41,'Access time'!M42,'Access time'!M44,'Access time'!M45)</f>
        <v>8.0619863716603426</v>
      </c>
      <c r="D2" s="30">
        <f t="shared" ref="D2:D11" si="0">C2/B2</f>
        <v>0.46005038327066106</v>
      </c>
      <c r="E2" s="30">
        <f>MIN('Access time'!K2,'Access time'!K3,'Access time'!K4,'Access time'!K5,'Access time'!K6,'Access time'!K7,'Access time'!K9,'Access time'!K10,'Access time'!K11,'Access time'!K12,'Access time'!K13,'Access time'!K18,'Access time'!K19,'Access time'!K20,'Access time'!K21,'Access time'!K22,'Access time'!K23,'Access time'!K26,'Access time'!K27,'Access time'!K28,'Access time'!K29,'Access time'!K30,'Access time'!K31,'Access time'!K32,'Access time'!K33,'Access time'!K41,'Access time'!K42,'Access time'!K44,'Access time'!K45)</f>
        <v>0</v>
      </c>
      <c r="F2" s="30">
        <f>MAX('Access time'!L2,'Access time'!L3,'Access time'!L4,'Access time'!L5,'Access time'!L6,'Access time'!L7,'Access time'!L9,'Access time'!L10,'Access time'!L11,'Access time'!L12,'Access time'!L13,'Access time'!L18,'Access time'!L19,'Access time'!L20,'Access time'!L21,'Access time'!L22,'Access time'!L23,'Access time'!L26,'Access time'!L27,'Access time'!L28,'Access time'!L29,'Access time'!L30,'Access time'!L31,'Access time'!L32,'Access time'!L33,'Access time'!L41,'Access time'!L42,'Access time'!L44,'Access time'!L45)</f>
        <v>48</v>
      </c>
      <c r="G2" s="30">
        <f>COUNTA('Access time'!M2,'Access time'!M3,'Access time'!M4,'Access time'!M5,'Access time'!M6,'Access time'!M7,'Access time'!M9,'Access time'!M10,'Access time'!M11,'Access time'!M12,'Access time'!M13,'Access time'!M18,'Access time'!M19,'Access time'!M20,'Access time'!M21,'Access time'!M22,'Access time'!M23,'Access time'!M26,'Access time'!M27,'Access time'!M28,'Access time'!M29,'Access time'!M30,'Access time'!M31,'Access time'!M32,'Access time'!M33,'Access time'!M41,'Access time'!M42,'Access time'!M44,'Access time'!M45)</f>
        <v>29</v>
      </c>
      <c r="H2" s="30">
        <f>MEDIAN('Access time'!M2,'Access time'!M3,'Access time'!M4,'Access time'!M5,'Access time'!M6,'Access time'!M7,'Access time'!M9,'Access time'!M10,'Access time'!M11,'Access time'!M12,'Access time'!M13,'Access time'!M18,'Access time'!M19,'Access time'!M20,'Access time'!M21,'Access time'!M22,'Access time'!M23,'Access time'!M26,'Access time'!M27,'Access time'!M28,'Access time'!M29,'Access time'!M30,'Access time'!M31,'Access time'!M32,'Access time'!M33,'Access time'!M41,'Access time'!M42,'Access time'!M44,'Access time'!M45)</f>
        <v>15</v>
      </c>
      <c r="I2" s="30">
        <f>_xlfn.QUARTILE.INC(Statistics_helper!$A$2:$A$30,1)</f>
        <v>12.5</v>
      </c>
      <c r="J2" s="30">
        <f>_xlfn.QUARTILE.INC(Statistics_helper!$A$2:$A$30,3)</f>
        <v>21</v>
      </c>
      <c r="K2" s="30">
        <f>J2-I2</f>
        <v>8.5</v>
      </c>
    </row>
    <row r="3" spans="1:11" x14ac:dyDescent="0.25">
      <c r="A3" s="30" t="s">
        <v>11</v>
      </c>
      <c r="B3" s="31">
        <f>AVERAGE(Cost!M2:M120)</f>
        <v>2.6536876666492972</v>
      </c>
      <c r="C3" s="30">
        <f>_xlfn.STDEV.P(Cost!M2:M120)</f>
        <v>2.0755018923252417</v>
      </c>
      <c r="D3" s="30">
        <f t="shared" si="0"/>
        <v>0.78211988487171624</v>
      </c>
      <c r="E3" s="30">
        <f>MIN(Cost!K2:K120)</f>
        <v>3.0770941614208935E-4</v>
      </c>
      <c r="F3" s="30">
        <f>MAX(Cost!L2:L120)</f>
        <v>11.184143542598388</v>
      </c>
      <c r="G3" s="30">
        <f>COUNTA(Cost!A2:A120)</f>
        <v>119</v>
      </c>
      <c r="H3" s="31">
        <f>MEDIAN(Cost!M2:M120)</f>
        <v>1.9754996437437131</v>
      </c>
      <c r="I3" s="30">
        <f>_xlfn.QUARTILE.INC(Cost!M2:M120,1)</f>
        <v>0.91368966707887833</v>
      </c>
      <c r="J3" s="30">
        <f>_xlfn.QUARTILE.INC(Cost!M2:M120,3)</f>
        <v>4.2669958702286017</v>
      </c>
      <c r="K3" s="30">
        <f t="shared" ref="K3:K11" si="1">J3-I3</f>
        <v>3.3533062031497236</v>
      </c>
    </row>
    <row r="4" spans="1:11" x14ac:dyDescent="0.25">
      <c r="A4" s="30" t="s">
        <v>16</v>
      </c>
      <c r="B4" s="30">
        <f>AVERAGE('Vertiport number'!H2:H52)</f>
        <v>87.274509803921575</v>
      </c>
      <c r="C4" s="30">
        <f>_xlfn.STDEV.P('Vertiport number'!H2:H52)</f>
        <v>154.11271383612768</v>
      </c>
      <c r="D4" s="30">
        <f t="shared" si="0"/>
        <v>1.7658387790704362</v>
      </c>
      <c r="E4" s="30">
        <f>MIN('Vertiport number'!F2:F52)</f>
        <v>0</v>
      </c>
      <c r="F4" s="30">
        <f>MAX('Vertiport number'!G2:G52)</f>
        <v>1000</v>
      </c>
      <c r="G4" s="30">
        <v>51</v>
      </c>
      <c r="H4" s="30">
        <f>MEDIAN('Vertiport number'!H2:H52)</f>
        <v>52</v>
      </c>
      <c r="I4" s="30">
        <f>_xlfn.QUARTILE.INC('Vertiport number'!H2:H52,1)</f>
        <v>12.25</v>
      </c>
      <c r="J4" s="30">
        <f>_xlfn.QUARTILE.INC('Vertiport number'!H2:H52,3)</f>
        <v>75</v>
      </c>
      <c r="K4" s="30">
        <f t="shared" si="1"/>
        <v>62.75</v>
      </c>
    </row>
    <row r="5" spans="1:11" x14ac:dyDescent="0.25">
      <c r="A5" s="30" t="s">
        <v>45</v>
      </c>
      <c r="B5" s="30">
        <f>AVERAGE('Vertiport number (population si'!J2:J52)</f>
        <v>18.395945098039213</v>
      </c>
      <c r="C5" s="30">
        <f>_xlfn.STDEV.P('Vertiport number (population si'!J2:J52)</f>
        <v>36.635220028099745</v>
      </c>
      <c r="D5" s="30">
        <f t="shared" si="0"/>
        <v>1.9914834401198891</v>
      </c>
      <c r="E5" s="30">
        <f>MIN('Vertiport number (population si'!H2:H52)</f>
        <v>0</v>
      </c>
      <c r="F5" s="30">
        <f>MAX('Vertiport number (population si'!I2:I52)</f>
        <v>238.09520000000001</v>
      </c>
      <c r="G5" s="30">
        <v>51</v>
      </c>
      <c r="H5" s="30">
        <f>MEDIAN('Vertiport number (population si'!J2:J52)</f>
        <v>5.6779500000000001</v>
      </c>
      <c r="I5" s="30">
        <f>_xlfn.QUARTILE.INC('Vertiport number (population si'!J2:J52,1)</f>
        <v>1.3352249999999999</v>
      </c>
      <c r="J5" s="30">
        <f>_xlfn.QUARTILE.INC('Vertiport number (population si'!J2:J52,3)</f>
        <v>16.2319</v>
      </c>
      <c r="K5" s="30">
        <f t="shared" si="1"/>
        <v>14.896675</v>
      </c>
    </row>
    <row r="6" spans="1:11" x14ac:dyDescent="0.25">
      <c r="A6" s="30" t="s">
        <v>20</v>
      </c>
      <c r="B6" s="32">
        <f>AVERAGE('Vertiport number (area size)'!J2:J44)</f>
        <v>9.819767441860465E-3</v>
      </c>
      <c r="C6" s="30">
        <f>_xlfn.STDEV.P('Vertiport number (area size)'!J2:J44)</f>
        <v>1.6209544057454794E-2</v>
      </c>
      <c r="D6" s="30">
        <f t="shared" si="0"/>
        <v>1.6507054931215066</v>
      </c>
      <c r="E6" s="33">
        <f>MIN('Vertiport number (area size)'!H3:H53)</f>
        <v>0</v>
      </c>
      <c r="F6" s="33">
        <f>MAX('Vertiport number (area size)'!I3:I53)</f>
        <v>8.5900000000000004E-2</v>
      </c>
      <c r="G6" s="30">
        <v>43</v>
      </c>
      <c r="H6" s="33">
        <f>MEDIAN('Vertiport number (area size)'!J2:J44)</f>
        <v>4.7999999999999996E-3</v>
      </c>
      <c r="I6" s="30">
        <f>_xlfn.QUARTILE.INC('Vertiport number (area size)'!J2:J44,1)</f>
        <v>2E-3</v>
      </c>
      <c r="J6" s="30">
        <f>_xlfn.QUARTILE.INC('Vertiport number (area size)'!J2:J44,3)</f>
        <v>9.2499999999999995E-3</v>
      </c>
      <c r="K6" s="30">
        <f t="shared" si="1"/>
        <v>7.2499999999999995E-3</v>
      </c>
    </row>
    <row r="7" spans="1:11" x14ac:dyDescent="0.25">
      <c r="A7" s="30" t="s">
        <v>22</v>
      </c>
      <c r="B7" s="30">
        <f>AVERAGE('Time spent at vertiports'!H2,'Time spent at vertiports'!H3,'Time spent at vertiports'!H4,'Time spent at vertiports'!H5,'Time spent at vertiports'!H6,'Time spent at vertiports'!H7,'Time spent at vertiports'!H9,'Time spent at vertiports'!H10,'Time spent at vertiports'!H11,'Time spent at vertiports'!H12,'Time spent at vertiports'!H13,'Time spent at vertiports'!H14,'Time spent at vertiports'!H15,'Time spent at vertiports'!H16,'Time spent at vertiports'!H17,'Time spent at vertiports'!H18,'Time spent at vertiports'!H19,'Time spent at vertiports'!H26,'Time spent at vertiports'!H27,'Time spent at vertiports'!H28,'Time spent at vertiports'!H29,'Time spent at vertiports'!H30,'Time spent at vertiports'!H31,'Time spent at vertiports'!H32,'Time spent at vertiports'!H33,'Time spent at vertiports'!H34,'Time spent at vertiports'!H37,'Time spent at vertiports'!H38,'Time spent at vertiports'!H39,'Time spent at vertiports'!H40,'Time spent at vertiports'!H41,'Time spent at vertiports'!H42,'Time spent at vertiports'!H43,'Time spent at vertiports'!H44,'Time spent at vertiports'!H45,'Time spent at vertiports'!H46,'Time spent at vertiports'!H47,'Time spent at vertiports'!H48,'Time spent at vertiports'!H49,'Time spent at vertiports'!H50,'Time spent at vertiports'!H51,'Time spent at vertiports'!H52,'Time spent at vertiports'!H53,'Time spent at vertiports'!H54,'Time spent at vertiports'!H56,'Time spent at vertiports'!H57,'Time spent at vertiports'!H58,'Time spent at vertiports'!H63,'Time spent at vertiports'!H67,'Time spent at vertiports'!H68,'Time spent at vertiports'!H69,'Time spent at vertiports'!H71,'Time spent at vertiports'!H72,'Time spent at vertiports'!H73,'Time spent at vertiports'!H74,'Time spent at vertiports'!H75,'Time spent at vertiports'!H76,'Time spent at vertiports'!H77)</f>
        <v>7.9094827586206895</v>
      </c>
      <c r="C7" s="30">
        <f>_xlfn.STDEV.P('Time spent at vertiports'!H2,'Time spent at vertiports'!H3,'Time spent at vertiports'!H4,'Time spent at vertiports'!H5,'Time spent at vertiports'!H6,'Time spent at vertiports'!H7,'Time spent at vertiports'!H9,'Time spent at vertiports'!H10,'Time spent at vertiports'!H11,'Time spent at vertiports'!H12,'Time spent at vertiports'!H13,'Time spent at vertiports'!H14,'Time spent at vertiports'!H15,'Time spent at vertiports'!H16,'Time spent at vertiports'!H17,'Time spent at vertiports'!H18,'Time spent at vertiports'!H19,'Time spent at vertiports'!H26,'Time spent at vertiports'!H27,'Time spent at vertiports'!H28,'Time spent at vertiports'!H29,'Time spent at vertiports'!H30,'Time spent at vertiports'!H31,'Time spent at vertiports'!H32,'Time spent at vertiports'!H33,'Time spent at vertiports'!H34,'Time spent at vertiports'!H37,'Time spent at vertiports'!H38,'Time spent at vertiports'!H39,'Time spent at vertiports'!H40,'Time spent at vertiports'!H41,'Time spent at vertiports'!H42,'Time spent at vertiports'!H43,'Time spent at vertiports'!H44,'Time spent at vertiports'!H45,'Time spent at vertiports'!H46,'Time spent at vertiports'!H47,'Time spent at vertiports'!H48,'Time spent at vertiports'!H49,'Time spent at vertiports'!H50,'Time spent at vertiports'!H51,'Time spent at vertiports'!H52,'Time spent at vertiports'!H53,'Time spent at vertiports'!H54,'Time spent at vertiports'!H56,'Time spent at vertiports'!H57,'Time spent at vertiports'!H58,'Time spent at vertiports'!H63,'Time spent at vertiports'!H67,'Time spent at vertiports'!H68,'Time spent at vertiports'!H69,'Time spent at vertiports'!H71,'Time spent at vertiports'!H72,'Time spent at vertiports'!H73,'Time spent at vertiports'!H74,'Time spent at vertiports'!H75,'Time spent at vertiports'!H76,'Time spent at vertiports'!H77)</f>
        <v>4.8402715877113947</v>
      </c>
      <c r="D7" s="30">
        <f t="shared" si="0"/>
        <v>0.61195804269702647</v>
      </c>
      <c r="E7" s="30">
        <f>MIN('Time spent at vertiports'!H2,'Time spent at vertiports'!H3,'Time spent at vertiports'!H4,'Time spent at vertiports'!H5,'Time spent at vertiports'!H6,'Time spent at vertiports'!H7,'Time spent at vertiports'!H9,'Time spent at vertiports'!H10,'Time spent at vertiports'!H11,'Time spent at vertiports'!H12,'Time spent at vertiports'!H13,'Time spent at vertiports'!H14,'Time spent at vertiports'!H15,'Time spent at vertiports'!H16,'Time spent at vertiports'!H17,'Time spent at vertiports'!H18,'Time spent at vertiports'!H19,'Time spent at vertiports'!H26,'Time spent at vertiports'!H27,'Time spent at vertiports'!H28,'Time spent at vertiports'!H29,'Time spent at vertiports'!H30,'Time spent at vertiports'!H31,'Time spent at vertiports'!H32,'Time spent at vertiports'!H33,'Time spent at vertiports'!H34,'Time spent at vertiports'!H37,'Time spent at vertiports'!H38,'Time spent at vertiports'!H39,'Time spent at vertiports'!H40,'Time spent at vertiports'!H41,'Time spent at vertiports'!H42,'Time spent at vertiports'!H43,'Time spent at vertiports'!H44,'Time spent at vertiports'!H45,'Time spent at vertiports'!H46,'Time spent at vertiports'!H47,'Time spent at vertiports'!H48,'Time spent at vertiports'!H49,'Time spent at vertiports'!H50,'Time spent at vertiports'!H51,'Time spent at vertiports'!H52,'Time spent at vertiports'!H53,'Time spent at vertiports'!H54,'Time spent at vertiports'!H56,'Time spent at vertiports'!H57,'Time spent at vertiports'!H58,'Time spent at vertiports'!H63,'Time spent at vertiports'!H67,'Time spent at vertiports'!H68,'Time spent at vertiports'!H69,'Time spent at vertiports'!H71,'Time spent at vertiports'!H72,'Time spent at vertiports'!H73,'Time spent at vertiports'!H74,'Time spent at vertiports'!H75,'Time spent at vertiports'!H76,'Time spent at vertiports'!H77)</f>
        <v>0</v>
      </c>
      <c r="F7" s="30">
        <f>MAX('Time spent at vertiports'!H2,'Time spent at vertiports'!H3,'Time spent at vertiports'!H4,'Time spent at vertiports'!H5,'Time spent at vertiports'!H6,'Time spent at vertiports'!H7,'Time spent at vertiports'!H9,'Time spent at vertiports'!H10,'Time spent at vertiports'!H11,'Time spent at vertiports'!H12,'Time spent at vertiports'!H13,'Time spent at vertiports'!H14,'Time spent at vertiports'!H15,'Time spent at vertiports'!H16,'Time spent at vertiports'!H17,'Time spent at vertiports'!H18,'Time spent at vertiports'!H19,'Time spent at vertiports'!H26,'Time spent at vertiports'!H27,'Time spent at vertiports'!H28,'Time spent at vertiports'!H29,'Time spent at vertiports'!H30,'Time spent at vertiports'!H31,'Time spent at vertiports'!H32,'Time spent at vertiports'!H33,'Time spent at vertiports'!H34,'Time spent at vertiports'!H37,'Time spent at vertiports'!H38,'Time spent at vertiports'!H39,'Time spent at vertiports'!H40,'Time spent at vertiports'!H41,'Time spent at vertiports'!H42,'Time spent at vertiports'!H43,'Time spent at vertiports'!H44,'Time spent at vertiports'!H45,'Time spent at vertiports'!H46,'Time spent at vertiports'!H47,'Time spent at vertiports'!H48,'Time spent at vertiports'!H49,'Time spent at vertiports'!H50,'Time spent at vertiports'!H51,'Time spent at vertiports'!H52,'Time spent at vertiports'!H53,'Time spent at vertiports'!H54,'Time spent at vertiports'!H56,'Time spent at vertiports'!H57,'Time spent at vertiports'!H58,'Time spent at vertiports'!H63,'Time spent at vertiports'!H67,'Time spent at vertiports'!H68,'Time spent at vertiports'!H69,'Time spent at vertiports'!H71,'Time spent at vertiports'!H72,'Time spent at vertiports'!H73,'Time spent at vertiports'!H74,'Time spent at vertiports'!H75,'Time spent at vertiports'!H76,'Time spent at vertiports'!H77)</f>
        <v>35</v>
      </c>
      <c r="G7" s="30">
        <f>COUNTA('Time spent at vertiports'!H2,'Time spent at vertiports'!H3,'Time spent at vertiports'!H4,'Time spent at vertiports'!H5,'Time spent at vertiports'!H6,'Time spent at vertiports'!H7,'Time spent at vertiports'!H9,'Time spent at vertiports'!H10,'Time spent at vertiports'!H11,'Time spent at vertiports'!H12,'Time spent at vertiports'!H13,'Time spent at vertiports'!H14,'Time spent at vertiports'!H15,'Time spent at vertiports'!H16,'Time spent at vertiports'!H17,'Time spent at vertiports'!H18,'Time spent at vertiports'!H19,'Time spent at vertiports'!H26,'Time spent at vertiports'!H27,'Time spent at vertiports'!H28,'Time spent at vertiports'!H29,'Time spent at vertiports'!H30,'Time spent at vertiports'!H31,'Time spent at vertiports'!H32,'Time spent at vertiports'!H33,'Time spent at vertiports'!H34,'Time spent at vertiports'!H37,'Time spent at vertiports'!H38,'Time spent at vertiports'!H39,'Time spent at vertiports'!H40,'Time spent at vertiports'!H41,'Time spent at vertiports'!H42,'Time spent at vertiports'!H43,'Time spent at vertiports'!H44,'Time spent at vertiports'!H45,'Time spent at vertiports'!H46,'Time spent at vertiports'!H47,'Time spent at vertiports'!H48,'Time spent at vertiports'!H49,'Time spent at vertiports'!H50,'Time spent at vertiports'!H51,'Time spent at vertiports'!H52,'Time spent at vertiports'!H53,'Time spent at vertiports'!H54,'Time spent at vertiports'!H56,'Time spent at vertiports'!H57,'Time spent at vertiports'!H58,'Time spent at vertiports'!H63,'Time spent at vertiports'!H67,'Time spent at vertiports'!H68,'Time spent at vertiports'!H69,'Time spent at vertiports'!H71,'Time spent at vertiports'!H72,'Time spent at vertiports'!H73,'Time spent at vertiports'!H74,'Time spent at vertiports'!H75,'Time spent at vertiports'!H76,'Time spent at vertiports'!H77)</f>
        <v>58</v>
      </c>
      <c r="H7" s="30">
        <f>MEDIAN('Time spent at vertiports'!H2,'Time spent at vertiports'!H3,'Time spent at vertiports'!H4,'Time spent at vertiports'!H5,'Time spent at vertiports'!H6,'Time spent at vertiports'!H7,'Time spent at vertiports'!H9,'Time spent at vertiports'!H10,'Time spent at vertiports'!H11,'Time spent at vertiports'!H12,'Time spent at vertiports'!H13,'Time spent at vertiports'!H14,'Time spent at vertiports'!H15,'Time spent at vertiports'!H16,'Time spent at vertiports'!H17,'Time spent at vertiports'!H18,'Time spent at vertiports'!H19,'Time spent at vertiports'!H26,'Time spent at vertiports'!H27,'Time spent at vertiports'!H28,'Time spent at vertiports'!H29,'Time spent at vertiports'!H30,'Time spent at vertiports'!H31,'Time spent at vertiports'!H32,'Time spent at vertiports'!H33,'Time spent at vertiports'!H34,'Time spent at vertiports'!H37,'Time spent at vertiports'!H38,'Time spent at vertiports'!H39,'Time spent at vertiports'!H40,'Time spent at vertiports'!H41,'Time spent at vertiports'!H42,'Time spent at vertiports'!H43,'Time spent at vertiports'!H44,'Time spent at vertiports'!H45,'Time spent at vertiports'!H46,'Time spent at vertiports'!H47,'Time spent at vertiports'!H48,'Time spent at vertiports'!H49,'Time spent at vertiports'!H50,'Time spent at vertiports'!H51,'Time spent at vertiports'!H52,'Time spent at vertiports'!H53,'Time spent at vertiports'!H54,'Time spent at vertiports'!H56,'Time spent at vertiports'!H57,'Time spent at vertiports'!H58,'Time spent at vertiports'!H63,'Time spent at vertiports'!H67,'Time spent at vertiports'!H68,'Time spent at vertiports'!H69,'Time spent at vertiports'!H71,'Time spent at vertiports'!H72,'Time spent at vertiports'!H73,'Time spent at vertiports'!H74,'Time spent at vertiports'!H75,'Time spent at vertiports'!H76,'Time spent at vertiports'!H77)</f>
        <v>7.25</v>
      </c>
      <c r="I7" s="30">
        <f>_xlfn.QUARTILE.INC(Statistics_helper!$B$2:$B$59,1)</f>
        <v>5</v>
      </c>
      <c r="J7" s="30">
        <f>_xlfn.QUARTILE.INC(Statistics_helper!$B$2:$B$59,3)</f>
        <v>10</v>
      </c>
      <c r="K7" s="30">
        <f>J7-I7</f>
        <v>5</v>
      </c>
    </row>
    <row r="8" spans="1:11" x14ac:dyDescent="0.25">
      <c r="A8" s="30" t="s">
        <v>26</v>
      </c>
      <c r="B8" s="30">
        <f>AVERAGE(Speed!I2:I96)</f>
        <v>171.73442105263157</v>
      </c>
      <c r="C8" s="30">
        <f>_xlfn.STDEV.P(Speed!I2:I96)</f>
        <v>54.022649474491388</v>
      </c>
      <c r="D8" s="30">
        <f t="shared" si="0"/>
        <v>0.31457088883733464</v>
      </c>
      <c r="E8" s="30">
        <f>MIN(Speed!G2:G96)</f>
        <v>50</v>
      </c>
      <c r="F8" s="30">
        <f>MAX(Speed!H2:H96)</f>
        <v>450</v>
      </c>
      <c r="G8" s="30">
        <f>COUNTA(Speed!I2:I96)</f>
        <v>95</v>
      </c>
      <c r="H8" s="30">
        <f>MEDIAN(Speed!I2:I96)</f>
        <v>160</v>
      </c>
      <c r="I8" s="30">
        <f>_xlfn.QUARTILE.INC(Speed!I2:I96,1)</f>
        <v>150</v>
      </c>
      <c r="J8" s="30">
        <f>_xlfn.QUARTILE.INC(Speed!I2:I96,3)</f>
        <v>206.625</v>
      </c>
      <c r="K8" s="30">
        <f t="shared" si="1"/>
        <v>56.625</v>
      </c>
    </row>
    <row r="9" spans="1:11" x14ac:dyDescent="0.25">
      <c r="A9" s="30" t="s">
        <v>28</v>
      </c>
      <c r="B9" s="30">
        <f>AVERAGE(Capacity!H2:H69)</f>
        <v>3.4779411764705883</v>
      </c>
      <c r="C9" s="30">
        <f>_xlfn.STDEV.P(Capacity!H2:H69)</f>
        <v>2.5414704861229276</v>
      </c>
      <c r="D9" s="30">
        <f t="shared" si="0"/>
        <v>0.73073992835669799</v>
      </c>
      <c r="E9" s="30">
        <f>MIN(Capacity!F2:F69)</f>
        <v>1</v>
      </c>
      <c r="F9" s="30">
        <f>MAX(Capacity!G2:G69)</f>
        <v>40</v>
      </c>
      <c r="G9" s="30">
        <f>COUNTA(Capacity!H2:H69)</f>
        <v>68</v>
      </c>
      <c r="H9" s="30">
        <f>MEDIAN(Capacity!H2:H69)</f>
        <v>3</v>
      </c>
      <c r="I9" s="30">
        <f>_xlfn.QUARTILE.INC(Capacity!H2:H69,1)</f>
        <v>2.875</v>
      </c>
      <c r="J9" s="30">
        <f>_xlfn.QUARTILE.INC(Capacity!H2:H69,3)</f>
        <v>4</v>
      </c>
      <c r="K9" s="30">
        <f t="shared" si="1"/>
        <v>1.125</v>
      </c>
    </row>
    <row r="10" spans="1:11" x14ac:dyDescent="0.25">
      <c r="A10" s="30" t="s">
        <v>30</v>
      </c>
      <c r="B10" s="30">
        <f>AVERAGE(Altitude!H2:H24)</f>
        <v>635.37043478260875</v>
      </c>
      <c r="C10" s="30">
        <f>_xlfn.STDEV.P(Altitude!H2:H24)</f>
        <v>569.59981170214178</v>
      </c>
      <c r="D10" s="30">
        <f t="shared" si="0"/>
        <v>0.89648460255634921</v>
      </c>
      <c r="E10" s="30">
        <f>MIN(Altitude!F2:F24)</f>
        <v>10</v>
      </c>
      <c r="F10" s="30">
        <f>MAX(Altitude!G2:G24)</f>
        <v>3000</v>
      </c>
      <c r="G10" s="30">
        <f>COUNTA(Altitude!H2:H24)</f>
        <v>23</v>
      </c>
      <c r="H10" s="30">
        <f>MEDIAN(Altitude!H2:H24)</f>
        <v>600</v>
      </c>
      <c r="I10" s="30">
        <f>_xlfn.QUARTILE.INC(Altitude!H2:H24,1)</f>
        <v>287.15999999999997</v>
      </c>
      <c r="J10" s="30">
        <f>_xlfn.QUARTILE.INC(Altitude!H2:H24,3)</f>
        <v>800</v>
      </c>
      <c r="K10" s="30">
        <f t="shared" si="1"/>
        <v>512.84</v>
      </c>
    </row>
    <row r="11" spans="1:11" x14ac:dyDescent="0.25">
      <c r="A11" s="30" t="s">
        <v>32</v>
      </c>
      <c r="B11" s="30">
        <f>AVERAGE(Range!H2:H22)</f>
        <v>159.25333333333333</v>
      </c>
      <c r="C11" s="30">
        <f>_xlfn.STDEV.P(Range!H2:H22)</f>
        <v>85.135422001450635</v>
      </c>
      <c r="D11" s="30">
        <f t="shared" si="0"/>
        <v>0.53459114619129255</v>
      </c>
      <c r="E11" s="30">
        <f>MIN(Range!F2:F22)</f>
        <v>16.09</v>
      </c>
      <c r="F11" s="30">
        <f>MAX(Range!F2:F22)</f>
        <v>402</v>
      </c>
      <c r="G11" s="30">
        <f>COUNTA(Range!H2:H22)</f>
        <v>21</v>
      </c>
      <c r="H11" s="30">
        <f>MEDIAN(Range!H2:H22)</f>
        <v>161</v>
      </c>
      <c r="I11" s="30">
        <f>_xlfn.QUARTILE.INC(Range!H2:H22,1)</f>
        <v>96</v>
      </c>
      <c r="J11" s="30">
        <f>_xlfn.QUARTILE.INC(Range!H2:H22,3)</f>
        <v>200</v>
      </c>
      <c r="K11" s="30">
        <f t="shared" si="1"/>
        <v>104</v>
      </c>
    </row>
    <row r="14" spans="1:11" x14ac:dyDescent="0.25">
      <c r="A14" s="7" t="s">
        <v>46</v>
      </c>
      <c r="B14" s="7"/>
      <c r="C14" s="7"/>
      <c r="D14" s="7"/>
      <c r="E14" s="30"/>
      <c r="F14" s="30"/>
      <c r="G14" s="30"/>
    </row>
    <row r="15" spans="1:11" x14ac:dyDescent="0.25">
      <c r="A15" s="30" t="s">
        <v>9</v>
      </c>
      <c r="B15" s="34">
        <f>AVERAGE('Access time'!M2,'Access time'!M6,'Access time'!M11,'Access time'!M19,'Access time'!M20,'Access time'!M23,'Access time'!M27,'Access time'!M32,'Access time'!M33,'Access time'!M41,'Access time'!M44,'Access time'!M45)</f>
        <v>19.516666666666666</v>
      </c>
      <c r="C15" s="34">
        <f>_xlfn.STDEV.P('Access time'!M2,'Access time'!M6,'Access time'!M11,'Access time'!M19,'Access time'!M20,'Access time'!M23,'Access time'!M27,'Access time'!M32,'Access time'!M33,'Access time'!M41,'Access time'!M44,'Access time'!M45)</f>
        <v>9.4729292665409996</v>
      </c>
      <c r="D15" s="34">
        <f t="shared" ref="D15:D24" si="2">C15/B15</f>
        <v>0.48537639282020495</v>
      </c>
      <c r="E15" s="30">
        <f>MIN('Access time'!K2,'Access time'!K6,'Access time'!K11,'Access time'!K19,'Access time'!K20,'Access time'!K23,'Access time'!K27,'Access time'!K32,'Access time'!K33,'Access time'!K41,'Access time'!K44,'Access time'!K45)</f>
        <v>4</v>
      </c>
      <c r="F15" s="30">
        <f>MAX('Access time'!L2,'Access time'!L6,'Access time'!L11,'Access time'!L19,'Access time'!L20,'Access time'!L23,'Access time'!L27,'Access time'!L32,'Access time'!L33,'Access time'!L41,'Access time'!L44,'Access time'!L45)</f>
        <v>48</v>
      </c>
      <c r="G15" s="30">
        <f>COUNTA('Access time'!M2,'Access time'!M6,'Access time'!M11,'Access time'!M19,'Access time'!M20,'Access time'!M23,'Access time'!M27,'Access time'!M32,'Access time'!M33,'Access time'!M41,'Access time'!M44,'Access time'!M45)</f>
        <v>12</v>
      </c>
    </row>
    <row r="16" spans="1:11" x14ac:dyDescent="0.25">
      <c r="A16" s="30" t="s">
        <v>11</v>
      </c>
      <c r="B16" s="34">
        <f>AVERAGE(Cost!M3,Cost!M4,Cost!M9,Cost!M14,Cost!M16,Cost!M19,Cost!M21,Cost!M31,Cost!M32,Cost!M33,Cost!M34,Cost!M35,Cost!M36,Cost!M38,Cost!M39,Cost!M48,Cost!M49,Cost!M54,Cost!M56,Cost!M57,Cost!M58,Cost!M65,Cost!M67,Cost!M68,Cost!M69,Cost!M70,Cost!M71,Cost!M74,Cost!M77,Cost!M78,Cost!M80,Cost!M81,Cost!M82,Cost!M83,Cost!M88,Cost!M89,Cost!M90,Cost!M91,Cost!M93,Cost!M96,Cost!M97,Cost!M100,Cost!M103,Cost!M105,Cost!M106,Cost!M107,Cost!M108,Cost!M109,Cost!M110,Cost!M111,Cost!M112,Cost!M113,Cost!M114,Cost!M116)</f>
        <v>2.1805741864596095</v>
      </c>
      <c r="C16" s="34">
        <f>_xlfn.STDEV.P(Cost!M3,Cost!M4,Cost!M9,Cost!M14,Cost!M16,Cost!M19,Cost!M21,Cost!M31,Cost!M32,Cost!M33,Cost!M34,Cost!M35,Cost!M36,Cost!M38,Cost!M39,Cost!M48,Cost!M49,Cost!M54,Cost!M56,Cost!M57,Cost!M58,Cost!M65,Cost!M67,Cost!M68,Cost!M69,Cost!M70,Cost!M71,Cost!M74,Cost!M77,Cost!M78,Cost!M80,Cost!M81,Cost!M82,Cost!M83,Cost!M88,Cost!M89,Cost!M90,Cost!M91,Cost!M93,Cost!M96,Cost!M97,Cost!M100,Cost!M103,Cost!M105,Cost!M106,Cost!M107,Cost!M108,Cost!M109,Cost!M110,Cost!M111,Cost!M112,Cost!M113,Cost!M114,Cost!M116)</f>
        <v>1.9353431861336572</v>
      </c>
      <c r="D16" s="34">
        <f t="shared" si="2"/>
        <v>0.88753833653139291</v>
      </c>
      <c r="E16" s="30">
        <f>MIN(Cost!K3,Cost!K4,Cost!K9,Cost!K14,Cost!K16,Cost!K19,Cost!K21,Cost!K31,Cost!K32,Cost!K33,Cost!K34,Cost!K35,Cost!K36,Cost!K38,Cost!K39,Cost!K48,Cost!K49,Cost!K54,Cost!K56,Cost!K57,Cost!K58,Cost!K65,Cost!K67,Cost!K68,Cost!K69,Cost!K70,Cost!K71,Cost!K74,Cost!K77,Cost!K78,Cost!K80,Cost!K81,Cost!K82,Cost!K83,Cost!K88,Cost!K89,Cost!K90,Cost!K91,Cost!K93,Cost!K96,Cost!K97,Cost!K100,Cost!K103,Cost!K105,Cost!K106,Cost!K107,Cost!K108,Cost!K109,Cost!K110,Cost!K111,Cost!K112,Cost!K113,Cost!K114,Cost!K116)</f>
        <v>3.8874616952498414E-2</v>
      </c>
      <c r="F16" s="30">
        <f>MAX(Cost!L3,Cost!L4,Cost!L9,Cost!L14,Cost!L16,Cost!L19,Cost!L21,Cost!L31,Cost!L32,Cost!L33,Cost!L34,Cost!L35,Cost!L36,Cost!L38,Cost!L39,Cost!L48,Cost!L49,Cost!L54,Cost!L56,Cost!L57,Cost!L58,Cost!L65,Cost!L67,Cost!L68,Cost!L69,Cost!L70,Cost!L71,Cost!L74,Cost!L77,Cost!L78,Cost!L80,Cost!L81,Cost!L82,Cost!L83,Cost!L88,Cost!L89,Cost!L90,Cost!L91,Cost!L93,Cost!L96,Cost!L97,Cost!L100,Cost!L103,Cost!L105,Cost!L106,Cost!L107,Cost!L108,Cost!L109,Cost!L110,Cost!L111,Cost!L112,Cost!L113,Cost!L114,Cost!L116)</f>
        <v>9.2144567003050941</v>
      </c>
      <c r="G16" s="30">
        <f>COUNTA(Cost!M3,Cost!M4,Cost!M9,Cost!M14,Cost!M16,Cost!M19,Cost!M21,Cost!M31,Cost!M32,Cost!M33,Cost!M34,Cost!M35,Cost!M36,Cost!M38,Cost!M39,Cost!M48,Cost!M49,Cost!M54,Cost!M56,Cost!M57,Cost!M58,Cost!M65,Cost!M67,Cost!M68,Cost!M69,Cost!M70,Cost!M71,Cost!M74,Cost!M77,Cost!M78,Cost!M80,Cost!M81,Cost!M82,Cost!M83,Cost!M88,Cost!M89,Cost!M90,Cost!M91,Cost!M93,Cost!M96,Cost!M97,Cost!M100,Cost!M103,Cost!M105,Cost!M106,Cost!M107,Cost!M108,Cost!M109,Cost!M110,Cost!M111,Cost!M112,Cost!M113,Cost!M114,Cost!M116)</f>
        <v>54</v>
      </c>
    </row>
    <row r="17" spans="1:7" x14ac:dyDescent="0.25">
      <c r="A17" s="30" t="s">
        <v>16</v>
      </c>
      <c r="B17" s="34">
        <f>AVERAGE('Vertiport number'!H2,'Vertiport number'!H8,'Vertiport number'!H9,'Vertiport number'!H10,'Vertiport number'!H11,'Vertiport number'!H17,'Vertiport number'!H20,'Vertiport number'!H21,'Vertiport number'!H22,'Vertiport number'!H23,'Vertiport number'!H24,'Vertiport number'!H25,'Vertiport number'!H27,'Vertiport number'!H28,'Vertiport number'!H39,'Vertiport number'!H42,'Vertiport number'!H45,'Vertiport number'!H48)</f>
        <v>37.25</v>
      </c>
      <c r="C17" s="34">
        <f>_xlfn.STDEV.P('Vertiport number'!H2,'Vertiport number'!H8,'Vertiport number'!H9,'Vertiport number'!H10,'Vertiport number'!H11,'Vertiport number'!H17,'Vertiport number'!H20,'Vertiport number'!H21,'Vertiport number'!H22,'Vertiport number'!H23,'Vertiport number'!H24,'Vertiport number'!H25,'Vertiport number'!H27,'Vertiport number'!H28,'Vertiport number'!H39,'Vertiport number'!H42,'Vertiport number'!H45,'Vertiport number'!H48)</f>
        <v>28.047702421252104</v>
      </c>
      <c r="D17" s="34">
        <f t="shared" si="2"/>
        <v>0.75295845426180141</v>
      </c>
      <c r="E17" s="30">
        <f>MIN('Vertiport number'!F2,'Vertiport number'!F8,'Vertiport number'!F9,'Vertiport number'!F10,'Vertiport number'!F11,'Vertiport number'!F17,'Vertiport number'!F20,'Vertiport number'!F21,'Vertiport number'!F22,'Vertiport number'!F23,'Vertiport number'!F24,'Vertiport number'!F25,'Vertiport number'!F27,'Vertiport number'!F28,'Vertiport number'!F39,'Vertiport number'!F42,'Vertiport number'!F45,'Vertiport number'!F48)</f>
        <v>4</v>
      </c>
      <c r="F17" s="30">
        <f>MAX('Vertiport number'!G2,'Vertiport number'!G8,'Vertiport number'!G9,'Vertiport number'!G10,'Vertiport number'!G11,'Vertiport number'!G17,'Vertiport number'!G20,'Vertiport number'!G21,'Vertiport number'!G22,'Vertiport number'!G23,'Vertiport number'!G24,'Vertiport number'!G25,'Vertiport number'!G27,'Vertiport number'!G28,'Vertiport number'!G39,'Vertiport number'!G42,'Vertiport number'!G45,'Vertiport number'!G48)</f>
        <v>130</v>
      </c>
      <c r="G17" s="30">
        <f>COUNTIF('Vertiport number'!D2:D52,"Intracity")</f>
        <v>18</v>
      </c>
    </row>
    <row r="18" spans="1:7" x14ac:dyDescent="0.25">
      <c r="A18" s="30" t="s">
        <v>45</v>
      </c>
      <c r="B18" s="34">
        <f>AVERAGE('Vertiport number (population si'!J2,'Vertiport number (population si'!J8,'Vertiport number (population si'!J9,'Vertiport number (population si'!J10,'Vertiport number (population si'!J11,'Vertiport number (population si'!J17,'Vertiport number (population si'!J20,'Vertiport number (population si'!J21,'Vertiport number (population si'!J22,'Vertiport number (population si'!J23,'Vertiport number (population si'!J24,'Vertiport number (population si'!J25,'Vertiport number (population si'!J27,'Vertiport number (population si'!J28,'Vertiport number (population si'!J39,'Vertiport number (population si'!J42,'Vertiport number (population si'!J45,'Vertiport number (population si'!J48)</f>
        <v>8.3856944444444448</v>
      </c>
      <c r="C18" s="34">
        <f>_xlfn.STDEV.P('Vertiport number (population si'!J2,'Vertiport number (population si'!J8,'Vertiport number (population si'!J9,'Vertiport number (population si'!J10,'Vertiport number (population si'!J11,'Vertiport number (population si'!J17,'Vertiport number (population si'!J20,'Vertiport number (population si'!J21,'Vertiport number (population si'!J22,'Vertiport number (population si'!J23,'Vertiport number (population si'!J24,'Vertiport number (population si'!J25,'Vertiport number (population si'!J27,'Vertiport number (population si'!J28,'Vertiport number (population si'!J39,'Vertiport number (population si'!J42,'Vertiport number (population si'!J45,'Vertiport number (population si'!J48)</f>
        <v>9.5305222673857628</v>
      </c>
      <c r="D18" s="34">
        <f t="shared" si="2"/>
        <v>1.1365215284823276</v>
      </c>
      <c r="E18" s="30">
        <f>MIN('Vertiport number (population si'!H2,'Vertiport number (population si'!H8,'Vertiport number (population si'!H9,'Vertiport number (population si'!H10,'Vertiport number (population si'!H11,'Vertiport number (population si'!H17,'Vertiport number (population si'!H20,'Vertiport number (population si'!H21,'Vertiport number (population si'!H22,'Vertiport number (population si'!H23,'Vertiport number (population si'!H24,'Vertiport number (population si'!H25,'Vertiport number (population si'!H27,'Vertiport number (population si'!H28,'Vertiport number (population si'!H39,'Vertiport number (population si'!H42,'Vertiport number (population si'!H45,'Vertiport number (population si'!H48)</f>
        <v>0.34560000000000002</v>
      </c>
      <c r="F18" s="30">
        <f>MAX('Vertiport number (population si'!I2,'Vertiport number (population si'!I8,'Vertiport number (population si'!I9,'Vertiport number (population si'!I10,'Vertiport number (population si'!I11,'Vertiport number (population si'!I17,'Vertiport number (population si'!I20,'Vertiport number (population si'!I21,'Vertiport number (population si'!I22,'Vertiport number (population si'!I23,'Vertiport number (population si'!I24,'Vertiport number (population si'!I25,'Vertiport number (population si'!I27,'Vertiport number (population si'!I28,'Vertiport number (population si'!I39,'Vertiport number (population si'!I42,'Vertiport number (population si'!I45,'Vertiport number (population si'!I48)</f>
        <v>58.823500000000003</v>
      </c>
      <c r="G18" s="30">
        <f>COUNTIF('Vertiport number (population si'!D2:D52,"Intracity")</f>
        <v>18</v>
      </c>
    </row>
    <row r="19" spans="1:7" x14ac:dyDescent="0.25">
      <c r="A19" s="30" t="s">
        <v>20</v>
      </c>
      <c r="B19" s="34">
        <f>AVERAGE('Vertiport number (area size)'!J2,'Vertiport number (area size)'!J8,'Vertiport number (area size)'!J10,'Vertiport number (area size)'!J13,'Vertiport number (area size)'!J14,'Vertiport number (area size)'!J16,'Vertiport number (area size)'!J18,'Vertiport number (area size)'!J17,'Vertiport number (area size)'!J19,'Vertiport number (area size)'!J30,'Vertiport number (area size)'!J33,'Vertiport number (area size)'!J34,'Vertiport number (area size)'!J37,'Vertiport number (area size)'!J40)*1000</f>
        <v>7.7285714285714278</v>
      </c>
      <c r="C19" s="34">
        <f>_xlfn.STDEV.P('Vertiport number (area size)'!J2,'Vertiport number (area size)'!J8,'Vertiport number (area size)'!J10,'Vertiport number (area size)'!J13,'Vertiport number (area size)'!J14,'Vertiport number (area size)'!J16,'Vertiport number (area size)'!J18,'Vertiport number (area size)'!J17,'Vertiport number (area size)'!J19,'Vertiport number (area size)'!J30,'Vertiport number (area size)'!J33,'Vertiport number (area size)'!J34,'Vertiport number (area size)'!J37,'Vertiport number (area size)'!J40)*1000</f>
        <v>9.5518830283748315</v>
      </c>
      <c r="D19" s="34">
        <f t="shared" si="2"/>
        <v>1.2359183216011798</v>
      </c>
      <c r="E19" s="33">
        <f>MIN('Vertiport number (area size)'!H2,'Vertiport number (area size)'!H8,'Vertiport number (area size)'!H10,'Vertiport number (area size)'!H13,'Vertiport number (area size)'!H14,'Vertiport number (area size)'!H16,'Vertiport number (area size)'!H18,'Vertiport number (area size)'!H17,'Vertiport number (area size)'!H19,'Vertiport number (area size)'!H30,'Vertiport number (area size)'!H33,'Vertiport number (area size)'!H34,'Vertiport number (area size)'!H37,'Vertiport number (area size)'!H40)</f>
        <v>2.0000000000000001E-4</v>
      </c>
      <c r="F19" s="33">
        <f>MAX('Vertiport number (area size)'!I2,'Vertiport number (area size)'!I8,'Vertiport number (area size)'!I10,'Vertiport number (area size)'!I13,'Vertiport number (area size)'!I14,'Vertiport number (area size)'!I16,'Vertiport number (area size)'!I18,'Vertiport number (area size)'!I17,'Vertiport number (area size)'!I19,'Vertiport number (area size)'!I30,'Vertiport number (area size)'!I33,'Vertiport number (area size)'!I34,'Vertiport number (area size)'!I37,'Vertiport number (area size)'!I40)</f>
        <v>4.7600000000000003E-2</v>
      </c>
      <c r="G19" s="30">
        <f>COUNTIF('Vertiport number (area size)'!D2:D44,"Intracity")</f>
        <v>14</v>
      </c>
    </row>
    <row r="20" spans="1:7" x14ac:dyDescent="0.25">
      <c r="A20" s="30" t="s">
        <v>22</v>
      </c>
      <c r="B20" s="34">
        <f>AVERAGE('Time spent at vertiports'!H6,'Time spent at vertiports'!H8,'Time spent at vertiports'!H12,'Time spent at vertiports'!H14,'Time spent at vertiports'!H26,'Time spent at vertiports'!H27,'Time spent at vertiports'!H29,'Time spent at vertiports'!H34,'Time spent at vertiports'!H37,'Time spent at vertiports'!H38,'Time spent at vertiports'!H40,'Time spent at vertiports'!H43,'Time spent at vertiports'!H46,'Time spent at vertiports'!H48,'Time spent at vertiports'!H50,'Time spent at vertiports'!H56,'Time spent at vertiports'!H57,'Time spent at vertiports'!H63,'Time spent at vertiports'!H67,'Time spent at vertiports'!H71,'Time spent at vertiports'!H73,'Time spent at vertiports'!H75)</f>
        <v>6.625</v>
      </c>
      <c r="C20" s="34">
        <f>_xlfn.STDEV.P('Time spent at vertiports'!H6,'Time spent at vertiports'!H8,'Time spent at vertiports'!H12,'Time spent at vertiports'!H14,'Time spent at vertiports'!H26,'Time spent at vertiports'!H27,'Time spent at vertiports'!H29,'Time spent at vertiports'!H34,'Time spent at vertiports'!H37,'Time spent at vertiports'!H38,'Time spent at vertiports'!H40,'Time spent at vertiports'!H43,'Time spent at vertiports'!H46,'Time spent at vertiports'!H48,'Time spent at vertiports'!H50,'Time spent at vertiports'!H56,'Time spent at vertiports'!H57,'Time spent at vertiports'!H63,'Time spent at vertiports'!H67,'Time spent at vertiports'!H71,'Time spent at vertiports'!H73,'Time spent at vertiports'!H75)</f>
        <v>3.7822477083439057</v>
      </c>
      <c r="D20" s="34">
        <f t="shared" si="2"/>
        <v>0.57090531446700465</v>
      </c>
      <c r="E20" s="30">
        <f>MIN('Time spent at vertiports'!F6,'Time spent at vertiports'!F8,'Time spent at vertiports'!F12,'Time spent at vertiports'!F14,'Time spent at vertiports'!F26,'Time spent at vertiports'!F27,'Time spent at vertiports'!F29,'Time spent at vertiports'!F34,'Time spent at vertiports'!F37,'Time spent at vertiports'!F38,'Time spent at vertiports'!F40,'Time spent at vertiports'!F43,'Time spent at vertiports'!F46,'Time spent at vertiports'!F48,'Time spent at vertiports'!F50,'Time spent at vertiports'!F56,'Time spent at vertiports'!F57,'Time spent at vertiports'!F63,'Time spent at vertiports'!F67,'Time spent at vertiports'!F71,'Time spent at vertiports'!F73,'Time spent at vertiports'!F75)</f>
        <v>0</v>
      </c>
      <c r="F20" s="30">
        <f>MAX('Time spent at vertiports'!G6,'Time spent at vertiports'!G8,'Time spent at vertiports'!G12,'Time spent at vertiports'!G14,'Time spent at vertiports'!G26,'Time spent at vertiports'!G27,'Time spent at vertiports'!G29,'Time spent at vertiports'!G34,'Time spent at vertiports'!G37,'Time spent at vertiports'!G38,'Time spent at vertiports'!G40,'Time spent at vertiports'!G43,'Time spent at vertiports'!G46,'Time spent at vertiports'!G48,'Time spent at vertiports'!G50,'Time spent at vertiports'!G56,'Time spent at vertiports'!G57,'Time spent at vertiports'!G63,'Time spent at vertiports'!G67,'Time spent at vertiports'!G71,'Time spent at vertiports'!G73,'Time spent at vertiports'!G75)</f>
        <v>25</v>
      </c>
      <c r="G20" s="30">
        <f>COUNTA('Time spent at vertiports'!H6,'Time spent at vertiports'!H8,'Time spent at vertiports'!H12,'Time spent at vertiports'!H14,'Time spent at vertiports'!H26,'Time spent at vertiports'!H27,'Time spent at vertiports'!H29,'Time spent at vertiports'!H34,'Time spent at vertiports'!H37,'Time spent at vertiports'!H38,'Time spent at vertiports'!H40,'Time spent at vertiports'!H43,'Time spent at vertiports'!H46,'Time spent at vertiports'!H48,'Time spent at vertiports'!H50,'Time spent at vertiports'!H56,'Time spent at vertiports'!H57,'Time spent at vertiports'!H63,'Time spent at vertiports'!H67,'Time spent at vertiports'!H71,'Time spent at vertiports'!H73,'Time spent at vertiports'!H75)</f>
        <v>22</v>
      </c>
    </row>
    <row r="21" spans="1:7" x14ac:dyDescent="0.25">
      <c r="A21" s="30" t="s">
        <v>26</v>
      </c>
      <c r="B21" s="34">
        <f>AVERAGE(Speed!I4,Speed!I5,Speed!I10,Speed!I14,Speed!I16,Speed!I20,Speed!I28,Speed!I29,Speed!I30,Speed!I31,Speed!I32,Speed!I33,Speed!I35,Speed!I37,Speed!I39,Speed!I42,Speed!I45,Speed!I46,Speed!I48,Speed!I51,Speed!I53,Speed!I54,Speed!I55,Speed!I58,Speed!I61,Speed!I62,Speed!I64,Speed!I65,Speed!I67,Speed!I72,Speed!I73,Speed!I74,Speed!I77,Speed!I80,Speed!I81,Speed!I84,Speed!I87,Speed!I89,Speed!I90,Speed!I92,Speed!I93)</f>
        <v>178.8719512195122</v>
      </c>
      <c r="C21" s="34">
        <f>_xlfn.STDEV.P(Speed!I4,Speed!I5,Speed!I10,Speed!I14,Speed!I16,Speed!I20,Speed!I28,Speed!I29,Speed!I30,Speed!I31,Speed!I32,Speed!I33,Speed!I35,Speed!I37,Speed!I39,Speed!I42,Speed!I45,Speed!I46,Speed!I48,Speed!I51,Speed!I53,Speed!I54,Speed!I55,Speed!I58,Speed!I61,Speed!I62,Speed!I64,Speed!I65,Speed!I67,Speed!I72,Speed!I73,Speed!I74,Speed!I77,Speed!I80,Speed!I81,Speed!I84,Speed!I87,Speed!I89,Speed!I90,Speed!I92,Speed!I93)</f>
        <v>53.323481361267341</v>
      </c>
      <c r="D21" s="34">
        <f t="shared" si="2"/>
        <v>0.29810979864488985</v>
      </c>
      <c r="E21" s="35">
        <f>MIN(Speed!G4,Speed!G5,Speed!G10,Speed!G14,Speed!G16,Speed!G20,Speed!G28,Speed!G29,Speed!G30,Speed!G31,Speed!G32,Speed!G33,Speed!G35,Speed!G37,Speed!G39,Speed!G42,Speed!G45,Speed!G46,Speed!G48,Speed!G51,Speed!G53,Speed!G54,Speed!G55,Speed!G58,Speed!G61,Speed!G62,Speed!G64,Speed!G65,Speed!G67,Speed!G72,Speed!G73,Speed!G74,Speed!G77,Speed!G80,Speed!G81,Speed!G84,Speed!G87,Speed!G89,Speed!G90,Speed!G92,Speed!G93)</f>
        <v>50</v>
      </c>
      <c r="F21" s="35">
        <f>MAX(Speed!H4,Speed!H5,Speed!H10,Speed!H14,Speed!H16,Speed!H20,Speed!H28,Speed!G29,Speed!H30,Speed!H31,Speed!H32,Speed!H33,Speed!H35,Speed!H37,Speed!H39,Speed!H42,Speed!H45,Speed!H46,Speed!H48,Speed!H51,Speed!H53,Speed!H54,Speed!H55,Speed!H58,Speed!H61,Speed!H62,Speed!H64,Speed!H65,Speed!H67,Speed!H72,Speed!H73,Speed!H74,Speed!H77,Speed!H80,Speed!H81,Speed!H84,Speed!H87,Speed!H89,Speed!H90,Speed!H92,Speed!H93)</f>
        <v>450</v>
      </c>
      <c r="G21" s="30">
        <f>COUNTIF(Speed!E2:E96,"Intracity")</f>
        <v>41</v>
      </c>
    </row>
    <row r="22" spans="1:7" x14ac:dyDescent="0.25">
      <c r="A22" s="30" t="s">
        <v>28</v>
      </c>
      <c r="B22" s="34">
        <f>AVERAGE(Capacity!H3,Capacity!H6,Capacity!H7,Capacity!H8,Capacity!H11,Capacity!H12,Capacity!H13,Capacity!H14,Capacity!H15,Capacity!H16,Capacity!H18,Capacity!H21,Capacity!H24,Capacity!H28,Capacity!H29,Capacity!H31,Capacity!H32,Capacity!H33,Capacity!H37,Capacity!H41,Capacity!H43,Capacity!H44,Capacity!H48,Capacity!H51,Capacity!H54,Capacity!H57,Capacity!H59,Capacity!H60,Capacity!H61,Capacity!H63,Capacity!H64,Capacity!H66)</f>
        <v>3.90625</v>
      </c>
      <c r="C22" s="34">
        <f>_xlfn.STDEV.P(Capacity!H3,Capacity!H6,Capacity!H7,Capacity!H8,Capacity!H11,Capacity!H12,Capacity!H13,Capacity!H14,Capacity!H15,Capacity!H16,Capacity!H18,Capacity!H21,Capacity!H24,Capacity!H28,Capacity!H29,Capacity!H31,Capacity!H32,Capacity!H33,Capacity!H37,Capacity!H41,Capacity!H43,Capacity!H44,Capacity!H48,Capacity!H51,Capacity!H54,Capacity!H57,Capacity!H59,Capacity!H60,Capacity!H61,Capacity!H63,Capacity!H64,Capacity!H66)</f>
        <v>3.4987441943503099</v>
      </c>
      <c r="D22" s="34">
        <f t="shared" si="2"/>
        <v>0.89567851375367935</v>
      </c>
      <c r="E22" s="30">
        <f>MIN(Capacity!F3,Capacity!F6,Capacity!F7,Capacity!F8,Capacity!F11,Capacity!F12,Capacity!F13,Capacity!F14,Capacity!F15,Capacity!F16,Capacity!F18,Capacity!F21,Capacity!F24,Capacity!F28,Capacity!F29,Capacity!F31,Capacity!F32,Capacity!F33,Capacity!F37,Capacity!F41,Capacity!F43,Capacity!F44,Capacity!F48,Capacity!F51,Capacity!F54,Capacity!F57,Capacity!F59,Capacity!F60,Capacity!F61,Capacity!F63,Capacity!F64,Capacity!F66)</f>
        <v>1</v>
      </c>
      <c r="F22" s="30">
        <f>MAX(Capacity!G3,Capacity!G5,Capacity!G7,Capacity!G8,Capacity!G11,Capacity!G12,Capacity!G13,Capacity!G14,Capacity!G15,Capacity!G16,Capacity!G18,Capacity!G21,Capacity!G24,Capacity!G28,Capacity!G29,Capacity!G31,Capacity!G32,Capacity!G33,Capacity!G37,Capacity!G41,Capacity!G43,Capacity!G44,Capacity!G48,Capacity!G51,Capacity!G54,Capacity!G57,Capacity!G59,Capacity!G60,Capacity!G61,Capacity!G63,Capacity!G64,Capacity!G66)</f>
        <v>12</v>
      </c>
      <c r="G22" s="30">
        <f>COUNTIF(Capacity!D2:D69,"Intracity")</f>
        <v>32</v>
      </c>
    </row>
    <row r="23" spans="1:7" x14ac:dyDescent="0.25">
      <c r="A23" s="30" t="s">
        <v>30</v>
      </c>
      <c r="B23" s="34">
        <f>AVERAGE(Altitude!H5,Altitude!H6,Altitude!H7,Altitude!H8,Altitude!H10,Altitude!H13,Altitude!H15,Altitude!H18,Altitude!H22,Altitude!H24)</f>
        <v>529.1</v>
      </c>
      <c r="C23" s="34">
        <f>_xlfn.STDEV.P(Altitude!H5,Altitude!H6,Altitude!H7,Altitude!H8,Altitude!H10,Altitude!H13,Altitude!H15,Altitude!H18,Altitude!H22,Altitude!H24)</f>
        <v>277.26249295568272</v>
      </c>
      <c r="D23" s="34">
        <f t="shared" si="2"/>
        <v>0.524026635712876</v>
      </c>
      <c r="E23" s="30">
        <f>MIN(Altitude!F5,Altitude!F6,Altitude!F7,Altitude!F8,Altitude!F10,Altitude!F13,Altitude!F15,Altitude!F18,Altitude!F22,Altitude!F24)</f>
        <v>90</v>
      </c>
      <c r="F23" s="30">
        <f>MAX(Altitude!G5,Altitude!G6,Altitude!G7,Altitude!G8,Altitude!G10,Altitude!G13,Altitude!G15,Altitude!G18,Altitude!G22,Altitude!G24)</f>
        <v>1524</v>
      </c>
      <c r="G23" s="30">
        <f>COUNTIF(Altitude!D3:D24,"Intracity")</f>
        <v>10</v>
      </c>
    </row>
    <row r="24" spans="1:7" x14ac:dyDescent="0.25">
      <c r="A24" s="30" t="s">
        <v>32</v>
      </c>
      <c r="B24" s="34">
        <f>AVERAGE(Range!H2,Range!H9,Range!H12,Range!H14,Range!H15,Range!H16,Range!H17,Range!H18,Range!H19,Range!H22)</f>
        <v>143.83200000000002</v>
      </c>
      <c r="C24" s="34">
        <f>_xlfn.STDEV.P(Range!H2,Range!H9,Range!H12,Range!H14,Range!H15,Range!H16,Range!H17,Range!H18,Range!H19,Range!H22)</f>
        <v>66.916744660809627</v>
      </c>
      <c r="D24" s="34">
        <f t="shared" si="2"/>
        <v>0.46524239849831484</v>
      </c>
      <c r="E24" s="30">
        <f>MIN(Range!F2,Range!F9,Range!F12,Range!F14,Range!F15,Range!F16,Range!F17,Range!F18,Range!F19,Range!F22)</f>
        <v>16.09</v>
      </c>
      <c r="F24" s="30">
        <f>MAX(Range!G2,Range!G9,Range!G12,Range!G14,Range!G15,Range!G16,Range!G17,Range!G18,Range!G19,Range!G22)</f>
        <v>250</v>
      </c>
      <c r="G24" s="30">
        <f>COUNTIF(Range!D2:D22,"Intracity")</f>
        <v>10</v>
      </c>
    </row>
    <row r="25" spans="1:7" x14ac:dyDescent="0.25">
      <c r="A25" s="1"/>
      <c r="B25" s="11"/>
      <c r="C25" s="11"/>
      <c r="D25" s="11"/>
      <c r="E25" s="1"/>
      <c r="F25" s="1"/>
      <c r="G25" s="1"/>
    </row>
    <row r="26" spans="1:7" x14ac:dyDescent="0.25">
      <c r="A26" s="7" t="s">
        <v>47</v>
      </c>
      <c r="B26" s="34"/>
      <c r="C26" s="34"/>
      <c r="D26" s="34"/>
      <c r="E26" s="30"/>
      <c r="F26" s="30"/>
      <c r="G26" s="30"/>
    </row>
    <row r="27" spans="1:7" x14ac:dyDescent="0.25">
      <c r="A27" s="30" t="s">
        <v>9</v>
      </c>
      <c r="B27" s="34">
        <f>AVERAGE('Access time'!M7,'Access time'!M10,'Access time'!M12,'Access time'!M26,'Access time'!M28,'Access time'!M29,'Access time'!M30,'Access time'!M42)</f>
        <v>18.8125</v>
      </c>
      <c r="C27" s="34">
        <f>_xlfn.STDEV.P('Access time'!M7,'Access time'!M10,'Access time'!M12,'Access time'!M26,'Access time'!M28,'Access time'!M29,'Access time'!M30,'Access time'!M42)</f>
        <v>6.3930504260485854</v>
      </c>
      <c r="D27" s="34">
        <f t="shared" ref="D27:D36" si="3">C27/B27</f>
        <v>0.33982992297932679</v>
      </c>
      <c r="E27" s="30">
        <f>MIN('Access time'!K7,'Access time'!K10,'Access time'!K12,'Access time'!K26,'Access time'!K28,'Access time'!K29,'Access time'!K30,'Access time'!K42)</f>
        <v>4</v>
      </c>
      <c r="F27" s="30">
        <f>MAX('Access time'!L7,'Access time'!L10,'Access time'!L12,'Access time'!L26,'Access time'!L28,'Access time'!L29,'Access time'!L30,'Access time'!L42)</f>
        <v>48</v>
      </c>
      <c r="G27" s="30">
        <f>COUNTA('Access time'!M7,'Access time'!M10,'Access time'!M12,'Access time'!M26,'Access time'!M28,'Access time'!M29,'Access time'!M30,'Access time'!M42)</f>
        <v>8</v>
      </c>
    </row>
    <row r="28" spans="1:7" x14ac:dyDescent="0.25">
      <c r="A28" s="30" t="s">
        <v>11</v>
      </c>
      <c r="B28" s="34">
        <f>AVERAGE(Cost!M15,Cost!M22,Cost!M40,Cost!M41,Cost!M42,Cost!M50,Cost!M52,Cost!M55,Cost!M59,Cost!M60,Cost!M61,Cost!M66,Cost!M72,Cost!M75,Cost!M84,Cost!M85,Cost!M94,Cost!M98,Cost!M101,Cost!M104,Cost!M118,Cost!M119,Cost!M120)</f>
        <v>2.850567386086587</v>
      </c>
      <c r="C28" s="34">
        <f>_xlfn.STDEV.P(Cost!M15,Cost!M22,Cost!M40,Cost!M41,Cost!M42,Cost!M50,Cost!M52,Cost!M55,Cost!M59,Cost!M60,Cost!M61,Cost!M66,Cost!M72,Cost!M75,Cost!M84,Cost!M85,Cost!M94,Cost!M98,Cost!M101,Cost!M104,Cost!M118,Cost!M119,Cost!M120)</f>
        <v>2.0792158776129721</v>
      </c>
      <c r="D28" s="34">
        <f t="shared" si="3"/>
        <v>0.72940421887988838</v>
      </c>
      <c r="E28" s="30">
        <f>MIN(Cost!K15,Cost!K22,Cost!K40,Cost!K41,Cost!K42,Cost!K50,Cost!K52,Cost!K55,Cost!K59,Cost!K60,Cost!K61,Cost!K66,Cost!K72,Cost!K75,Cost!K84,Cost!K85,Cost!K94,Cost!K98,Cost!K101,Cost!K104,Cost!K118,Cost!K119,Cost!K120)</f>
        <v>0.21762102668185038</v>
      </c>
      <c r="F28" s="30">
        <f>MAX(Cost!L15,Cost!L22,Cost!L40,Cost!L41,Cost!L42,Cost!L50,Cost!L52,Cost!L55,Cost!L59,Cost!L60,Cost!L61,Cost!L66,Cost!L72,Cost!L75,Cost!L84,Cost!L85,Cost!L94,Cost!L98,Cost!L101,Cost!L104,Cost!L118,Cost!L119,Cost!L120)</f>
        <v>8.8696626426259986</v>
      </c>
      <c r="G28" s="30">
        <f>COUNTIF(Cost!E2:E120,"Intercity")</f>
        <v>23</v>
      </c>
    </row>
    <row r="29" spans="1:7" x14ac:dyDescent="0.25">
      <c r="A29" s="30" t="s">
        <v>16</v>
      </c>
      <c r="B29" s="34">
        <f>AVERAGE('Vertiport number'!H3,'Vertiport number'!H12,'Vertiport number'!H13,'Vertiport number'!H14,'Vertiport number'!H15,'Vertiport number'!H18,'Vertiport number'!H29,'Vertiport number'!H30,'Vertiport number'!H32,'Vertiport number'!H35,'Vertiport number'!H36,'Vertiport number'!H37,'Vertiport number'!H40,'Vertiport number'!H43,'Vertiport number'!H46,'Vertiport number'!H49,'Vertiport number'!H50,'Vertiport number'!H51,'Vertiport number'!H52)</f>
        <v>172.23684210526315</v>
      </c>
      <c r="C29" s="34">
        <f>_xlfn.STDEV.P('Vertiport number'!H3,'Vertiport number'!H12,'Vertiport number'!H13,'Vertiport number'!H14,'Vertiport number'!H15,'Vertiport number'!H18,'Vertiport number'!H29,'Vertiport number'!H30,'Vertiport number'!H32,'Vertiport number'!H35,'Vertiport number'!H36,'Vertiport number'!H37,'Vertiport number'!H40,'Vertiport number'!H43,'Vertiport number'!H46,'Vertiport number'!H49,'Vertiport number'!H50,'Vertiport number'!H51,'Vertiport number'!H52)</f>
        <v>225.56585970335118</v>
      </c>
      <c r="D29" s="34">
        <f t="shared" si="3"/>
        <v>1.3096260761997471</v>
      </c>
      <c r="E29" s="30">
        <f>MIN('Vertiport number'!F3,'Vertiport number'!F12,'Vertiport number'!F13,'Vertiport number'!F14,'Vertiport number'!F15,'Vertiport number'!F18,'Vertiport number'!F29,'Vertiport number'!F30,'Vertiport number'!F32,'Vertiport number'!F35,'Vertiport number'!F36,'Vertiport number'!F37,'Vertiport number'!F40,'Vertiport number'!F43,'Vertiport number'!F46,'Vertiport number'!F49,'Vertiport number'!F50,'Vertiport number'!F51,'Vertiport number'!F52)</f>
        <v>0</v>
      </c>
      <c r="F29" s="30">
        <f>MAX('Vertiport number'!G3,'Vertiport number'!G12,'Vertiport number'!G13,'Vertiport number'!G14,'Vertiport number'!G15,'Vertiport number'!G18,'Vertiport number'!G29,'Vertiport number'!G30,'Vertiport number'!G32,'Vertiport number'!G35,'Vertiport number'!G36,'Vertiport number'!G37,'Vertiport number'!G40,'Vertiport number'!G43,'Vertiport number'!G46,'Vertiport number'!G49,'Vertiport number'!G50,'Vertiport number'!G51,'Vertiport number'!G52)</f>
        <v>1000</v>
      </c>
      <c r="G29" s="30">
        <f>COUNTIF('Vertiport number'!D2:D52,"Intercity")</f>
        <v>19</v>
      </c>
    </row>
    <row r="30" spans="1:7" x14ac:dyDescent="0.25">
      <c r="A30" s="30" t="s">
        <v>45</v>
      </c>
      <c r="B30" s="34">
        <f>AVERAGE('Vertiport number (population si'!J3,'Vertiport number (population si'!J12,'Vertiport number (population si'!J13,'Vertiport number (population si'!J14,'Vertiport number (population si'!J15,'Vertiport number (population si'!J18,'Vertiport number (population si'!J29,'Vertiport number (population si'!J30,'Vertiport number (population si'!J32,'Vertiport number (population si'!J35,'Vertiport number (population si'!J36,'Vertiport number (population si'!J37,'Vertiport number (population si'!J40,'Vertiport number (population si'!J43,'Vertiport number (population si'!J46,'Vertiport number (population si'!J49,'Vertiport number (population si'!J50,'Vertiport number (population si'!J51,'Vertiport number (population si'!J52)</f>
        <v>36.744781578947368</v>
      </c>
      <c r="C30" s="34">
        <f>_xlfn.STDEV.P('Vertiport number (population si'!J3,'Vertiport number (population si'!J12,'Vertiport number (population si'!J13,'Vertiport number (population si'!J14,'Vertiport number (population si'!J15,'Vertiport number (population si'!J18,'Vertiport number (population si'!J29,'Vertiport number (population si'!J30,'Vertiport number (population si'!J32,'Vertiport number (population si'!J35,'Vertiport number (population si'!J36,'Vertiport number (population si'!J37,'Vertiport number (population si'!J40,'Vertiport number (population si'!J43,'Vertiport number (population si'!J46,'Vertiport number (population si'!J49,'Vertiport number (population si'!J50,'Vertiport number (population si'!J51,'Vertiport number (population si'!J52)</f>
        <v>54.244642108781512</v>
      </c>
      <c r="D30" s="34">
        <f t="shared" si="3"/>
        <v>1.4762543081725801</v>
      </c>
      <c r="E30" s="30">
        <f>MIN('Vertiport number (population si'!H3,'Vertiport number (population si'!H12,'Vertiport number (population si'!H13,'Vertiport number (population si'!H14,'Vertiport number (population si'!H15,'Vertiport number (population si'!H18,'Vertiport number (population si'!H29,'Vertiport number (population si'!H30,'Vertiport number (population si'!H32,'Vertiport number (population si'!H35,'Vertiport number (population si'!H36,'Vertiport number (population si'!H37,'Vertiport number (population si'!H40,'Vertiport number (population si'!H43,'Vertiport number (population si'!H46,'Vertiport number (population si'!H49,'Vertiport number (population si'!H50,'Vertiport number (population si'!H51,'Vertiport number (population si'!H52)</f>
        <v>0</v>
      </c>
      <c r="F30" s="30">
        <f>MAX('Vertiport number (population si'!I3,'Vertiport number (population si'!I12,'Vertiport number (population si'!I13,'Vertiport number (population si'!I14,'Vertiport number (population si'!I15,'Vertiport number (population si'!I18,'Vertiport number (population si'!I29,'Vertiport number (population si'!I30,'Vertiport number (population si'!I32,'Vertiport number (population si'!I35,'Vertiport number (population si'!I36,'Vertiport number (population si'!I37,'Vertiport number (population si'!I40,'Vertiport number (population si'!I43,'Vertiport number (population si'!I46,'Vertiport number (population si'!I49,'Vertiport number (population si'!I50,'Vertiport number (population si'!I51,'Vertiport number (population si'!I52)</f>
        <v>238.09520000000001</v>
      </c>
      <c r="G30" s="30">
        <f>COUNTIF('Vertiport number (population si'!D2:D52,"Intercity")</f>
        <v>19</v>
      </c>
    </row>
    <row r="31" spans="1:7" x14ac:dyDescent="0.25">
      <c r="A31" s="30" t="s">
        <v>20</v>
      </c>
      <c r="B31" s="34">
        <f>AVERAGE('Vertiport number (area size)'!J3,'Vertiport number (area size)'!J11,'Vertiport number (area size)'!J20,'Vertiport number (area size)'!J21,'Vertiport number (area size)'!J23,'Vertiport number (area size)'!J26,'Vertiport number (area size)'!J27,'Vertiport number (area size)'!J28,'Vertiport number (area size)'!J31,'Vertiport number (area size)'!J35,'Vertiport number (area size)'!J38,'Vertiport number (area size)'!J41,'Vertiport number (area size)'!J42,'Vertiport number (area size)'!J43,'Vertiport number (area size)'!J44)*1000</f>
        <v>5.84</v>
      </c>
      <c r="C31" s="34">
        <f>_xlfn.STDEV.P('Vertiport number (area size)'!J3,'Vertiport number (area size)'!J11,'Vertiport number (area size)'!J20,'Vertiport number (area size)'!J21,'Vertiport number (area size)'!J23,'Vertiport number (area size)'!J26,'Vertiport number (area size)'!J27,'Vertiport number (area size)'!J28,'Vertiport number (area size)'!J31,'Vertiport number (area size)'!J35,'Vertiport number (area size)'!J38,'Vertiport number (area size)'!J41,'Vertiport number (area size)'!J42,'Vertiport number (area size)'!J43,'Vertiport number (area size)'!J44)*1000</f>
        <v>3.9776961506211945</v>
      </c>
      <c r="D31" s="34">
        <f t="shared" si="3"/>
        <v>0.68111235455842378</v>
      </c>
      <c r="E31" s="33">
        <f>MIN('Vertiport number (area size)'!H3,'Vertiport number (area size)'!H11,'Vertiport number (area size)'!H20,'Vertiport number (area size)'!H21,'Vertiport number (area size)'!H23,'Vertiport number (area size)'!H26,'Vertiport number (area size)'!H27,'Vertiport number (area size)'!H28,'Vertiport number (area size)'!H31,'Vertiport number (area size)'!H35,'Vertiport number (area size)'!H38,'Vertiport number (area size)'!H41,'Vertiport number (area size)'!H42,'Vertiport number (area size)'!H43,'Vertiport number (area size)'!H44)</f>
        <v>0</v>
      </c>
      <c r="F31" s="33">
        <f>MAX('Vertiport number (area size)'!I3,'Vertiport number (area size)'!I11,'Vertiport number (area size)'!I20,'Vertiport number (area size)'!I21,'Vertiport number (area size)'!I23,'Vertiport number (area size)'!I26,'Vertiport number (area size)'!I27,'Vertiport number (area size)'!I28,'Vertiport number (area size)'!I31,'Vertiport number (area size)'!I35,'Vertiport number (area size)'!I38,'Vertiport number (area size)'!I41,'Vertiport number (area size)'!I42,'Vertiport number (area size)'!I43,'Vertiport number (area size)'!I44)</f>
        <v>2.12E-2</v>
      </c>
      <c r="G31" s="30">
        <f>COUNTIF('Vertiport number (area size)'!D2:D44,"Intercity")</f>
        <v>15</v>
      </c>
    </row>
    <row r="32" spans="1:7" x14ac:dyDescent="0.25">
      <c r="A32" s="30" t="s">
        <v>22</v>
      </c>
      <c r="B32" s="34">
        <f>AVERAGE('Time spent at vertiports'!H6,'Time spent at vertiports'!H11,'Time spent at vertiports'!H15,'Time spent at vertiports'!H30,'Time spent at vertiports'!H31,'Time spent at vertiports'!H39,'Time spent at vertiports'!H41,'Time spent at vertiports'!H44,'Time spent at vertiports'!H47,'Time spent at vertiports'!H51,'Time spent at vertiports'!H52,'Time spent at vertiports'!H68,'Time spent at vertiports'!H76,'Time spent at vertiports'!H77)</f>
        <v>11.071428571428571</v>
      </c>
      <c r="C32" s="34">
        <f>_xlfn.STDEV.P('Time spent at vertiports'!H6,'Time spent at vertiports'!H11,'Time spent at vertiports'!H15,'Time spent at vertiports'!H30,'Time spent at vertiports'!H31,'Time spent at vertiports'!H39,'Time spent at vertiports'!H41,'Time spent at vertiports'!H44,'Time spent at vertiports'!H47,'Time spent at vertiports'!H51,'Time spent at vertiports'!H52,'Time spent at vertiports'!H68,'Time spent at vertiports'!H76,'Time spent at vertiports'!H77)</f>
        <v>7.4996598562323928</v>
      </c>
      <c r="D32" s="34">
        <f t="shared" si="3"/>
        <v>0.67738863217582901</v>
      </c>
      <c r="E32" s="30">
        <f>MIN('Time spent at vertiports'!F6,'Time spent at vertiports'!F11,'Time spent at vertiports'!F15,'Time spent at vertiports'!F30,'Time spent at vertiports'!F31,'Time spent at vertiports'!F39,'Time spent at vertiports'!F41,'Time spent at vertiports'!F44,'Time spent at vertiports'!F47,'Time spent at vertiports'!F51,'Time spent at vertiports'!F52,'Time spent at vertiports'!F68,'Time spent at vertiports'!F76,'Time spent at vertiports'!F77)</f>
        <v>0</v>
      </c>
      <c r="F32" s="30">
        <f>MAX('Time spent at vertiports'!G6,'Time spent at vertiports'!G11,'Time spent at vertiports'!G15,'Time spent at vertiports'!G30,'Time spent at vertiports'!G31,'Time spent at vertiports'!G39,'Time spent at vertiports'!G41,'Time spent at vertiports'!G44,'Time spent at vertiports'!G47,'Time spent at vertiports'!G51,'Time spent at vertiports'!G52,'Time spent at vertiports'!G68,'Time spent at vertiports'!G76,'Time spent at vertiports'!G77)</f>
        <v>60</v>
      </c>
      <c r="G32" s="30">
        <f>COUNTA('Time spent at vertiports'!G6,'Time spent at vertiports'!G11,'Time spent at vertiports'!G15,'Time spent at vertiports'!G30,'Time spent at vertiports'!G31,'Time spent at vertiports'!G39,'Time spent at vertiports'!G41,'Time spent at vertiports'!G44,'Time spent at vertiports'!G47,'Time spent at vertiports'!G51,'Time spent at vertiports'!G52,'Time spent at vertiports'!G68,'Time spent at vertiports'!G76,'Time spent at vertiports'!G77)</f>
        <v>14</v>
      </c>
    </row>
    <row r="33" spans="1:7" x14ac:dyDescent="0.25">
      <c r="A33" s="30" t="s">
        <v>26</v>
      </c>
      <c r="B33" s="34">
        <f>AVERAGE(Speed!I11,Speed!I17,Speed!I36,Speed!I40,Speed!I43,Speed!I47,Speed!I49,Speed!I52,Speed!I56,Speed!I59,Speed!I63,Speed!I66,Speed!I70,Speed!I78,Speed!I82,Speed!I85,Speed!I88,Speed!I94,Speed!I95,Speed!I96)</f>
        <v>176.07499999999999</v>
      </c>
      <c r="C33" s="34">
        <f>_xlfn.STDEV.P(Speed!I11,Speed!I17,Speed!I36,Speed!I40,Speed!I43,Speed!I47,Speed!I49,Speed!I52,Speed!I56,Speed!I59,Speed!I63,Speed!I66,Speed!I70,Speed!I78,Speed!I82,Speed!I85,Speed!I88,Speed!I94,Speed!I95,Speed!I96)</f>
        <v>56.765807269869775</v>
      </c>
      <c r="D33" s="34">
        <f t="shared" si="3"/>
        <v>0.32239561135805639</v>
      </c>
      <c r="E33" s="30">
        <f>MIN(Speed!G11,Speed!G17,Speed!G36,Speed!G40,Speed!G43,Speed!G47,Speed!G49,Speed!G52,Speed!G56,Speed!G59,Speed!G63,Speed!G66,Speed!G70,Speed!G78,Speed!G82,Speed!G85,Speed!G88,Speed!G94,Speed!G95,Speed!G96)</f>
        <v>50</v>
      </c>
      <c r="F33" s="30">
        <f>MAX(Speed!H11,Speed!H17,Speed!H36,Speed!H40,Speed!H43,Speed!H47,Speed!H49,Speed!H52,Speed!H56,Speed!H59,Speed!H63,Speed!H66,Speed!H70,Speed!H78,Speed!H82,Speed!H85,Speed!H88,Speed!H94,Speed!H95,Speed!H96)</f>
        <v>400</v>
      </c>
      <c r="G33" s="30">
        <f>COUNTIF(Speed!E2:E96,"Intercity")</f>
        <v>20</v>
      </c>
    </row>
    <row r="34" spans="1:7" x14ac:dyDescent="0.25">
      <c r="A34" s="30" t="s">
        <v>28</v>
      </c>
      <c r="B34" s="34">
        <f>AVERAGE(Capacity!H4,Capacity!H19,Capacity!H22,Capacity!H26,Capacity!H30,Capacity!H35,Capacity!H38,Capacity!H40,Capacity!H45,Capacity!H52,Capacity!H55,Capacity!H58,Capacity!H67,Capacity!H68,Capacity!H69)</f>
        <v>3.0333333333333332</v>
      </c>
      <c r="C34" s="34">
        <f>_xlfn.STDEV.P(Capacity!H4,Capacity!H19,Capacity!H22,Capacity!H26,Capacity!H30,Capacity!H35,Capacity!H38,Capacity!H40,Capacity!H45,Capacity!H52,Capacity!H55,Capacity!H58,Capacity!H67,Capacity!H68,Capacity!H69)</f>
        <v>1.1614167593456231</v>
      </c>
      <c r="D34" s="34">
        <f t="shared" si="3"/>
        <v>0.3828846459381175</v>
      </c>
      <c r="E34" s="30">
        <f>MIN(Capacity!F4,Capacity!F19,Capacity!F22,Capacity!F26,Capacity!F30,Capacity!F35,Capacity!F38,Capacity!F40,Capacity!F45,Capacity!F52,Capacity!F55,Capacity!F58,Capacity!F67,Capacity!F68,Capacity!F69)</f>
        <v>1</v>
      </c>
      <c r="F34" s="30">
        <f>MAX(Capacity!G4,Capacity!G19,Capacity!G22,Capacity!G26,Capacity!G30,Capacity!G35,Capacity!G38,Capacity!G40,Capacity!G45,Capacity!G52,Capacity!G55,Capacity!G58,Capacity!G67,Capacity!G68,Capacity!G69)</f>
        <v>4</v>
      </c>
      <c r="G34" s="30">
        <f>COUNTIF(Capacity!D2:D69,"Intercity")</f>
        <v>15</v>
      </c>
    </row>
    <row r="35" spans="1:7" x14ac:dyDescent="0.25">
      <c r="A35" s="30" t="s">
        <v>30</v>
      </c>
      <c r="B35" s="34">
        <f>AVERAGE(Altitude!H9,Altitude!H16,Altitude!H19)</f>
        <v>666.66666666666663</v>
      </c>
      <c r="C35" s="34">
        <f>_xlfn.STDEV.P(Altitude!H9,Altitude!H16,Altitude!H19)</f>
        <v>94.28090415820634</v>
      </c>
      <c r="D35" s="34">
        <f t="shared" si="3"/>
        <v>0.14142135623730953</v>
      </c>
      <c r="E35" s="30">
        <f>MIN(Altitude!F9,Altitude!F16,Altitude!F19)</f>
        <v>600</v>
      </c>
      <c r="F35" s="30"/>
      <c r="G35" s="30">
        <f>COUNTIF(Altitude!D3:D24,"Intercity")</f>
        <v>3</v>
      </c>
    </row>
    <row r="36" spans="1:7" x14ac:dyDescent="0.25">
      <c r="A36" s="30" t="s">
        <v>32</v>
      </c>
      <c r="B36" s="34">
        <f>AVERAGE(Range!H3,Range!H10,Range!H13)</f>
        <v>170.33333333333334</v>
      </c>
      <c r="C36" s="34">
        <f>_xlfn.STDEV.P(Range!H3,Range!H10,Range!H13)</f>
        <v>22.365648262955006</v>
      </c>
      <c r="D36" s="34">
        <f t="shared" si="3"/>
        <v>0.1313051757120646</v>
      </c>
      <c r="E36" s="30">
        <f>MIN(Range!F3,Range!F10,Range!F13)</f>
        <v>80</v>
      </c>
      <c r="F36" s="30">
        <f>MAX(Range!G3,Altitude!G9,Altitude!G16,Altitude!G19)</f>
        <v>800</v>
      </c>
      <c r="G36" s="30">
        <f>COUNTIF(Range!D2:D22,"Intercity")</f>
        <v>3</v>
      </c>
    </row>
    <row r="37" spans="1:7" x14ac:dyDescent="0.25">
      <c r="A37" s="1"/>
      <c r="B37" s="11"/>
      <c r="C37" s="11"/>
      <c r="D37" s="11"/>
      <c r="E37" s="1"/>
      <c r="F37" s="1"/>
      <c r="G37" s="1"/>
    </row>
    <row r="38" spans="1:7" x14ac:dyDescent="0.25">
      <c r="A38" s="7" t="s">
        <v>48</v>
      </c>
      <c r="B38" s="34"/>
      <c r="C38" s="34"/>
      <c r="D38" s="34"/>
      <c r="E38" s="30"/>
      <c r="F38" s="30"/>
      <c r="G38" s="30"/>
    </row>
    <row r="39" spans="1:7" x14ac:dyDescent="0.25">
      <c r="A39" s="30" t="s">
        <v>9</v>
      </c>
      <c r="B39" s="34">
        <f>AVERAGE('Access time'!M5,'Access time'!M9,'Access time'!M13,'Access time'!M4,'Access time'!M21,'Access time'!M22,'Access time'!M31)</f>
        <v>11.785714285714286</v>
      </c>
      <c r="C39" s="34">
        <f>_xlfn.STDEV.P('Access time'!M5,'Access time'!M9,'Access time'!M13,'Access time'!M4,'Access time'!M21,'Access time'!M22,'Access time'!M31)</f>
        <v>4.948716593053935</v>
      </c>
      <c r="D39" s="34">
        <f t="shared" ref="D39:D48" si="4">C39/B39</f>
        <v>0.41989110486518233</v>
      </c>
      <c r="E39" s="30">
        <f>MIN('Access time'!K5,'Access time'!K9,'Access time'!K13,'Access time'!K4,'Access time'!K21,'Access time'!K22,'Access time'!K31)</f>
        <v>0</v>
      </c>
      <c r="F39" s="30">
        <f>MAX('Access time'!L5,'Access time'!L9,'Access time'!L13,'Access time'!L4,'Access time'!L21,'Access time'!L22,'Access time'!L31)</f>
        <v>25</v>
      </c>
      <c r="G39" s="30">
        <f>COUNTA('Access time'!M5,'Access time'!M9,'Access time'!M13,'Access time'!M4,'Access time'!M21,'Access time'!M22,'Access time'!M31)</f>
        <v>7</v>
      </c>
    </row>
    <row r="40" spans="1:7" x14ac:dyDescent="0.25">
      <c r="A40" s="30" t="s">
        <v>11</v>
      </c>
      <c r="B40" s="34">
        <f>AVERAGE(Cost!M2,Cost!M8,Cost!M10,Cost!M11,Cost!M13,Cost!M17,Cost!M18,Cost!M12,Cost!M25,Cost!M26,Cost!M27,Cost!M28,Cost!M29,Cost!M30,Cost!M23,Cost!M24,Cost!M37,Cost!M43,Cost!M44,Cost!M45,Cost!M46,Cost!M47,Cost!M51,Cost!M53,Cost!M62,Cost!M63,Cost!M64,Cost!M73,Cost!M76,Cost!M79,Cost!M87,Cost!M86,Cost!M95,Cost!M99,Cost!M102,Cost!M115,Cost!M117)</f>
        <v>3.2359609655468891</v>
      </c>
      <c r="C40" s="34">
        <f>_xlfn.STDEV.P(Cost!M2,Cost!M8,Cost!M10,Cost!M11,Cost!M13,Cost!M17,Cost!M18,Cost!M12,Cost!M25,Cost!M26,Cost!M27,Cost!M28,Cost!M29,Cost!M30,Cost!M23,Cost!M24,Cost!M37,Cost!M43,Cost!M44,Cost!M45,Cost!M46,Cost!M47,Cost!M51,Cost!M53,Cost!M62,Cost!M63,Cost!M64,Cost!M73,Cost!M76,Cost!M79,Cost!M87,Cost!M86,Cost!M95,Cost!M99,Cost!M102,Cost!M115,Cost!M117)</f>
        <v>2.1849746473451699</v>
      </c>
      <c r="D40" s="34">
        <f t="shared" si="4"/>
        <v>0.67521662671722038</v>
      </c>
      <c r="E40" s="30">
        <f>MIN(Cost!K2,Cost!K8,Cost!K10,Cost!K11,Cost!K13,Cost!K17,Cost!K18,Cost!K23,Cost!K24,Cost!K12,Cost!K25,Cost!K26,Cost!K27,Cost!K28,Cost!K29,Cost!K30,Cost!K37,Cost!K43,Cost!K44,Cost!K45,Cost!K46,Cost!K47,Cost!K51,Cost!K53,Cost!K62,Cost!K63,Cost!K64,Cost!K73,Cost!K76,Cost!K79,Cost!K86,Cost!K87,Cost!K95,Cost!K99,Cost!K102,Cost!K115,Cost!K117)</f>
        <v>3.0770941614208935E-4</v>
      </c>
      <c r="F40" s="30">
        <f>MAX(Cost!L2,Cost!L8,Cost!K10,Cost!L11,Cost!L13,Cost!L17,Cost!L18,Cost!L23,Cost!L24,Cost!L12,Cost!L25,Cost!L26,Cost!L27,Cost!L28,Cost!L29,Cost!L30,Cost!L37,Cost!L43,Cost!L44,Cost!L45,Cost!L46,Cost!L47,Cost!L51,Cost!L53,Cost!L62,Cost!L63,Cost!L64,Cost!L73,Cost!L76,Cost!L79,Cost!L86,Cost!L87,Cost!L95,Cost!L99,Cost!L102,Cost!L115,Cost!L117)</f>
        <v>11.184143542598388</v>
      </c>
      <c r="G40" s="30">
        <f>COUNTA(Cost!M2,Cost!M8,Cost!M10,Cost!M11,Cost!M13,Cost!M17,Cost!M18,Cost!M12,Cost!M25,Cost!M26,Cost!M27,Cost!M28,Cost!M29,Cost!M30,Cost!M23,Cost!M24,Cost!M37,Cost!M43,Cost!M44,Cost!M45,Cost!M46,Cost!M47,Cost!M51,Cost!M53,Cost!M62,Cost!M63,Cost!M64,Cost!M73,Cost!M76,Cost!M79,Cost!M87,Cost!M86,Cost!M95,Cost!M99,Cost!M102,Cost!M115,Cost!M117)</f>
        <v>37</v>
      </c>
    </row>
    <row r="41" spans="1:7" x14ac:dyDescent="0.25">
      <c r="A41" s="30" t="s">
        <v>16</v>
      </c>
      <c r="B41" s="34">
        <f>AVERAGE('Vertiport number'!H4,'Vertiport number'!H5,'Vertiport number'!H6,'Vertiport number'!H7,'Vertiport number'!H16,'Vertiport number'!H19,'Vertiport number'!H26,'Vertiport number'!H33,'Vertiport number'!H34,'Vertiport number'!H41,'Vertiport number'!H44,'Vertiport number'!H47)</f>
        <v>36.708333333333336</v>
      </c>
      <c r="C41" s="34">
        <f>_xlfn.STDEV.P('Vertiport number'!H4,'Vertiport number'!H5,'Vertiport number'!H6,'Vertiport number'!H7,'Vertiport number'!H16,'Vertiport number'!H19,'Vertiport number'!H26,'Vertiport number'!H33,'Vertiport number'!H34,'Vertiport number'!H41,'Vertiport number'!H44,'Vertiport number'!H47)</f>
        <v>30.130589615132916</v>
      </c>
      <c r="D41" s="34">
        <f t="shared" si="4"/>
        <v>0.82081061380611797</v>
      </c>
      <c r="E41" s="30">
        <f>MIN('Vertiport number'!F4,'Vertiport number'!F5,'Vertiport number'!F6,'Vertiport number'!F7,'Vertiport number'!F16,'Vertiport number'!F19,'Vertiport number'!F26,'Vertiport number'!F33,'Vertiport number'!F34,'Vertiport number'!F41,'Vertiport number'!F44,'Vertiport number'!F47)</f>
        <v>4</v>
      </c>
      <c r="F41" s="30">
        <f>MAX('Vertiport number'!G4,'Vertiport number'!G5,'Vertiport number'!G6,'Vertiport number'!G7,'Vertiport number'!G16,'Vertiport number'!G19,'Vertiport number'!G26,'Vertiport number'!G33,'Vertiport number'!G34,'Vertiport number'!G41,'Vertiport number'!G44,'Vertiport number'!G47)</f>
        <v>130</v>
      </c>
      <c r="G41" s="30">
        <f>COUNTIF('Vertiport number'!D2:D52,"Airport shuttle")</f>
        <v>12</v>
      </c>
    </row>
    <row r="42" spans="1:7" x14ac:dyDescent="0.25">
      <c r="A42" s="30" t="s">
        <v>45</v>
      </c>
      <c r="B42" s="34">
        <f>AVERAGE('Vertiport number (population si'!J4,'Vertiport number (population si'!J5,'Vertiport number (population si'!J6,'Vertiport number (population si'!J7,'Vertiport number (population si'!J16,'Vertiport number (population si'!J19,'Vertiport number (population si'!J26,'Vertiport number (population si'!J33,'Vertiport number (population si'!J34,'Vertiport number (population si'!J41,'Vertiport number (population si'!J44,'Vertiport number (population si'!J47)</f>
        <v>6.355716666666666</v>
      </c>
      <c r="C42" s="34">
        <f>_xlfn.STDEV.P('Vertiport number (population si'!J4,'Vertiport number (population si'!J5,'Vertiport number (population si'!J6,'Vertiport number (population si'!J7,'Vertiport number (population si'!J16,'Vertiport number (population si'!J19,'Vertiport number (population si'!J26,'Vertiport number (population si'!J33,'Vertiport number (population si'!J34,'Vertiport number (population si'!J41,'Vertiport number (population si'!J44,'Vertiport number (population si'!J47)</f>
        <v>7.2447412551085808</v>
      </c>
      <c r="D42" s="34">
        <f t="shared" si="4"/>
        <v>1.1398779453314074</v>
      </c>
      <c r="E42" s="30">
        <f>MIN('Vertiport number (population si'!H4,'Vertiport number (population si'!H5,'Vertiport number (population si'!H6,'Vertiport number (population si'!H7,'Vertiport number (population si'!H16,'Vertiport number (population si'!H19,'Vertiport number (population si'!H26,'Vertiport number (population si'!H33,'Vertiport number (population si'!H34,'Vertiport number (population si'!H41,'Vertiport number (population si'!H44,'Vertiport number (population si'!H47)</f>
        <v>0.34560000000000002</v>
      </c>
      <c r="F42" s="30">
        <f>MAX('Vertiport number (population si'!I4,'Vertiport number (population si'!I5,'Vertiport number (population si'!I6,'Vertiport number (population si'!I7,'Vertiport number (population si'!I16,'Vertiport number (population si'!I19,'Vertiport number (population si'!I26,'Vertiport number (population si'!I33,'Vertiport number (population si'!I34,'Vertiport number (population si'!I41,'Vertiport number (population si'!I44,'Vertiport number (population si'!I47)</f>
        <v>28.8889</v>
      </c>
      <c r="G42" s="30">
        <f>COUNTIF('Vertiport number (population si'!D2:D52,"Airport shuttle")</f>
        <v>12</v>
      </c>
    </row>
    <row r="43" spans="1:7" x14ac:dyDescent="0.25">
      <c r="A43" s="30" t="s">
        <v>20</v>
      </c>
      <c r="B43" s="34">
        <f>AVERAGE('Vertiport number (area size)'!J4,'Vertiport number (area size)'!J5,'Vertiport number (area size)'!J6,'Vertiport number (area size)'!J7,'Vertiport number (area size)'!J9,'Vertiport number (area size)'!J12,'Vertiport number (area size)'!J15,'Vertiport number (area size)'!J24,'Vertiport number (area size)'!J25,'Vertiport number (area size)'!J32,'Vertiport number (area size)'!J36,'Vertiport number (area size)'!J39)*1000</f>
        <v>17.758333333333329</v>
      </c>
      <c r="C43" s="34">
        <f>_xlfn.STDEV.P('Vertiport number (area size)'!J4,'Vertiport number (area size)'!J5,'Vertiport number (area size)'!J6,'Vertiport number (area size)'!J7,'Vertiport number (area size)'!J9,'Vertiport number (area size)'!J12,'Vertiport number (area size)'!J15,'Vertiport number (area size)'!J24,'Vertiport number (area size)'!J25,'Vertiport number (area size)'!J32,'Vertiport number (area size)'!J36,'Vertiport number (area size)'!J39)*1000</f>
        <v>26.90085061645615</v>
      </c>
      <c r="D43" s="34">
        <f t="shared" si="4"/>
        <v>1.5148296921514495</v>
      </c>
      <c r="E43" s="33">
        <f>MIN('Vertiport number (area size)'!H4,'Vertiport number (area size)'!H5,'Vertiport number (area size)'!H6,'Vertiport number (area size)'!H7,'Vertiport number (area size)'!H9,'Vertiport number (area size)'!H12,'Vertiport number (area size)'!H15,'Vertiport number (area size)'!H24,'Vertiport number (area size)'!H25,'Vertiport number (area size)'!H32,'Vertiport number (area size)'!H36,'Vertiport number (area size)'!H39)</f>
        <v>2.0000000000000001E-4</v>
      </c>
      <c r="F43" s="33">
        <f>MAX('Vertiport number (area size)'!I4,'Vertiport number (area size)'!I5,'Vertiport number (area size)'!I6,'Vertiport number (area size)'!I7,'Vertiport number (area size)'!I9,'Vertiport number (area size)'!I12,'Vertiport number (area size)'!I15,'Vertiport number (area size)'!I24,'Vertiport number (area size)'!I25,'Vertiport number (area size)'!I32,'Vertiport number (area size)'!I36,'Vertiport number (area size)'!I39)</f>
        <v>8.5900000000000004E-2</v>
      </c>
      <c r="G43" s="30">
        <f>COUNTIF('Vertiport number (area size)'!D2:D44,"Airport shuttle")</f>
        <v>12</v>
      </c>
    </row>
    <row r="44" spans="1:7" x14ac:dyDescent="0.25">
      <c r="A44" s="30" t="s">
        <v>22</v>
      </c>
      <c r="B44" s="34">
        <f>AVERAGE('Time spent at vertiports'!H5,'Time spent at vertiports'!H9,'Time spent at vertiports'!H10,'Time spent at vertiports'!H16,'Time spent at vertiports'!H18,'Time spent at vertiports'!H19,'Time spent at vertiports'!H28,'Time spent at vertiports'!H32,'Time spent at vertiports'!H33,'Time spent at vertiports'!H42,'Time spent at vertiports'!H45,'Time spent at vertiports'!H49,'Time spent at vertiports'!H53,'Time spent at vertiports'!H54,'Time spent at vertiports'!H58,'Time spent at vertiports'!H69,'Time spent at vertiports'!H72,'Time spent at vertiports'!H74)</f>
        <v>8.3611111111111107</v>
      </c>
      <c r="C44" s="34">
        <f>_xlfn.STDEV.P('Time spent at vertiports'!H5,'Time spent at vertiports'!H9,'Time spent at vertiports'!H10,'Time spent at vertiports'!H16,'Time spent at vertiports'!H18,'Time spent at vertiports'!H19,'Time spent at vertiports'!H28,'Time spent at vertiports'!H32,'Time spent at vertiports'!H33,'Time spent at vertiports'!H42,'Time spent at vertiports'!H45,'Time spent at vertiports'!H49,'Time spent at vertiports'!H53,'Time spent at vertiports'!H54,'Time spent at vertiports'!H58,'Time spent at vertiports'!H69,'Time spent at vertiports'!H72,'Time spent at vertiports'!H74)</f>
        <v>2.0330980434600265</v>
      </c>
      <c r="D44" s="34">
        <f t="shared" si="4"/>
        <v>0.24316122778923907</v>
      </c>
      <c r="E44" s="30">
        <f>MIN('Time spent at vertiports'!F5,'Time spent at vertiports'!F9,'Time spent at vertiports'!F10,'Time spent at vertiports'!F16,'Time spent at vertiports'!F18,'Time spent at vertiports'!F19,'Time spent at vertiports'!F28,'Time spent at vertiports'!F32,'Time spent at vertiports'!F33,'Time spent at vertiports'!F42,'Time spent at vertiports'!F45,'Time spent at vertiports'!F49,'Time spent at vertiports'!F53,'Time spent at vertiports'!F54,'Time spent at vertiports'!F58,'Time spent at vertiports'!F69,'Time spent at vertiports'!F72,'Time spent at vertiports'!F74)</f>
        <v>0</v>
      </c>
      <c r="F44" s="30">
        <f>MAX('Time spent at vertiports'!G5,'Time spent at vertiports'!G9,'Time spent at vertiports'!G10,'Time spent at vertiports'!G16,'Time spent at vertiports'!G18,'Time spent at vertiports'!G19,'Time spent at vertiports'!G28,'Time spent at vertiports'!G32,'Time spent at vertiports'!G33,'Time spent at vertiports'!G42,'Time spent at vertiports'!G45,'Time spent at vertiports'!G49,'Time spent at vertiports'!G53,'Time spent at vertiports'!G54,'Time spent at vertiports'!G58,'Time spent at vertiports'!G69,'Time spent at vertiports'!G72,'Time spent at vertiports'!G74)</f>
        <v>15</v>
      </c>
      <c r="G44" s="30">
        <f>COUNTA('Time spent at vertiports'!H5,'Time spent at vertiports'!H9,'Time spent at vertiports'!H10,'Time spent at vertiports'!H16,'Time spent at vertiports'!H18,'Time spent at vertiports'!H19,'Time spent at vertiports'!H28,'Time spent at vertiports'!H32,'Time spent at vertiports'!H33,'Time spent at vertiports'!H42,'Time spent at vertiports'!H45,'Time spent at vertiports'!H49,'Time spent at vertiports'!H53,'Time spent at vertiports'!H54,'Time spent at vertiports'!H58,'Time spent at vertiports'!H69,'Time spent at vertiports'!H72,'Time spent at vertiports'!H74)</f>
        <v>18</v>
      </c>
    </row>
    <row r="45" spans="1:7" x14ac:dyDescent="0.25">
      <c r="A45" s="30" t="s">
        <v>26</v>
      </c>
      <c r="B45" s="34">
        <f>AVERAGE(Speed!I2,Speed!I3,Speed!I7,Speed!I9,Speed!I12,Speed!I13,Speed!I18,Speed!I21,Speed!I22,Speed!I23,Speed!I25,Speed!I26,Speed!I27,Speed!I8,Speed!I34,Speed!I38,Speed!I41,Speed!I44,Speed!I50,Speed!I57,Speed!I60,Speed!I68,Speed!I69,Speed!I71,Speed!I75,Speed!I79,Speed!I83,Speed!I86,Speed!I91)</f>
        <v>166.88000000000002</v>
      </c>
      <c r="C45" s="34">
        <f>_xlfn.STDEV.P(Speed!I2,Speed!I3,Speed!I7,Speed!I9,Speed!I12,Speed!I13,Speed!I18,Speed!I21,Speed!I22,Speed!I23,Speed!I25,Speed!I26,Speed!I27,Speed!I8,Speed!I34,Speed!I38,Speed!I41,Speed!I44,Speed!I50,Speed!I57,Speed!I60,Speed!I68,Speed!I69,Speed!I71,Speed!I75,Speed!I79,Speed!I83,Speed!I86,Speed!I91)</f>
        <v>51.63344038040885</v>
      </c>
      <c r="D45" s="34">
        <f t="shared" si="4"/>
        <v>0.30940460438883532</v>
      </c>
      <c r="E45" s="30">
        <f>MIN(Speed!G2,Speed!G3,Speed!G7,Speed!G9,Speed!G12,Speed!G13,Speed!G18,Speed!G21,Speed!G22,Speed!G23,Speed!G25,Speed!G26,Speed!G27,Speed!G8,Speed!G34,Speed!G38,Speed!G41,Speed!G44,Speed!G50,Speed!G57,Speed!G60,Speed!G68,Speed!G69,Speed!G71,Speed!G75,Speed!G79,Speed!G83,Speed!G86,Speed!G91)</f>
        <v>50</v>
      </c>
      <c r="F45" s="30">
        <f>MAX(Speed!H2,Speed!H3,Speed!H7,Speed!H9,Speed!H12,Speed!H13,Speed!H18,Speed!H21,Speed!H22,Speed!H23,Speed!H25,Speed!H26,Speed!H27,Speed!H8,Speed!H34,Speed!H38,Speed!H41,Speed!H44,Speed!H50,Speed!H57,Speed!H60,Speed!H68,Speed!H69,Speed!H71,Speed!H75,Speed!H79,Speed!H83,Speed!H86,Speed!H91)</f>
        <v>350</v>
      </c>
      <c r="G45" s="30">
        <f>COUNTIF(Speed!E2:E96,"Airport shuttle")</f>
        <v>28</v>
      </c>
    </row>
    <row r="46" spans="1:7" x14ac:dyDescent="0.25">
      <c r="A46" s="30" t="s">
        <v>28</v>
      </c>
      <c r="B46" s="34">
        <f>AVERAGE(Capacity!H5,Capacity!H2,Capacity!H17,Capacity!H23,Capacity!H27,Capacity!H36,Capacity!H39,Capacity!H42,Capacity!H46,Capacity!H47,Capacity!H49,Capacity!H53,Capacity!H56,Capacity!H62,Capacity!H65)</f>
        <v>3.1666666666666665</v>
      </c>
      <c r="C46" s="34">
        <f>_xlfn.STDEV.P(Capacity!H5,Capacity!H2,Capacity!H17,Capacity!H23,Capacity!H27,Capacity!H36,Capacity!H39,Capacity!H42,Capacity!H46,Capacity!H47,Capacity!H49,Capacity!H53,Capacity!H56,Capacity!H62,Capacity!H65)</f>
        <v>0.92496246170077379</v>
      </c>
      <c r="D46" s="34">
        <f t="shared" si="4"/>
        <v>0.29209340895813912</v>
      </c>
      <c r="E46" s="30">
        <f>MIN(Capacity!F5,Capacity!F2,Capacity!F17,Capacity!F23,Capacity!F27,Capacity!F36,Capacity!F39,Capacity!F42,Capacity!F46,Capacity!F47,Capacity!F49,Capacity!F53,Capacity!F56,Capacity!F62,Capacity!F65)</f>
        <v>1</v>
      </c>
      <c r="F46" s="30">
        <f>MAX(Capacity!F5,Capacity!F2,Capacity!G17,Capacity!G23,Capacity!G27,Capacity!G36,Capacity!G39,Capacity!G42,Capacity!G46,Capacity!G47,Capacity!G49,Capacity!G53,Capacity!G56,Capacity!G62,Capacity!G65)</f>
        <v>5</v>
      </c>
      <c r="G46" s="30">
        <f>COUNTIF(Capacity!D5:D69,"Airport shuttle")</f>
        <v>14</v>
      </c>
    </row>
    <row r="47" spans="1:7" x14ac:dyDescent="0.25">
      <c r="A47" s="30" t="s">
        <v>30</v>
      </c>
      <c r="B47" s="34">
        <f>AVERAGE(Altitude!H14,Altitude!H17,Altitude!H20,Altitude!H23)</f>
        <v>769</v>
      </c>
      <c r="C47" s="34">
        <f>_xlfn.STDEV.P(Altitude!H17,Altitude!H20,Altitude!H14,Altitude!H23)</f>
        <v>98.797773254259127</v>
      </c>
      <c r="D47" s="34">
        <f t="shared" si="4"/>
        <v>0.12847564792491434</v>
      </c>
      <c r="E47" s="30">
        <f>MIN(Altitude!F14,Altitude!F17,Altitude!F20,Altitude!F23)</f>
        <v>152</v>
      </c>
      <c r="F47" s="30">
        <f>MAX(Altitude!G14,Altitude!G17,Altitude!G20,Altitude!G23)</f>
        <v>1524</v>
      </c>
      <c r="G47" s="30">
        <f>COUNTIF(Altitude!D3:D24,"Airport shuttle")</f>
        <v>4</v>
      </c>
    </row>
    <row r="48" spans="1:7" x14ac:dyDescent="0.25">
      <c r="A48" s="30" t="s">
        <v>32</v>
      </c>
      <c r="B48" s="34">
        <f>AVERAGE(Range!H4,Range!H5,Range!H6,Range!H8,Range!H11,Range!H20,Range!H21)</f>
        <v>194.28571428571428</v>
      </c>
      <c r="C48" s="34">
        <f>_xlfn.STDEV.P(Range!H4,Range!H5,Range!H6,Range!H8,Range!H11,Range!H20,Range!H21)</f>
        <v>106.33735304708888</v>
      </c>
      <c r="D48" s="34">
        <f t="shared" si="4"/>
        <v>0.547324611271781</v>
      </c>
      <c r="E48" s="30">
        <f>MIN(Range!F4,Range!F5,Range!F6,Range!F8,Range!F11,Range!F20,Range!F21)</f>
        <v>80</v>
      </c>
      <c r="F48" s="30">
        <f>MAX(Range!G4,Range!G5,Range!G6,Range!G8,Range!G11,Range!G20,Range!G21)</f>
        <v>402</v>
      </c>
      <c r="G48" s="30">
        <f>COUNTIF(Range!D4:D22,"Airport shuttle")</f>
        <v>7</v>
      </c>
    </row>
    <row r="49" spans="1:7" x14ac:dyDescent="0.25">
      <c r="A49" s="1"/>
      <c r="B49" s="1"/>
      <c r="C49" s="1"/>
      <c r="D49" s="1"/>
      <c r="E49" s="1"/>
      <c r="F49" s="1"/>
      <c r="G49" s="1"/>
    </row>
    <row r="50" spans="1:7" x14ac:dyDescent="0.25">
      <c r="A50" s="1"/>
      <c r="B50" s="1"/>
      <c r="C50" s="1"/>
      <c r="D50" s="1"/>
      <c r="E50" s="1"/>
      <c r="F50" s="1"/>
      <c r="G50" s="1"/>
    </row>
    <row r="51" spans="1:7" x14ac:dyDescent="0.25">
      <c r="A51" s="1"/>
      <c r="B51" s="1"/>
      <c r="C51" s="1"/>
      <c r="D51" s="1"/>
      <c r="E51" s="1"/>
      <c r="F51" s="1"/>
      <c r="G51" s="1"/>
    </row>
    <row r="52" spans="1:7" x14ac:dyDescent="0.25">
      <c r="A52" s="1"/>
      <c r="B52" s="1"/>
      <c r="C52" s="1"/>
      <c r="D52" s="1"/>
      <c r="E52" s="1"/>
      <c r="F52" s="1"/>
      <c r="G52" s="1"/>
    </row>
    <row r="53" spans="1:7" x14ac:dyDescent="0.25">
      <c r="A53" s="1"/>
      <c r="B53" s="1"/>
      <c r="C53" s="1"/>
      <c r="D53" s="1"/>
      <c r="E53" s="1"/>
      <c r="F53" s="1"/>
      <c r="G53" s="1"/>
    </row>
    <row r="54" spans="1:7" x14ac:dyDescent="0.25">
      <c r="A54" s="1"/>
      <c r="B54" s="1"/>
      <c r="C54" s="1"/>
      <c r="D54" s="1"/>
      <c r="E54" s="1"/>
      <c r="F54" s="1"/>
      <c r="G54" s="1"/>
    </row>
    <row r="55" spans="1:7" x14ac:dyDescent="0.25">
      <c r="A55" s="1"/>
      <c r="B55" s="1"/>
      <c r="C55" s="1"/>
      <c r="D55" s="1"/>
      <c r="E55" s="1"/>
      <c r="F55" s="1"/>
      <c r="G55" s="1"/>
    </row>
    <row r="56" spans="1:7" x14ac:dyDescent="0.25">
      <c r="A56" s="1"/>
      <c r="B56" s="1"/>
      <c r="C56" s="1"/>
      <c r="D56" s="1"/>
      <c r="E56" s="1"/>
      <c r="F56" s="1"/>
      <c r="G56" s="1"/>
    </row>
    <row r="57" spans="1:7" x14ac:dyDescent="0.25">
      <c r="A57" s="1"/>
      <c r="B57" s="1"/>
      <c r="C57" s="1"/>
      <c r="D57" s="1"/>
      <c r="E57" s="1"/>
      <c r="F57" s="1"/>
      <c r="G57" s="1"/>
    </row>
    <row r="58" spans="1:7" x14ac:dyDescent="0.25">
      <c r="A58" s="1"/>
      <c r="B58" s="1"/>
      <c r="C58" s="1"/>
      <c r="D58" s="1"/>
      <c r="E58" s="1"/>
      <c r="F58" s="1"/>
      <c r="G58" s="1"/>
    </row>
    <row r="59" spans="1:7" x14ac:dyDescent="0.25">
      <c r="A59" s="1"/>
      <c r="B59" s="1"/>
      <c r="C59" s="1"/>
      <c r="D59" s="1"/>
      <c r="E59" s="1"/>
      <c r="F59" s="1"/>
      <c r="G59" s="1"/>
    </row>
    <row r="60" spans="1:7" x14ac:dyDescent="0.25">
      <c r="A60" s="1"/>
      <c r="B60" s="1"/>
      <c r="C60" s="1"/>
      <c r="D60" s="1"/>
      <c r="E60" s="1"/>
      <c r="F60" s="1"/>
      <c r="G60" s="1"/>
    </row>
  </sheetData>
  <phoneticPr fontId="1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59"/>
  <sheetViews>
    <sheetView workbookViewId="0">
      <pane ySplit="1" topLeftCell="A20" activePane="bottomLeft" state="frozen"/>
      <selection pane="bottomLeft"/>
    </sheetView>
  </sheetViews>
  <sheetFormatPr defaultRowHeight="15" x14ac:dyDescent="0.25"/>
  <cols>
    <col min="1" max="2" width="28" customWidth="1"/>
  </cols>
  <sheetData>
    <row r="1" spans="1:2" x14ac:dyDescent="0.25">
      <c r="A1" s="22" t="s">
        <v>49</v>
      </c>
      <c r="B1" s="23" t="s">
        <v>50</v>
      </c>
    </row>
    <row r="2" spans="1:2" x14ac:dyDescent="0.25">
      <c r="A2" s="24">
        <f>'Access time'!M2</f>
        <v>12.5</v>
      </c>
      <c r="B2" s="24">
        <f>'Time spent at vertiports'!H2</f>
        <v>5</v>
      </c>
    </row>
    <row r="3" spans="1:2" x14ac:dyDescent="0.25">
      <c r="A3" s="24">
        <f>'Access time'!M3</f>
        <v>21</v>
      </c>
      <c r="B3" s="24">
        <f>'Time spent at vertiports'!H3</f>
        <v>0</v>
      </c>
    </row>
    <row r="4" spans="1:2" x14ac:dyDescent="0.25">
      <c r="A4" s="24">
        <f>'Access time'!M4</f>
        <v>5</v>
      </c>
      <c r="B4" s="24">
        <f>'Time spent at vertiports'!H4</f>
        <v>10</v>
      </c>
    </row>
    <row r="5" spans="1:2" x14ac:dyDescent="0.25">
      <c r="A5" s="24">
        <f>'Access time'!M5</f>
        <v>20</v>
      </c>
      <c r="B5" s="24">
        <f>'Time spent at vertiports'!H5</f>
        <v>10</v>
      </c>
    </row>
    <row r="6" spans="1:2" x14ac:dyDescent="0.25">
      <c r="A6" s="24">
        <f>'Access time'!M6</f>
        <v>10</v>
      </c>
      <c r="B6" s="24">
        <f>'Time spent at vertiports'!H6</f>
        <v>10</v>
      </c>
    </row>
    <row r="7" spans="1:2" x14ac:dyDescent="0.25">
      <c r="A7" s="24">
        <f>'Access time'!M7</f>
        <v>15</v>
      </c>
      <c r="B7" s="24">
        <f>'Time spent at vertiports'!H7</f>
        <v>10</v>
      </c>
    </row>
    <row r="8" spans="1:2" x14ac:dyDescent="0.25">
      <c r="A8" s="24">
        <f>'Access time'!M9</f>
        <v>5</v>
      </c>
      <c r="B8" s="24">
        <f>'Time spent at vertiports'!H9</f>
        <v>5</v>
      </c>
    </row>
    <row r="9" spans="1:2" x14ac:dyDescent="0.25">
      <c r="A9" s="24">
        <f>'Access time'!M10</f>
        <v>30</v>
      </c>
      <c r="B9" s="24">
        <f>'Time spent at vertiports'!H10</f>
        <v>10</v>
      </c>
    </row>
    <row r="10" spans="1:2" x14ac:dyDescent="0.25">
      <c r="A10" s="24">
        <f>'Access time'!M11</f>
        <v>12.5</v>
      </c>
      <c r="B10" s="24">
        <f>'Time spent at vertiports'!H11</f>
        <v>15</v>
      </c>
    </row>
    <row r="11" spans="1:2" x14ac:dyDescent="0.25">
      <c r="A11" s="24">
        <f>'Access time'!M12</f>
        <v>12.5</v>
      </c>
      <c r="B11" s="24">
        <f>'Time spent at vertiports'!H12</f>
        <v>5</v>
      </c>
    </row>
    <row r="12" spans="1:2" x14ac:dyDescent="0.25">
      <c r="A12" s="24">
        <f>'Access time'!M13</f>
        <v>12.5</v>
      </c>
      <c r="B12" s="24">
        <f>'Time spent at vertiports'!H13</f>
        <v>6</v>
      </c>
    </row>
    <row r="13" spans="1:2" x14ac:dyDescent="0.25">
      <c r="A13" s="24">
        <f>'Access time'!M18</f>
        <v>20</v>
      </c>
      <c r="B13" s="24">
        <f>'Time spent at vertiports'!H14</f>
        <v>10</v>
      </c>
    </row>
    <row r="14" spans="1:2" x14ac:dyDescent="0.25">
      <c r="A14" s="24">
        <f>'Access time'!M19</f>
        <v>15</v>
      </c>
      <c r="B14" s="24">
        <f>'Time spent at vertiports'!H15</f>
        <v>10</v>
      </c>
    </row>
    <row r="15" spans="1:2" x14ac:dyDescent="0.25">
      <c r="A15" s="24">
        <f>'Access time'!M20</f>
        <v>12.5</v>
      </c>
      <c r="B15" s="24">
        <f>'Time spent at vertiports'!H16</f>
        <v>10</v>
      </c>
    </row>
    <row r="16" spans="1:2" x14ac:dyDescent="0.25">
      <c r="A16" s="24">
        <f>'Access time'!M21</f>
        <v>12.5</v>
      </c>
      <c r="B16" s="24">
        <f>'Time spent at vertiports'!H17</f>
        <v>4</v>
      </c>
    </row>
    <row r="17" spans="1:2" x14ac:dyDescent="0.25">
      <c r="A17" s="24">
        <f>'Access time'!M22</f>
        <v>12.5</v>
      </c>
      <c r="B17" s="24">
        <f>'Time spent at vertiports'!H18</f>
        <v>10</v>
      </c>
    </row>
    <row r="18" spans="1:2" x14ac:dyDescent="0.25">
      <c r="A18" s="24">
        <f>'Access time'!M23</f>
        <v>30</v>
      </c>
      <c r="B18" s="24">
        <f>'Time spent at vertiports'!H19</f>
        <v>10</v>
      </c>
    </row>
    <row r="19" spans="1:2" x14ac:dyDescent="0.25">
      <c r="A19" s="24">
        <f>'Access time'!M26</f>
        <v>18</v>
      </c>
      <c r="B19" s="24">
        <f>'Time spent at vertiports'!H26</f>
        <v>3</v>
      </c>
    </row>
    <row r="20" spans="1:2" x14ac:dyDescent="0.25">
      <c r="A20" s="24">
        <f>'Access time'!M27</f>
        <v>28</v>
      </c>
      <c r="B20" s="24">
        <f>'Time spent at vertiports'!H27</f>
        <v>7.5</v>
      </c>
    </row>
    <row r="21" spans="1:2" x14ac:dyDescent="0.25">
      <c r="A21" s="24">
        <f>'Access time'!M28</f>
        <v>28</v>
      </c>
      <c r="B21" s="24">
        <f>'Time spent at vertiports'!H28</f>
        <v>7.5</v>
      </c>
    </row>
    <row r="22" spans="1:2" x14ac:dyDescent="0.25">
      <c r="A22" s="24">
        <f>'Access time'!M29</f>
        <v>20</v>
      </c>
      <c r="B22" s="24">
        <f>'Time spent at vertiports'!H29</f>
        <v>2.5</v>
      </c>
    </row>
    <row r="23" spans="1:2" x14ac:dyDescent="0.25">
      <c r="A23" s="24">
        <f>'Access time'!M30</f>
        <v>15</v>
      </c>
      <c r="B23" s="24">
        <f>'Time spent at vertiports'!H30</f>
        <v>2.5</v>
      </c>
    </row>
    <row r="24" spans="1:2" x14ac:dyDescent="0.25">
      <c r="A24" s="24">
        <f>'Access time'!M31</f>
        <v>15</v>
      </c>
      <c r="B24" s="24">
        <f>'Time spent at vertiports'!H31</f>
        <v>10</v>
      </c>
    </row>
    <row r="25" spans="1:2" x14ac:dyDescent="0.25">
      <c r="A25" s="24">
        <f>'Access time'!M32</f>
        <v>34.200000000000003</v>
      </c>
      <c r="B25" s="24">
        <f>'Time spent at vertiports'!H32</f>
        <v>10</v>
      </c>
    </row>
    <row r="26" spans="1:2" x14ac:dyDescent="0.25">
      <c r="A26" s="24">
        <f>'Access time'!M33</f>
        <v>7.5</v>
      </c>
      <c r="B26" s="24">
        <f>'Time spent at vertiports'!H33</f>
        <v>10</v>
      </c>
    </row>
    <row r="27" spans="1:2" x14ac:dyDescent="0.25">
      <c r="A27" s="24">
        <f>'Access time'!M41</f>
        <v>12</v>
      </c>
      <c r="B27" s="24">
        <f>'Time spent at vertiports'!H34</f>
        <v>1</v>
      </c>
    </row>
    <row r="28" spans="1:2" x14ac:dyDescent="0.25">
      <c r="A28" s="24">
        <f>'Access time'!M42</f>
        <v>12</v>
      </c>
      <c r="B28" s="24">
        <f>'Time spent at vertiports'!H37</f>
        <v>3.5</v>
      </c>
    </row>
    <row r="29" spans="1:2" x14ac:dyDescent="0.25">
      <c r="A29" s="24">
        <f>'Access time'!M44</f>
        <v>30</v>
      </c>
      <c r="B29" s="24">
        <f>'Time spent at vertiports'!H38</f>
        <v>3.5</v>
      </c>
    </row>
    <row r="30" spans="1:2" x14ac:dyDescent="0.25">
      <c r="A30" s="24">
        <f>'Access time'!M45</f>
        <v>30</v>
      </c>
      <c r="B30" s="24">
        <f>'Time spent at vertiports'!H39</f>
        <v>3.5</v>
      </c>
    </row>
    <row r="31" spans="1:2" x14ac:dyDescent="0.25">
      <c r="A31" s="24"/>
      <c r="B31" s="24">
        <f>'Time spent at vertiports'!H40</f>
        <v>10</v>
      </c>
    </row>
    <row r="32" spans="1:2" x14ac:dyDescent="0.25">
      <c r="A32" s="24"/>
      <c r="B32" s="24">
        <f>'Time spent at vertiports'!H41</f>
        <v>10</v>
      </c>
    </row>
    <row r="33" spans="1:2" x14ac:dyDescent="0.25">
      <c r="A33" s="24"/>
      <c r="B33" s="24">
        <f>'Time spent at vertiports'!H42</f>
        <v>10</v>
      </c>
    </row>
    <row r="34" spans="1:2" x14ac:dyDescent="0.25">
      <c r="A34" s="24"/>
      <c r="B34" s="24">
        <f>'Time spent at vertiports'!H43</f>
        <v>2.5</v>
      </c>
    </row>
    <row r="35" spans="1:2" x14ac:dyDescent="0.25">
      <c r="A35" s="24"/>
      <c r="B35" s="24">
        <f>'Time spent at vertiports'!H44</f>
        <v>9</v>
      </c>
    </row>
    <row r="36" spans="1:2" x14ac:dyDescent="0.25">
      <c r="A36" s="24"/>
      <c r="B36" s="24">
        <f>'Time spent at vertiports'!H45</f>
        <v>9</v>
      </c>
    </row>
    <row r="37" spans="1:2" x14ac:dyDescent="0.25">
      <c r="A37" s="24"/>
      <c r="B37" s="24">
        <f>'Time spent at vertiports'!H46</f>
        <v>7</v>
      </c>
    </row>
    <row r="38" spans="1:2" x14ac:dyDescent="0.25">
      <c r="A38" s="24"/>
      <c r="B38" s="24">
        <f>'Time spent at vertiports'!H47</f>
        <v>10</v>
      </c>
    </row>
    <row r="39" spans="1:2" x14ac:dyDescent="0.25">
      <c r="A39" s="24"/>
      <c r="B39" s="24">
        <f>'Time spent at vertiports'!H48</f>
        <v>6.5</v>
      </c>
    </row>
    <row r="40" spans="1:2" x14ac:dyDescent="0.25">
      <c r="A40" s="24"/>
      <c r="B40" s="24">
        <f>'Time spent at vertiports'!H49</f>
        <v>6.5</v>
      </c>
    </row>
    <row r="41" spans="1:2" x14ac:dyDescent="0.25">
      <c r="A41" s="24"/>
      <c r="B41" s="24">
        <f>'Time spent at vertiports'!H50</f>
        <v>4</v>
      </c>
    </row>
    <row r="42" spans="1:2" x14ac:dyDescent="0.25">
      <c r="A42" s="24"/>
      <c r="B42" s="24">
        <f>'Time spent at vertiports'!H51</f>
        <v>35</v>
      </c>
    </row>
    <row r="43" spans="1:2" x14ac:dyDescent="0.25">
      <c r="A43" s="24"/>
      <c r="B43" s="24">
        <f>'Time spent at vertiports'!H52</f>
        <v>15</v>
      </c>
    </row>
    <row r="44" spans="1:2" x14ac:dyDescent="0.25">
      <c r="A44" s="24"/>
      <c r="B44" s="24">
        <f>'Time spent at vertiports'!H53</f>
        <v>10</v>
      </c>
    </row>
    <row r="45" spans="1:2" x14ac:dyDescent="0.25">
      <c r="A45" s="24"/>
      <c r="B45" s="24">
        <f>'Time spent at vertiports'!H54</f>
        <v>10</v>
      </c>
    </row>
    <row r="46" spans="1:2" x14ac:dyDescent="0.25">
      <c r="A46" s="24"/>
      <c r="B46" s="24">
        <f>'Time spent at vertiports'!H56</f>
        <v>12.5</v>
      </c>
    </row>
    <row r="47" spans="1:2" x14ac:dyDescent="0.25">
      <c r="A47" s="24"/>
      <c r="B47" s="24">
        <f>'Time spent at vertiports'!H57</f>
        <v>5</v>
      </c>
    </row>
    <row r="48" spans="1:2" x14ac:dyDescent="0.25">
      <c r="A48" s="24"/>
      <c r="B48" s="24">
        <f>'Time spent at vertiports'!H58</f>
        <v>5</v>
      </c>
    </row>
    <row r="49" spans="1:2" x14ac:dyDescent="0.25">
      <c r="A49" s="24"/>
      <c r="B49" s="24">
        <f>'Time spent at vertiports'!H63</f>
        <v>7</v>
      </c>
    </row>
    <row r="50" spans="1:2" x14ac:dyDescent="0.25">
      <c r="A50" s="24"/>
      <c r="B50" s="24">
        <f>'Time spent at vertiports'!H67</f>
        <v>6</v>
      </c>
    </row>
    <row r="51" spans="1:2" x14ac:dyDescent="0.25">
      <c r="A51" s="24"/>
      <c r="B51" s="24">
        <f>'Time spent at vertiports'!H68</f>
        <v>6</v>
      </c>
    </row>
    <row r="52" spans="1:2" x14ac:dyDescent="0.25">
      <c r="A52" s="24"/>
      <c r="B52" s="24">
        <f>'Time spent at vertiports'!H69</f>
        <v>6</v>
      </c>
    </row>
    <row r="53" spans="1:2" x14ac:dyDescent="0.25">
      <c r="A53" s="24"/>
      <c r="B53" s="24">
        <f>'Time spent at vertiports'!H71</f>
        <v>5</v>
      </c>
    </row>
    <row r="54" spans="1:2" x14ac:dyDescent="0.25">
      <c r="A54" s="24"/>
      <c r="B54" s="24">
        <f>'Time spent at vertiports'!H72</f>
        <v>5</v>
      </c>
    </row>
    <row r="55" spans="1:2" x14ac:dyDescent="0.25">
      <c r="A55" s="24"/>
      <c r="B55" s="24">
        <f>'Time spent at vertiports'!H73</f>
        <v>6.5</v>
      </c>
    </row>
    <row r="56" spans="1:2" x14ac:dyDescent="0.25">
      <c r="A56" s="24"/>
      <c r="B56" s="24">
        <f>'Time spent at vertiports'!H74</f>
        <v>6.5</v>
      </c>
    </row>
    <row r="57" spans="1:2" x14ac:dyDescent="0.25">
      <c r="A57" s="24"/>
      <c r="B57" s="24">
        <f>'Time spent at vertiports'!H75</f>
        <v>10.25</v>
      </c>
    </row>
    <row r="58" spans="1:2" x14ac:dyDescent="0.25">
      <c r="A58" s="24"/>
      <c r="B58" s="24">
        <f>'Time spent at vertiports'!H76</f>
        <v>7</v>
      </c>
    </row>
    <row r="59" spans="1:2" x14ac:dyDescent="0.25">
      <c r="A59" s="24"/>
      <c r="B59" s="24">
        <f>'Time spent at vertiports'!H77</f>
        <v>12</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13"/>
  <sheetViews>
    <sheetView workbookViewId="0">
      <selection activeCell="D13" sqref="D13"/>
    </sheetView>
  </sheetViews>
  <sheetFormatPr defaultColWidth="14.42578125" defaultRowHeight="15" x14ac:dyDescent="0.25"/>
  <cols>
    <col min="1" max="1" width="16.5703125" customWidth="1"/>
    <col min="2" max="2" width="8.5703125" customWidth="1"/>
    <col min="3" max="5" width="8.7109375" customWidth="1"/>
    <col min="6" max="7" width="9.28515625" customWidth="1"/>
    <col min="8" max="9" width="8.7109375" customWidth="1"/>
    <col min="10" max="10" width="15.7109375" style="16" customWidth="1"/>
    <col min="11" max="13" width="8.7109375" customWidth="1"/>
    <col min="14" max="14" width="29" customWidth="1"/>
    <col min="15" max="15" width="20.85546875" customWidth="1"/>
    <col min="16" max="23" width="8.7109375" customWidth="1"/>
  </cols>
  <sheetData>
    <row r="1" spans="1:15" ht="14.25" customHeight="1" x14ac:dyDescent="0.25">
      <c r="A1" s="36" t="s">
        <v>51</v>
      </c>
      <c r="B1" s="17" t="s">
        <v>52</v>
      </c>
      <c r="C1" s="36" t="s">
        <v>53</v>
      </c>
      <c r="D1" s="36" t="s">
        <v>54</v>
      </c>
      <c r="E1" s="36" t="s">
        <v>55</v>
      </c>
      <c r="F1" s="17" t="s">
        <v>9</v>
      </c>
      <c r="G1" s="17" t="s">
        <v>56</v>
      </c>
      <c r="H1" s="36" t="s">
        <v>57</v>
      </c>
      <c r="I1" s="36" t="s">
        <v>58</v>
      </c>
      <c r="J1" s="17" t="s">
        <v>59</v>
      </c>
      <c r="K1" s="36" t="s">
        <v>60</v>
      </c>
      <c r="L1" s="36" t="s">
        <v>61</v>
      </c>
      <c r="M1" s="36" t="s">
        <v>62</v>
      </c>
      <c r="N1" s="36" t="s">
        <v>63</v>
      </c>
      <c r="O1" s="36"/>
    </row>
    <row r="2" spans="1:15" ht="14.25" customHeight="1" x14ac:dyDescent="0.25">
      <c r="A2" s="36" t="s">
        <v>64</v>
      </c>
      <c r="B2" s="36">
        <v>2026</v>
      </c>
      <c r="C2" s="36" t="s">
        <v>65</v>
      </c>
      <c r="D2" s="36" t="s">
        <v>66</v>
      </c>
      <c r="E2" s="36" t="s">
        <v>46</v>
      </c>
      <c r="F2" s="17"/>
      <c r="G2" s="39"/>
      <c r="H2" s="36"/>
      <c r="I2" s="36"/>
      <c r="J2" s="17" t="s">
        <v>67</v>
      </c>
      <c r="K2" s="36">
        <f t="shared" ref="K2:K4" si="0">IF(ISNUMBER(FIND("-", J2)), LEFT(J2, FIND("-", J2) - 1) * 1, J2 * 1)</f>
        <v>5</v>
      </c>
      <c r="L2" s="36">
        <f t="shared" ref="L2:L4" si="1">IF(ISNUMBER(FIND("-", J2)), MID(J2, FIND("-", J2) + 1, LEN(J2)) * 1, J2 * 1)</f>
        <v>20</v>
      </c>
      <c r="M2" s="36">
        <f t="shared" ref="M2:M45" si="2">IF(ISNUMBER(FIND("-",J2)),(LEFT(J2,FIND("-",J2)-1) + MID(J2,FIND("-",J2)+1,LEN(J2))) / 2,J2*1)</f>
        <v>12.5</v>
      </c>
      <c r="N2" s="36" t="s">
        <v>68</v>
      </c>
      <c r="O2" s="36" t="s">
        <v>59</v>
      </c>
    </row>
    <row r="3" spans="1:15" ht="14.25" customHeight="1" x14ac:dyDescent="0.25">
      <c r="A3" s="36" t="s">
        <v>69</v>
      </c>
      <c r="B3" s="36">
        <v>2026</v>
      </c>
      <c r="C3" s="36" t="s">
        <v>70</v>
      </c>
      <c r="D3" s="36" t="s">
        <v>66</v>
      </c>
      <c r="E3" s="36" t="s">
        <v>71</v>
      </c>
      <c r="F3" s="17"/>
      <c r="G3" s="39"/>
      <c r="H3" s="36"/>
      <c r="I3" s="36"/>
      <c r="J3" s="17" t="s">
        <v>72</v>
      </c>
      <c r="K3" s="36">
        <f t="shared" si="0"/>
        <v>12</v>
      </c>
      <c r="L3" s="36">
        <f t="shared" si="1"/>
        <v>30</v>
      </c>
      <c r="M3" s="36">
        <f t="shared" si="2"/>
        <v>21</v>
      </c>
      <c r="N3" s="36" t="s">
        <v>71</v>
      </c>
      <c r="O3" s="36" t="s">
        <v>59</v>
      </c>
    </row>
    <row r="4" spans="1:15" ht="14.25" customHeight="1" x14ac:dyDescent="0.25">
      <c r="A4" s="36" t="s">
        <v>73</v>
      </c>
      <c r="B4" s="17" t="s">
        <v>74</v>
      </c>
      <c r="C4" s="36" t="s">
        <v>75</v>
      </c>
      <c r="D4" s="36" t="s">
        <v>75</v>
      </c>
      <c r="E4" s="36" t="s">
        <v>76</v>
      </c>
      <c r="F4" s="17" t="s">
        <v>77</v>
      </c>
      <c r="G4" s="39">
        <v>5</v>
      </c>
      <c r="H4" s="36">
        <v>5</v>
      </c>
      <c r="I4" s="36"/>
      <c r="J4" s="17" t="s">
        <v>77</v>
      </c>
      <c r="K4" s="36">
        <f t="shared" si="0"/>
        <v>5</v>
      </c>
      <c r="L4" s="36">
        <f t="shared" si="1"/>
        <v>5</v>
      </c>
      <c r="M4" s="36">
        <f t="shared" si="2"/>
        <v>5</v>
      </c>
      <c r="N4" s="36" t="s">
        <v>68</v>
      </c>
      <c r="O4" s="36" t="s">
        <v>57</v>
      </c>
    </row>
    <row r="5" spans="1:15" ht="14.25" customHeight="1" x14ac:dyDescent="0.25">
      <c r="A5" s="36" t="s">
        <v>78</v>
      </c>
      <c r="B5" s="36">
        <v>2026</v>
      </c>
      <c r="C5" s="36" t="s">
        <v>75</v>
      </c>
      <c r="D5" s="36" t="s">
        <v>75</v>
      </c>
      <c r="E5" s="36" t="s">
        <v>48</v>
      </c>
      <c r="F5" s="17"/>
      <c r="G5" s="39"/>
      <c r="H5" s="36"/>
      <c r="I5" s="36"/>
      <c r="J5" s="17" t="s">
        <v>79</v>
      </c>
      <c r="K5" s="36">
        <v>15</v>
      </c>
      <c r="L5" s="36">
        <v>25</v>
      </c>
      <c r="M5" s="36">
        <f t="shared" si="2"/>
        <v>20</v>
      </c>
      <c r="N5" s="36" t="s">
        <v>80</v>
      </c>
      <c r="O5" s="36" t="s">
        <v>59</v>
      </c>
    </row>
    <row r="6" spans="1:15" ht="14.25" customHeight="1" x14ac:dyDescent="0.25">
      <c r="A6" s="36" t="s">
        <v>81</v>
      </c>
      <c r="B6" s="36">
        <v>2026</v>
      </c>
      <c r="C6" s="36" t="s">
        <v>65</v>
      </c>
      <c r="D6" s="36" t="s">
        <v>66</v>
      </c>
      <c r="E6" s="36" t="s">
        <v>46</v>
      </c>
      <c r="F6" s="17"/>
      <c r="G6" s="39"/>
      <c r="H6" s="36"/>
      <c r="I6" s="36"/>
      <c r="J6" s="17" t="s">
        <v>82</v>
      </c>
      <c r="K6" s="36">
        <v>5</v>
      </c>
      <c r="L6" s="36">
        <v>15</v>
      </c>
      <c r="M6" s="36">
        <f t="shared" si="2"/>
        <v>10</v>
      </c>
      <c r="N6" s="36" t="s">
        <v>71</v>
      </c>
      <c r="O6" s="36" t="s">
        <v>59</v>
      </c>
    </row>
    <row r="7" spans="1:15" ht="14.25" customHeight="1" x14ac:dyDescent="0.25">
      <c r="A7" s="36" t="s">
        <v>81</v>
      </c>
      <c r="B7" s="36">
        <v>2026</v>
      </c>
      <c r="C7" s="36" t="s">
        <v>65</v>
      </c>
      <c r="D7" s="36" t="s">
        <v>66</v>
      </c>
      <c r="E7" s="36" t="s">
        <v>47</v>
      </c>
      <c r="F7" s="17"/>
      <c r="G7" s="39"/>
      <c r="H7" s="36"/>
      <c r="I7" s="36"/>
      <c r="J7" s="17" t="s">
        <v>83</v>
      </c>
      <c r="K7" s="36">
        <v>5</v>
      </c>
      <c r="L7" s="36">
        <v>25</v>
      </c>
      <c r="M7" s="36">
        <f t="shared" si="2"/>
        <v>15</v>
      </c>
      <c r="N7" s="36" t="s">
        <v>71</v>
      </c>
      <c r="O7" s="36" t="s">
        <v>59</v>
      </c>
    </row>
    <row r="8" spans="1:15" ht="14.25" customHeight="1" x14ac:dyDescent="0.25">
      <c r="A8" s="36" t="s">
        <v>84</v>
      </c>
      <c r="B8" s="36">
        <v>2026</v>
      </c>
      <c r="C8" s="36" t="s">
        <v>65</v>
      </c>
      <c r="D8" s="36" t="s">
        <v>66</v>
      </c>
      <c r="E8" s="36" t="s">
        <v>46</v>
      </c>
      <c r="F8" s="17"/>
      <c r="G8" s="39"/>
      <c r="H8" s="36"/>
      <c r="I8" s="36"/>
      <c r="J8" s="17" t="s">
        <v>85</v>
      </c>
      <c r="K8" s="36">
        <f t="shared" ref="K8:K14" si="3">IF(ISNUMBER(FIND("-", J8)), LEFT(J8, FIND("-", J8) - 1) * 1, J8 * 1)</f>
        <v>10</v>
      </c>
      <c r="L8" s="36">
        <f t="shared" ref="L8:L14" si="4">IF(ISNUMBER(FIND("-", J8)), MID(J8, FIND("-", J8) + 1, LEN(J8)) * 1, J8 * 1)</f>
        <v>25</v>
      </c>
      <c r="M8" s="36">
        <f t="shared" si="2"/>
        <v>17.5</v>
      </c>
      <c r="N8" s="36" t="s">
        <v>71</v>
      </c>
      <c r="O8" s="36" t="s">
        <v>86</v>
      </c>
    </row>
    <row r="9" spans="1:15" ht="14.25" customHeight="1" x14ac:dyDescent="0.25">
      <c r="A9" s="36" t="s">
        <v>87</v>
      </c>
      <c r="B9" s="36">
        <v>2025</v>
      </c>
      <c r="C9" s="36" t="s">
        <v>88</v>
      </c>
      <c r="D9" s="36" t="s">
        <v>66</v>
      </c>
      <c r="E9" s="36" t="s">
        <v>76</v>
      </c>
      <c r="F9" s="17" t="s">
        <v>89</v>
      </c>
      <c r="G9" s="39">
        <v>5</v>
      </c>
      <c r="H9" s="36" t="s">
        <v>89</v>
      </c>
      <c r="I9" s="36">
        <v>0</v>
      </c>
      <c r="J9" s="17" t="s">
        <v>89</v>
      </c>
      <c r="K9" s="36">
        <f t="shared" si="3"/>
        <v>0</v>
      </c>
      <c r="L9" s="36">
        <f t="shared" si="4"/>
        <v>10</v>
      </c>
      <c r="M9" s="36">
        <f t="shared" si="2"/>
        <v>5</v>
      </c>
      <c r="N9" s="36" t="s">
        <v>71</v>
      </c>
      <c r="O9" s="36" t="s">
        <v>57</v>
      </c>
    </row>
    <row r="10" spans="1:15" ht="14.25" customHeight="1" x14ac:dyDescent="0.25">
      <c r="A10" s="36" t="s">
        <v>90</v>
      </c>
      <c r="B10" s="17" t="s">
        <v>91</v>
      </c>
      <c r="C10" s="36" t="s">
        <v>88</v>
      </c>
      <c r="D10" s="36" t="s">
        <v>66</v>
      </c>
      <c r="E10" s="36" t="s">
        <v>47</v>
      </c>
      <c r="F10" s="17" t="s">
        <v>92</v>
      </c>
      <c r="G10" s="39">
        <v>15</v>
      </c>
      <c r="H10" s="36">
        <v>15</v>
      </c>
      <c r="I10" s="36">
        <v>15</v>
      </c>
      <c r="J10" s="17" t="s">
        <v>93</v>
      </c>
      <c r="K10" s="36">
        <f t="shared" si="3"/>
        <v>30</v>
      </c>
      <c r="L10" s="36">
        <f t="shared" si="4"/>
        <v>30</v>
      </c>
      <c r="M10" s="36">
        <f t="shared" si="2"/>
        <v>30</v>
      </c>
      <c r="N10" s="36" t="s">
        <v>80</v>
      </c>
      <c r="O10" s="36" t="s">
        <v>94</v>
      </c>
    </row>
    <row r="11" spans="1:15" ht="14.25" customHeight="1" x14ac:dyDescent="0.25">
      <c r="A11" s="36" t="s">
        <v>95</v>
      </c>
      <c r="B11" s="17">
        <v>2025</v>
      </c>
      <c r="C11" s="36" t="s">
        <v>96</v>
      </c>
      <c r="D11" s="36" t="s">
        <v>97</v>
      </c>
      <c r="E11" s="36" t="s">
        <v>46</v>
      </c>
      <c r="F11" s="17" t="s">
        <v>67</v>
      </c>
      <c r="G11" s="39">
        <v>12.5</v>
      </c>
      <c r="H11" s="36"/>
      <c r="I11" s="36"/>
      <c r="J11" s="17" t="s">
        <v>67</v>
      </c>
      <c r="K11" s="36">
        <f t="shared" si="3"/>
        <v>5</v>
      </c>
      <c r="L11" s="36">
        <f t="shared" si="4"/>
        <v>20</v>
      </c>
      <c r="M11" s="36">
        <f t="shared" si="2"/>
        <v>12.5</v>
      </c>
      <c r="N11" s="36" t="s">
        <v>71</v>
      </c>
      <c r="O11" s="36" t="s">
        <v>59</v>
      </c>
    </row>
    <row r="12" spans="1:15" ht="14.25" customHeight="1" x14ac:dyDescent="0.25">
      <c r="A12" s="36" t="s">
        <v>95</v>
      </c>
      <c r="B12" s="17">
        <v>2025</v>
      </c>
      <c r="C12" s="36" t="s">
        <v>96</v>
      </c>
      <c r="D12" s="36" t="s">
        <v>97</v>
      </c>
      <c r="E12" s="36" t="s">
        <v>47</v>
      </c>
      <c r="F12" s="17" t="s">
        <v>67</v>
      </c>
      <c r="G12" s="39">
        <v>12.5</v>
      </c>
      <c r="H12" s="36"/>
      <c r="I12" s="36"/>
      <c r="J12" s="17" t="s">
        <v>67</v>
      </c>
      <c r="K12" s="36">
        <f t="shared" si="3"/>
        <v>5</v>
      </c>
      <c r="L12" s="36">
        <f t="shared" si="4"/>
        <v>20</v>
      </c>
      <c r="M12" s="36">
        <f t="shared" si="2"/>
        <v>12.5</v>
      </c>
      <c r="N12" s="36" t="s">
        <v>71</v>
      </c>
      <c r="O12" s="36" t="s">
        <v>59</v>
      </c>
    </row>
    <row r="13" spans="1:15" ht="14.25" customHeight="1" x14ac:dyDescent="0.25">
      <c r="A13" s="36" t="s">
        <v>95</v>
      </c>
      <c r="B13" s="17">
        <v>2025</v>
      </c>
      <c r="C13" s="36" t="s">
        <v>96</v>
      </c>
      <c r="D13" s="36" t="s">
        <v>97</v>
      </c>
      <c r="E13" s="36" t="s">
        <v>76</v>
      </c>
      <c r="F13" s="17" t="s">
        <v>67</v>
      </c>
      <c r="G13" s="39">
        <v>12.5</v>
      </c>
      <c r="H13" s="17"/>
      <c r="I13" s="36"/>
      <c r="J13" s="17" t="s">
        <v>67</v>
      </c>
      <c r="K13" s="36">
        <f t="shared" si="3"/>
        <v>5</v>
      </c>
      <c r="L13" s="36">
        <f t="shared" si="4"/>
        <v>20</v>
      </c>
      <c r="M13" s="36">
        <f t="shared" si="2"/>
        <v>12.5</v>
      </c>
      <c r="N13" s="36" t="s">
        <v>71</v>
      </c>
      <c r="O13" s="36" t="s">
        <v>59</v>
      </c>
    </row>
    <row r="14" spans="1:15" ht="14.25" customHeight="1" x14ac:dyDescent="0.25">
      <c r="A14" s="36" t="s">
        <v>98</v>
      </c>
      <c r="B14" s="17" t="s">
        <v>91</v>
      </c>
      <c r="C14" s="36" t="s">
        <v>70</v>
      </c>
      <c r="D14" s="36" t="s">
        <v>66</v>
      </c>
      <c r="E14" s="36" t="s">
        <v>76</v>
      </c>
      <c r="F14" s="17" t="s">
        <v>99</v>
      </c>
      <c r="G14" s="39">
        <v>30</v>
      </c>
      <c r="H14" s="36" t="s">
        <v>99</v>
      </c>
      <c r="I14" s="36">
        <v>0</v>
      </c>
      <c r="J14" s="17" t="s">
        <v>99</v>
      </c>
      <c r="K14" s="36">
        <f t="shared" si="3"/>
        <v>20</v>
      </c>
      <c r="L14" s="36">
        <f t="shared" si="4"/>
        <v>40</v>
      </c>
      <c r="M14" s="36">
        <f t="shared" si="2"/>
        <v>30</v>
      </c>
      <c r="N14" s="36" t="s">
        <v>71</v>
      </c>
      <c r="O14" s="36" t="s">
        <v>86</v>
      </c>
    </row>
    <row r="15" spans="1:15" ht="14.25" customHeight="1" x14ac:dyDescent="0.25">
      <c r="A15" s="36" t="s">
        <v>100</v>
      </c>
      <c r="B15" s="17" t="s">
        <v>91</v>
      </c>
      <c r="C15" s="36" t="s">
        <v>65</v>
      </c>
      <c r="D15" s="36" t="s">
        <v>66</v>
      </c>
      <c r="E15" s="36" t="s">
        <v>46</v>
      </c>
      <c r="F15" s="17" t="s">
        <v>101</v>
      </c>
      <c r="G15" s="39">
        <v>4</v>
      </c>
      <c r="H15" s="36"/>
      <c r="I15" s="40">
        <v>45694</v>
      </c>
      <c r="J15" s="17" t="s">
        <v>102</v>
      </c>
      <c r="K15" s="36"/>
      <c r="L15" s="36"/>
      <c r="M15" s="36">
        <f t="shared" si="2"/>
        <v>8</v>
      </c>
      <c r="N15" s="36" t="s">
        <v>103</v>
      </c>
      <c r="O15" s="36" t="s">
        <v>104</v>
      </c>
    </row>
    <row r="16" spans="1:15" ht="14.25" customHeight="1" x14ac:dyDescent="0.25">
      <c r="A16" s="36" t="s">
        <v>100</v>
      </c>
      <c r="B16" s="17" t="s">
        <v>91</v>
      </c>
      <c r="C16" s="36" t="s">
        <v>65</v>
      </c>
      <c r="D16" s="36" t="s">
        <v>66</v>
      </c>
      <c r="E16" s="36" t="s">
        <v>46</v>
      </c>
      <c r="F16" s="17" t="s">
        <v>105</v>
      </c>
      <c r="G16" s="39">
        <v>10</v>
      </c>
      <c r="H16" s="36"/>
      <c r="I16" s="40">
        <v>45822</v>
      </c>
      <c r="J16" s="17" t="s">
        <v>106</v>
      </c>
      <c r="K16" s="36"/>
      <c r="L16" s="36"/>
      <c r="M16" s="36">
        <f t="shared" si="2"/>
        <v>20</v>
      </c>
      <c r="N16" s="36" t="s">
        <v>107</v>
      </c>
      <c r="O16" s="36" t="s">
        <v>104</v>
      </c>
    </row>
    <row r="17" spans="1:15" ht="14.25" customHeight="1" x14ac:dyDescent="0.25">
      <c r="A17" s="36" t="s">
        <v>100</v>
      </c>
      <c r="B17" s="17" t="s">
        <v>91</v>
      </c>
      <c r="C17" s="36" t="s">
        <v>65</v>
      </c>
      <c r="D17" s="36" t="s">
        <v>66</v>
      </c>
      <c r="E17" s="36" t="s">
        <v>46</v>
      </c>
      <c r="F17" s="17" t="s">
        <v>108</v>
      </c>
      <c r="G17" s="39">
        <v>7</v>
      </c>
      <c r="H17" s="36"/>
      <c r="I17" s="40">
        <v>45757</v>
      </c>
      <c r="J17" s="17" t="s">
        <v>109</v>
      </c>
      <c r="K17" s="36"/>
      <c r="L17" s="36"/>
      <c r="M17" s="36">
        <f t="shared" si="2"/>
        <v>14</v>
      </c>
      <c r="N17" s="36" t="s">
        <v>110</v>
      </c>
      <c r="O17" s="36" t="s">
        <v>104</v>
      </c>
    </row>
    <row r="18" spans="1:15" ht="14.25" customHeight="1" x14ac:dyDescent="0.25">
      <c r="A18" s="36" t="s">
        <v>111</v>
      </c>
      <c r="B18" s="36">
        <v>2025</v>
      </c>
      <c r="C18" s="36" t="s">
        <v>75</v>
      </c>
      <c r="D18" s="36" t="s">
        <v>75</v>
      </c>
      <c r="E18" s="36" t="s">
        <v>48</v>
      </c>
      <c r="F18" s="30"/>
      <c r="G18" s="39"/>
      <c r="H18" s="36"/>
      <c r="I18" s="36"/>
      <c r="J18" s="17" t="s">
        <v>112</v>
      </c>
      <c r="K18" s="36">
        <f t="shared" ref="K18:K23" si="5">IF(ISNUMBER(FIND("-", J18)), LEFT(J18, FIND("-", J18) - 1) * 1, J18 * 1)</f>
        <v>10</v>
      </c>
      <c r="L18" s="36">
        <f t="shared" ref="L18:L23" si="6">IF(ISNUMBER(FIND("-", J18)), MID(J18, FIND("-", J18) + 1, LEN(J18)) * 1, J18 * 1)</f>
        <v>30</v>
      </c>
      <c r="M18" s="36">
        <f t="shared" si="2"/>
        <v>20</v>
      </c>
      <c r="N18" s="36" t="s">
        <v>71</v>
      </c>
      <c r="O18" s="36" t="s">
        <v>59</v>
      </c>
    </row>
    <row r="19" spans="1:15" ht="14.25" customHeight="1" x14ac:dyDescent="0.25">
      <c r="A19" s="36" t="s">
        <v>113</v>
      </c>
      <c r="B19" s="17">
        <v>2024</v>
      </c>
      <c r="C19" s="36" t="s">
        <v>75</v>
      </c>
      <c r="D19" s="36" t="s">
        <v>75</v>
      </c>
      <c r="E19" s="36" t="s">
        <v>46</v>
      </c>
      <c r="F19" s="17" t="s">
        <v>114</v>
      </c>
      <c r="G19" s="39">
        <v>15</v>
      </c>
      <c r="H19" s="36"/>
      <c r="I19" s="36"/>
      <c r="J19" s="17" t="s">
        <v>114</v>
      </c>
      <c r="K19" s="36">
        <f t="shared" si="5"/>
        <v>10</v>
      </c>
      <c r="L19" s="36">
        <f t="shared" si="6"/>
        <v>20</v>
      </c>
      <c r="M19" s="36">
        <f t="shared" si="2"/>
        <v>15</v>
      </c>
      <c r="N19" s="36" t="s">
        <v>71</v>
      </c>
      <c r="O19" s="36" t="s">
        <v>59</v>
      </c>
    </row>
    <row r="20" spans="1:15" ht="14.25" customHeight="1" x14ac:dyDescent="0.25">
      <c r="A20" s="36" t="s">
        <v>115</v>
      </c>
      <c r="B20" s="17">
        <v>2024</v>
      </c>
      <c r="C20" s="36" t="s">
        <v>96</v>
      </c>
      <c r="D20" s="36" t="s">
        <v>97</v>
      </c>
      <c r="E20" s="36" t="s">
        <v>46</v>
      </c>
      <c r="F20" s="17" t="s">
        <v>67</v>
      </c>
      <c r="G20" s="39">
        <v>12.5</v>
      </c>
      <c r="H20" s="36"/>
      <c r="I20" s="36"/>
      <c r="J20" s="17" t="s">
        <v>67</v>
      </c>
      <c r="K20" s="36">
        <f t="shared" si="5"/>
        <v>5</v>
      </c>
      <c r="L20" s="36">
        <f t="shared" si="6"/>
        <v>20</v>
      </c>
      <c r="M20" s="36">
        <f t="shared" si="2"/>
        <v>12.5</v>
      </c>
      <c r="N20" s="36" t="s">
        <v>71</v>
      </c>
      <c r="O20" s="36" t="s">
        <v>59</v>
      </c>
    </row>
    <row r="21" spans="1:15" ht="14.25" customHeight="1" x14ac:dyDescent="0.25">
      <c r="A21" s="36" t="s">
        <v>115</v>
      </c>
      <c r="B21" s="17">
        <v>2024</v>
      </c>
      <c r="C21" s="36" t="s">
        <v>96</v>
      </c>
      <c r="D21" s="36" t="s">
        <v>97</v>
      </c>
      <c r="E21" s="36" t="s">
        <v>76</v>
      </c>
      <c r="F21" s="17" t="s">
        <v>67</v>
      </c>
      <c r="G21" s="39">
        <v>12.5</v>
      </c>
      <c r="H21" s="17"/>
      <c r="I21" s="36"/>
      <c r="J21" s="17" t="s">
        <v>67</v>
      </c>
      <c r="K21" s="36">
        <f t="shared" si="5"/>
        <v>5</v>
      </c>
      <c r="L21" s="36">
        <f t="shared" si="6"/>
        <v>20</v>
      </c>
      <c r="M21" s="36">
        <f t="shared" si="2"/>
        <v>12.5</v>
      </c>
      <c r="N21" s="36" t="s">
        <v>71</v>
      </c>
      <c r="O21" s="36" t="s">
        <v>59</v>
      </c>
    </row>
    <row r="22" spans="1:15" ht="14.25" customHeight="1" x14ac:dyDescent="0.25">
      <c r="A22" s="36" t="s">
        <v>116</v>
      </c>
      <c r="B22" s="17">
        <v>2024</v>
      </c>
      <c r="C22" s="36" t="s">
        <v>96</v>
      </c>
      <c r="D22" s="36" t="s">
        <v>97</v>
      </c>
      <c r="E22" s="36" t="s">
        <v>76</v>
      </c>
      <c r="F22" s="17" t="s">
        <v>67</v>
      </c>
      <c r="G22" s="39">
        <v>12.5</v>
      </c>
      <c r="H22" s="17"/>
      <c r="I22" s="36"/>
      <c r="J22" s="17" t="s">
        <v>67</v>
      </c>
      <c r="K22" s="36">
        <f t="shared" si="5"/>
        <v>5</v>
      </c>
      <c r="L22" s="36">
        <f t="shared" si="6"/>
        <v>20</v>
      </c>
      <c r="M22" s="36">
        <f t="shared" si="2"/>
        <v>12.5</v>
      </c>
      <c r="N22" s="36" t="s">
        <v>71</v>
      </c>
      <c r="O22" s="36" t="s">
        <v>59</v>
      </c>
    </row>
    <row r="23" spans="1:15" ht="14.25" customHeight="1" x14ac:dyDescent="0.25">
      <c r="A23" s="36" t="s">
        <v>117</v>
      </c>
      <c r="B23" s="17">
        <v>2024</v>
      </c>
      <c r="C23" s="36" t="s">
        <v>118</v>
      </c>
      <c r="D23" s="36" t="s">
        <v>66</v>
      </c>
      <c r="E23" s="36" t="s">
        <v>46</v>
      </c>
      <c r="F23" s="17" t="s">
        <v>114</v>
      </c>
      <c r="G23" s="39">
        <v>15</v>
      </c>
      <c r="H23" s="17" t="s">
        <v>114</v>
      </c>
      <c r="I23" s="36"/>
      <c r="J23" s="17" t="s">
        <v>99</v>
      </c>
      <c r="K23" s="36">
        <f t="shared" si="5"/>
        <v>20</v>
      </c>
      <c r="L23" s="36">
        <f t="shared" si="6"/>
        <v>40</v>
      </c>
      <c r="M23" s="36">
        <f t="shared" si="2"/>
        <v>30</v>
      </c>
      <c r="N23" s="36" t="s">
        <v>71</v>
      </c>
      <c r="O23" s="36" t="s">
        <v>57</v>
      </c>
    </row>
    <row r="24" spans="1:15" ht="14.25" customHeight="1" x14ac:dyDescent="0.25">
      <c r="A24" s="36" t="s">
        <v>119</v>
      </c>
      <c r="B24" s="17">
        <v>2024</v>
      </c>
      <c r="C24" s="36" t="s">
        <v>118</v>
      </c>
      <c r="D24" s="36" t="s">
        <v>66</v>
      </c>
      <c r="E24" s="36" t="s">
        <v>47</v>
      </c>
      <c r="F24" s="17" t="s">
        <v>120</v>
      </c>
      <c r="G24" s="39">
        <v>7.5</v>
      </c>
      <c r="H24" s="36"/>
      <c r="I24" s="36"/>
      <c r="J24" s="17" t="s">
        <v>120</v>
      </c>
      <c r="K24" s="36"/>
      <c r="L24" s="36"/>
      <c r="M24" s="36">
        <f t="shared" si="2"/>
        <v>7.5</v>
      </c>
      <c r="N24" s="36" t="s">
        <v>121</v>
      </c>
      <c r="O24" s="36" t="s">
        <v>104</v>
      </c>
    </row>
    <row r="25" spans="1:15" ht="14.25" customHeight="1" x14ac:dyDescent="0.25">
      <c r="A25" s="36" t="s">
        <v>119</v>
      </c>
      <c r="B25" s="17">
        <v>2024</v>
      </c>
      <c r="C25" s="36" t="s">
        <v>118</v>
      </c>
      <c r="D25" s="36" t="s">
        <v>66</v>
      </c>
      <c r="E25" s="36" t="s">
        <v>76</v>
      </c>
      <c r="F25" s="17" t="s">
        <v>120</v>
      </c>
      <c r="G25" s="39">
        <v>7.5</v>
      </c>
      <c r="H25" s="17" t="s">
        <v>120</v>
      </c>
      <c r="I25" s="36"/>
      <c r="J25" s="17" t="s">
        <v>120</v>
      </c>
      <c r="K25" s="36"/>
      <c r="L25" s="36"/>
      <c r="M25" s="36">
        <f t="shared" si="2"/>
        <v>7.5</v>
      </c>
      <c r="N25" s="36" t="s">
        <v>121</v>
      </c>
      <c r="O25" s="36" t="s">
        <v>104</v>
      </c>
    </row>
    <row r="26" spans="1:15" ht="14.25" customHeight="1" x14ac:dyDescent="0.25">
      <c r="A26" s="36" t="s">
        <v>122</v>
      </c>
      <c r="B26" s="17">
        <v>2024</v>
      </c>
      <c r="C26" s="36" t="s">
        <v>75</v>
      </c>
      <c r="D26" s="36" t="s">
        <v>75</v>
      </c>
      <c r="E26" s="36" t="s">
        <v>47</v>
      </c>
      <c r="F26" s="17" t="s">
        <v>123</v>
      </c>
      <c r="G26" s="39">
        <v>9</v>
      </c>
      <c r="H26" s="36">
        <v>9</v>
      </c>
      <c r="I26" s="36">
        <v>9</v>
      </c>
      <c r="J26" s="17">
        <v>18</v>
      </c>
      <c r="K26" s="36">
        <f t="shared" ref="K26:K42" si="7">IF(ISNUMBER(FIND("-", J26)), LEFT(J26, FIND("-", J26) - 1) * 1, J26 * 1)</f>
        <v>18</v>
      </c>
      <c r="L26" s="36">
        <f t="shared" ref="L26:L42" si="8">IF(ISNUMBER(FIND("-", J26)), MID(J26, FIND("-", J26) + 1, LEN(J26)) * 1, J26 * 1)</f>
        <v>18</v>
      </c>
      <c r="M26" s="36">
        <f t="shared" si="2"/>
        <v>18</v>
      </c>
      <c r="N26" s="36" t="s">
        <v>124</v>
      </c>
      <c r="O26" s="36" t="s">
        <v>125</v>
      </c>
    </row>
    <row r="27" spans="1:15" ht="14.25" customHeight="1" x14ac:dyDescent="0.25">
      <c r="A27" s="36" t="s">
        <v>126</v>
      </c>
      <c r="B27" s="17">
        <v>2023</v>
      </c>
      <c r="C27" s="36" t="s">
        <v>70</v>
      </c>
      <c r="D27" s="36" t="s">
        <v>66</v>
      </c>
      <c r="E27" s="36" t="s">
        <v>46</v>
      </c>
      <c r="F27" s="17" t="s">
        <v>127</v>
      </c>
      <c r="G27" s="39">
        <v>14</v>
      </c>
      <c r="H27" s="17" t="s">
        <v>127</v>
      </c>
      <c r="I27" s="17" t="s">
        <v>127</v>
      </c>
      <c r="J27" s="17" t="s">
        <v>128</v>
      </c>
      <c r="K27" s="36">
        <f t="shared" si="7"/>
        <v>8</v>
      </c>
      <c r="L27" s="36">
        <f t="shared" si="8"/>
        <v>48</v>
      </c>
      <c r="M27" s="36">
        <f t="shared" si="2"/>
        <v>28</v>
      </c>
      <c r="N27" s="36" t="s">
        <v>129</v>
      </c>
      <c r="O27" s="36" t="s">
        <v>57</v>
      </c>
    </row>
    <row r="28" spans="1:15" ht="14.25" customHeight="1" x14ac:dyDescent="0.25">
      <c r="A28" s="36" t="s">
        <v>126</v>
      </c>
      <c r="B28" s="17">
        <v>2023</v>
      </c>
      <c r="C28" s="36" t="s">
        <v>70</v>
      </c>
      <c r="D28" s="36" t="s">
        <v>66</v>
      </c>
      <c r="E28" s="36" t="s">
        <v>47</v>
      </c>
      <c r="F28" s="17" t="s">
        <v>127</v>
      </c>
      <c r="G28" s="39">
        <v>14</v>
      </c>
      <c r="H28" s="17" t="s">
        <v>127</v>
      </c>
      <c r="I28" s="17" t="s">
        <v>127</v>
      </c>
      <c r="J28" s="17" t="s">
        <v>128</v>
      </c>
      <c r="K28" s="36">
        <f t="shared" si="7"/>
        <v>8</v>
      </c>
      <c r="L28" s="36">
        <f t="shared" si="8"/>
        <v>48</v>
      </c>
      <c r="M28" s="36">
        <f t="shared" si="2"/>
        <v>28</v>
      </c>
      <c r="N28" s="36" t="s">
        <v>129</v>
      </c>
      <c r="O28" s="36" t="s">
        <v>57</v>
      </c>
    </row>
    <row r="29" spans="1:15" ht="14.25" customHeight="1" x14ac:dyDescent="0.25">
      <c r="A29" s="36" t="s">
        <v>130</v>
      </c>
      <c r="B29" s="17">
        <v>2023</v>
      </c>
      <c r="C29" s="36" t="s">
        <v>131</v>
      </c>
      <c r="D29" s="36" t="s">
        <v>97</v>
      </c>
      <c r="E29" s="36" t="s">
        <v>47</v>
      </c>
      <c r="F29" s="17" t="s">
        <v>132</v>
      </c>
      <c r="G29" s="39">
        <v>10</v>
      </c>
      <c r="H29" s="17" t="s">
        <v>132</v>
      </c>
      <c r="I29" s="17" t="s">
        <v>132</v>
      </c>
      <c r="J29" s="17">
        <v>20</v>
      </c>
      <c r="K29" s="36">
        <f t="shared" si="7"/>
        <v>20</v>
      </c>
      <c r="L29" s="36">
        <f t="shared" si="8"/>
        <v>20</v>
      </c>
      <c r="M29" s="36">
        <f t="shared" si="2"/>
        <v>20</v>
      </c>
      <c r="N29" s="36" t="s">
        <v>129</v>
      </c>
      <c r="O29" s="36" t="s">
        <v>94</v>
      </c>
    </row>
    <row r="30" spans="1:15" ht="14.25" customHeight="1" x14ac:dyDescent="0.25">
      <c r="A30" s="36" t="s">
        <v>133</v>
      </c>
      <c r="B30" s="17">
        <v>2022</v>
      </c>
      <c r="C30" s="36" t="s">
        <v>131</v>
      </c>
      <c r="D30" s="36" t="s">
        <v>97</v>
      </c>
      <c r="E30" s="36" t="s">
        <v>47</v>
      </c>
      <c r="F30" s="17" t="s">
        <v>120</v>
      </c>
      <c r="G30" s="39">
        <v>7.5</v>
      </c>
      <c r="H30" s="17" t="s">
        <v>120</v>
      </c>
      <c r="I30" s="17" t="s">
        <v>120</v>
      </c>
      <c r="J30" s="17" t="s">
        <v>114</v>
      </c>
      <c r="K30" s="36">
        <f t="shared" si="7"/>
        <v>10</v>
      </c>
      <c r="L30" s="36">
        <f t="shared" si="8"/>
        <v>20</v>
      </c>
      <c r="M30" s="36">
        <f t="shared" si="2"/>
        <v>15</v>
      </c>
      <c r="N30" s="36" t="s">
        <v>134</v>
      </c>
      <c r="O30" s="36" t="s">
        <v>94</v>
      </c>
    </row>
    <row r="31" spans="1:15" ht="14.25" customHeight="1" x14ac:dyDescent="0.25">
      <c r="A31" s="36" t="s">
        <v>133</v>
      </c>
      <c r="B31" s="17">
        <v>2022</v>
      </c>
      <c r="C31" s="36" t="s">
        <v>131</v>
      </c>
      <c r="D31" s="36" t="s">
        <v>97</v>
      </c>
      <c r="E31" s="36" t="s">
        <v>76</v>
      </c>
      <c r="F31" s="17" t="s">
        <v>120</v>
      </c>
      <c r="G31" s="39">
        <v>7.5</v>
      </c>
      <c r="H31" s="17" t="s">
        <v>120</v>
      </c>
      <c r="I31" s="17" t="s">
        <v>120</v>
      </c>
      <c r="J31" s="17" t="s">
        <v>114</v>
      </c>
      <c r="K31" s="36">
        <f t="shared" si="7"/>
        <v>10</v>
      </c>
      <c r="L31" s="36">
        <f t="shared" si="8"/>
        <v>20</v>
      </c>
      <c r="M31" s="36">
        <f t="shared" si="2"/>
        <v>15</v>
      </c>
      <c r="N31" s="36" t="s">
        <v>134</v>
      </c>
      <c r="O31" s="36" t="s">
        <v>94</v>
      </c>
    </row>
    <row r="32" spans="1:15" ht="14.25" customHeight="1" x14ac:dyDescent="0.25">
      <c r="A32" s="36" t="s">
        <v>135</v>
      </c>
      <c r="B32" s="17" t="s">
        <v>136</v>
      </c>
      <c r="C32" s="36" t="s">
        <v>75</v>
      </c>
      <c r="D32" s="36" t="s">
        <v>75</v>
      </c>
      <c r="E32" s="36" t="s">
        <v>46</v>
      </c>
      <c r="F32" s="17" t="s">
        <v>137</v>
      </c>
      <c r="G32" s="39">
        <v>15.56</v>
      </c>
      <c r="H32" s="39">
        <v>15.56</v>
      </c>
      <c r="I32" s="39">
        <v>15.56</v>
      </c>
      <c r="J32" s="17" t="s">
        <v>138</v>
      </c>
      <c r="K32" s="36">
        <f t="shared" si="7"/>
        <v>24.8</v>
      </c>
      <c r="L32" s="36">
        <f t="shared" si="8"/>
        <v>43.6</v>
      </c>
      <c r="M32" s="36">
        <f t="shared" si="2"/>
        <v>34.200000000000003</v>
      </c>
      <c r="N32" s="36" t="s">
        <v>139</v>
      </c>
      <c r="O32" s="36" t="s">
        <v>94</v>
      </c>
    </row>
    <row r="33" spans="1:15" ht="14.25" customHeight="1" x14ac:dyDescent="0.25">
      <c r="A33" s="36" t="s">
        <v>140</v>
      </c>
      <c r="B33" s="17" t="s">
        <v>136</v>
      </c>
      <c r="C33" s="36" t="s">
        <v>75</v>
      </c>
      <c r="D33" s="36" t="s">
        <v>75</v>
      </c>
      <c r="E33" s="36" t="s">
        <v>46</v>
      </c>
      <c r="F33" s="17" t="s">
        <v>120</v>
      </c>
      <c r="G33" s="39">
        <v>7.5</v>
      </c>
      <c r="H33" s="36"/>
      <c r="I33" s="36"/>
      <c r="J33" s="17" t="s">
        <v>120</v>
      </c>
      <c r="K33" s="36">
        <f t="shared" si="7"/>
        <v>5</v>
      </c>
      <c r="L33" s="36">
        <f t="shared" si="8"/>
        <v>10</v>
      </c>
      <c r="M33" s="36">
        <f t="shared" si="2"/>
        <v>7.5</v>
      </c>
      <c r="N33" s="36" t="s">
        <v>71</v>
      </c>
      <c r="O33" s="36" t="s">
        <v>59</v>
      </c>
    </row>
    <row r="34" spans="1:15" ht="14.25" customHeight="1" x14ac:dyDescent="0.25">
      <c r="A34" s="36" t="s">
        <v>141</v>
      </c>
      <c r="B34" s="17">
        <v>2020</v>
      </c>
      <c r="C34" s="36" t="s">
        <v>142</v>
      </c>
      <c r="D34" s="36" t="s">
        <v>97</v>
      </c>
      <c r="E34" s="36" t="s">
        <v>71</v>
      </c>
      <c r="F34" s="17" t="s">
        <v>112</v>
      </c>
      <c r="G34" s="39">
        <v>20</v>
      </c>
      <c r="H34" s="36"/>
      <c r="I34" s="36"/>
      <c r="J34" s="17" t="s">
        <v>112</v>
      </c>
      <c r="K34" s="36">
        <f t="shared" si="7"/>
        <v>10</v>
      </c>
      <c r="L34" s="36">
        <f t="shared" si="8"/>
        <v>30</v>
      </c>
      <c r="M34" s="36">
        <f t="shared" si="2"/>
        <v>20</v>
      </c>
      <c r="N34" s="36" t="s">
        <v>71</v>
      </c>
      <c r="O34" s="36" t="s">
        <v>86</v>
      </c>
    </row>
    <row r="35" spans="1:15" ht="14.25" customHeight="1" x14ac:dyDescent="0.25">
      <c r="A35" s="36" t="s">
        <v>143</v>
      </c>
      <c r="B35" s="17">
        <v>2020</v>
      </c>
      <c r="C35" s="36" t="s">
        <v>142</v>
      </c>
      <c r="D35" s="36" t="s">
        <v>97</v>
      </c>
      <c r="E35" s="36" t="s">
        <v>46</v>
      </c>
      <c r="F35" s="17" t="s">
        <v>112</v>
      </c>
      <c r="G35" s="39">
        <v>20</v>
      </c>
      <c r="H35" s="36"/>
      <c r="I35" s="36"/>
      <c r="J35" s="17" t="s">
        <v>112</v>
      </c>
      <c r="K35" s="36">
        <f t="shared" si="7"/>
        <v>10</v>
      </c>
      <c r="L35" s="36">
        <f t="shared" si="8"/>
        <v>30</v>
      </c>
      <c r="M35" s="36">
        <f t="shared" si="2"/>
        <v>20</v>
      </c>
      <c r="N35" s="36" t="s">
        <v>71</v>
      </c>
      <c r="O35" s="36" t="s">
        <v>86</v>
      </c>
    </row>
    <row r="36" spans="1:15" ht="14.25" customHeight="1" x14ac:dyDescent="0.25">
      <c r="A36" s="36" t="s">
        <v>143</v>
      </c>
      <c r="B36" s="17">
        <v>2020</v>
      </c>
      <c r="C36" s="36" t="s">
        <v>142</v>
      </c>
      <c r="D36" s="36" t="s">
        <v>97</v>
      </c>
      <c r="E36" s="36" t="s">
        <v>47</v>
      </c>
      <c r="F36" s="17" t="s">
        <v>112</v>
      </c>
      <c r="G36" s="39">
        <v>20</v>
      </c>
      <c r="H36" s="36"/>
      <c r="I36" s="36"/>
      <c r="J36" s="17" t="s">
        <v>112</v>
      </c>
      <c r="K36" s="36">
        <f t="shared" si="7"/>
        <v>10</v>
      </c>
      <c r="L36" s="36">
        <f t="shared" si="8"/>
        <v>30</v>
      </c>
      <c r="M36" s="36">
        <f t="shared" si="2"/>
        <v>20</v>
      </c>
      <c r="N36" s="36" t="s">
        <v>71</v>
      </c>
      <c r="O36" s="36" t="s">
        <v>86</v>
      </c>
    </row>
    <row r="37" spans="1:15" ht="14.25" customHeight="1" x14ac:dyDescent="0.25">
      <c r="A37" s="36" t="s">
        <v>143</v>
      </c>
      <c r="B37" s="17">
        <v>2020</v>
      </c>
      <c r="C37" s="36" t="s">
        <v>142</v>
      </c>
      <c r="D37" s="36" t="s">
        <v>97</v>
      </c>
      <c r="E37" s="36" t="s">
        <v>76</v>
      </c>
      <c r="F37" s="17" t="s">
        <v>112</v>
      </c>
      <c r="G37" s="39">
        <v>20</v>
      </c>
      <c r="H37" s="17"/>
      <c r="I37" s="36"/>
      <c r="J37" s="17" t="s">
        <v>112</v>
      </c>
      <c r="K37" s="36">
        <f t="shared" si="7"/>
        <v>10</v>
      </c>
      <c r="L37" s="36">
        <f t="shared" si="8"/>
        <v>30</v>
      </c>
      <c r="M37" s="36">
        <f t="shared" si="2"/>
        <v>20</v>
      </c>
      <c r="N37" s="36" t="s">
        <v>71</v>
      </c>
      <c r="O37" s="36" t="s">
        <v>86</v>
      </c>
    </row>
    <row r="38" spans="1:15" ht="14.25" customHeight="1" x14ac:dyDescent="0.25">
      <c r="A38" s="36" t="s">
        <v>144</v>
      </c>
      <c r="B38" s="17">
        <v>2020</v>
      </c>
      <c r="C38" s="36" t="s">
        <v>142</v>
      </c>
      <c r="D38" s="36" t="s">
        <v>97</v>
      </c>
      <c r="E38" s="36" t="s">
        <v>46</v>
      </c>
      <c r="F38" s="17" t="s">
        <v>112</v>
      </c>
      <c r="G38" s="39">
        <v>20</v>
      </c>
      <c r="H38" s="36"/>
      <c r="I38" s="36"/>
      <c r="J38" s="17" t="s">
        <v>112</v>
      </c>
      <c r="K38" s="36">
        <f t="shared" si="7"/>
        <v>10</v>
      </c>
      <c r="L38" s="36">
        <f t="shared" si="8"/>
        <v>30</v>
      </c>
      <c r="M38" s="36">
        <f t="shared" si="2"/>
        <v>20</v>
      </c>
      <c r="N38" s="36" t="s">
        <v>71</v>
      </c>
      <c r="O38" s="36" t="s">
        <v>86</v>
      </c>
    </row>
    <row r="39" spans="1:15" ht="14.25" customHeight="1" x14ac:dyDescent="0.25">
      <c r="A39" s="36" t="s">
        <v>144</v>
      </c>
      <c r="B39" s="17">
        <v>2020</v>
      </c>
      <c r="C39" s="36" t="s">
        <v>142</v>
      </c>
      <c r="D39" s="36" t="s">
        <v>97</v>
      </c>
      <c r="E39" s="36" t="s">
        <v>47</v>
      </c>
      <c r="F39" s="17" t="s">
        <v>112</v>
      </c>
      <c r="G39" s="39">
        <v>20</v>
      </c>
      <c r="H39" s="36"/>
      <c r="I39" s="36"/>
      <c r="J39" s="17" t="s">
        <v>112</v>
      </c>
      <c r="K39" s="36">
        <f t="shared" si="7"/>
        <v>10</v>
      </c>
      <c r="L39" s="36">
        <f t="shared" si="8"/>
        <v>30</v>
      </c>
      <c r="M39" s="36">
        <f t="shared" si="2"/>
        <v>20</v>
      </c>
      <c r="N39" s="36" t="s">
        <v>71</v>
      </c>
      <c r="O39" s="36" t="s">
        <v>86</v>
      </c>
    </row>
    <row r="40" spans="1:15" ht="14.25" customHeight="1" x14ac:dyDescent="0.25">
      <c r="A40" s="36" t="s">
        <v>144</v>
      </c>
      <c r="B40" s="17">
        <v>2020</v>
      </c>
      <c r="C40" s="36" t="s">
        <v>142</v>
      </c>
      <c r="D40" s="36" t="s">
        <v>97</v>
      </c>
      <c r="E40" s="36" t="s">
        <v>76</v>
      </c>
      <c r="F40" s="17" t="s">
        <v>112</v>
      </c>
      <c r="G40" s="39">
        <v>20</v>
      </c>
      <c r="H40" s="17"/>
      <c r="I40" s="36"/>
      <c r="J40" s="17" t="s">
        <v>112</v>
      </c>
      <c r="K40" s="36">
        <f t="shared" si="7"/>
        <v>10</v>
      </c>
      <c r="L40" s="36">
        <f t="shared" si="8"/>
        <v>30</v>
      </c>
      <c r="M40" s="36">
        <f t="shared" si="2"/>
        <v>20</v>
      </c>
      <c r="N40" s="36" t="s">
        <v>71</v>
      </c>
      <c r="O40" s="36" t="s">
        <v>86</v>
      </c>
    </row>
    <row r="41" spans="1:15" ht="14.25" customHeight="1" x14ac:dyDescent="0.25">
      <c r="A41" s="36" t="s">
        <v>145</v>
      </c>
      <c r="B41" s="17">
        <v>2019</v>
      </c>
      <c r="C41" s="36" t="s">
        <v>146</v>
      </c>
      <c r="D41" s="36" t="s">
        <v>97</v>
      </c>
      <c r="E41" s="36" t="s">
        <v>46</v>
      </c>
      <c r="F41" s="17" t="s">
        <v>147</v>
      </c>
      <c r="G41" s="39">
        <v>6</v>
      </c>
      <c r="H41" s="17" t="s">
        <v>147</v>
      </c>
      <c r="I41" s="17" t="s">
        <v>147</v>
      </c>
      <c r="J41" s="17" t="s">
        <v>148</v>
      </c>
      <c r="K41" s="36">
        <f t="shared" si="7"/>
        <v>4</v>
      </c>
      <c r="L41" s="36">
        <f t="shared" si="8"/>
        <v>20</v>
      </c>
      <c r="M41" s="36">
        <f t="shared" si="2"/>
        <v>12</v>
      </c>
      <c r="N41" s="36" t="s">
        <v>71</v>
      </c>
      <c r="O41" s="36" t="s">
        <v>57</v>
      </c>
    </row>
    <row r="42" spans="1:15" ht="14.25" customHeight="1" x14ac:dyDescent="0.25">
      <c r="A42" s="36" t="s">
        <v>145</v>
      </c>
      <c r="B42" s="17">
        <v>2019</v>
      </c>
      <c r="C42" s="36" t="s">
        <v>146</v>
      </c>
      <c r="D42" s="36" t="s">
        <v>97</v>
      </c>
      <c r="E42" s="36" t="s">
        <v>47</v>
      </c>
      <c r="F42" s="17" t="s">
        <v>147</v>
      </c>
      <c r="G42" s="39">
        <v>6</v>
      </c>
      <c r="H42" s="17" t="s">
        <v>147</v>
      </c>
      <c r="I42" s="17" t="s">
        <v>147</v>
      </c>
      <c r="J42" s="17" t="s">
        <v>148</v>
      </c>
      <c r="K42" s="36">
        <f t="shared" si="7"/>
        <v>4</v>
      </c>
      <c r="L42" s="36">
        <f t="shared" si="8"/>
        <v>20</v>
      </c>
      <c r="M42" s="36">
        <f t="shared" si="2"/>
        <v>12</v>
      </c>
      <c r="N42" s="36" t="s">
        <v>71</v>
      </c>
      <c r="O42" s="36" t="s">
        <v>57</v>
      </c>
    </row>
    <row r="43" spans="1:15" ht="14.25" customHeight="1" x14ac:dyDescent="0.25">
      <c r="A43" s="36" t="s">
        <v>149</v>
      </c>
      <c r="B43" s="17">
        <v>2019</v>
      </c>
      <c r="C43" s="36" t="s">
        <v>142</v>
      </c>
      <c r="D43" s="36" t="s">
        <v>97</v>
      </c>
      <c r="E43" s="36" t="s">
        <v>46</v>
      </c>
      <c r="F43" s="17" t="s">
        <v>120</v>
      </c>
      <c r="G43" s="39">
        <v>7.5</v>
      </c>
      <c r="H43" s="36"/>
      <c r="I43" s="36"/>
      <c r="J43" s="17" t="s">
        <v>120</v>
      </c>
      <c r="K43" s="36"/>
      <c r="L43" s="36"/>
      <c r="M43" s="36">
        <f t="shared" si="2"/>
        <v>7.5</v>
      </c>
      <c r="N43" s="36" t="s">
        <v>150</v>
      </c>
      <c r="O43" s="36" t="s">
        <v>150</v>
      </c>
    </row>
    <row r="44" spans="1:15" ht="14.25" customHeight="1" x14ac:dyDescent="0.25">
      <c r="A44" s="36" t="s">
        <v>151</v>
      </c>
      <c r="B44" s="17">
        <v>2019</v>
      </c>
      <c r="C44" s="36" t="s">
        <v>75</v>
      </c>
      <c r="D44" s="36" t="s">
        <v>75</v>
      </c>
      <c r="E44" s="36" t="s">
        <v>46</v>
      </c>
      <c r="F44" s="17" t="s">
        <v>114</v>
      </c>
      <c r="G44" s="39">
        <v>15</v>
      </c>
      <c r="H44" s="17" t="s">
        <v>114</v>
      </c>
      <c r="I44" s="17" t="s">
        <v>114</v>
      </c>
      <c r="J44" s="17" t="s">
        <v>99</v>
      </c>
      <c r="K44" s="36">
        <f t="shared" ref="K44:K45" si="9">IF(ISNUMBER(FIND("-", J44)), LEFT(J44, FIND("-", J44) - 1) * 1, J44 * 1)</f>
        <v>20</v>
      </c>
      <c r="L44" s="36">
        <f t="shared" ref="L44:L45" si="10">IF(ISNUMBER(FIND("-", J44)), MID(J44, FIND("-", J44) + 1, LEN(J44)) * 1, J44 * 1)</f>
        <v>40</v>
      </c>
      <c r="M44" s="36">
        <f t="shared" si="2"/>
        <v>30</v>
      </c>
      <c r="N44" s="36" t="s">
        <v>71</v>
      </c>
      <c r="O44" s="36" t="s">
        <v>94</v>
      </c>
    </row>
    <row r="45" spans="1:15" ht="14.25" customHeight="1" x14ac:dyDescent="0.25">
      <c r="A45" s="36" t="s">
        <v>152</v>
      </c>
      <c r="B45" s="17">
        <v>2018</v>
      </c>
      <c r="C45" s="36" t="s">
        <v>75</v>
      </c>
      <c r="D45" s="36" t="s">
        <v>75</v>
      </c>
      <c r="E45" s="36" t="s">
        <v>46</v>
      </c>
      <c r="F45" s="17" t="s">
        <v>114</v>
      </c>
      <c r="G45" s="39">
        <v>15</v>
      </c>
      <c r="H45" s="17" t="s">
        <v>114</v>
      </c>
      <c r="I45" s="17" t="s">
        <v>114</v>
      </c>
      <c r="J45" s="17" t="s">
        <v>99</v>
      </c>
      <c r="K45" s="36">
        <f t="shared" si="9"/>
        <v>20</v>
      </c>
      <c r="L45" s="36">
        <f t="shared" si="10"/>
        <v>40</v>
      </c>
      <c r="M45" s="36">
        <f t="shared" si="2"/>
        <v>30</v>
      </c>
      <c r="N45" s="36" t="s">
        <v>71</v>
      </c>
      <c r="O45" s="36" t="s">
        <v>94</v>
      </c>
    </row>
    <row r="46" spans="1:15" ht="14.25" customHeight="1" x14ac:dyDescent="0.25">
      <c r="A46" s="8"/>
      <c r="B46" s="9"/>
      <c r="C46" s="8"/>
      <c r="D46" s="8"/>
      <c r="E46" s="8"/>
      <c r="F46" s="9"/>
      <c r="G46" s="9"/>
      <c r="H46" s="8"/>
      <c r="I46" s="8"/>
      <c r="J46" s="15"/>
      <c r="K46" s="8"/>
      <c r="L46" s="8"/>
      <c r="M46" s="8"/>
      <c r="N46" s="8"/>
      <c r="O46" s="8"/>
    </row>
    <row r="47" spans="1:15" ht="14.25" customHeight="1" x14ac:dyDescent="0.25">
      <c r="A47" s="8"/>
      <c r="B47" s="9"/>
      <c r="C47" s="8"/>
      <c r="D47" s="8"/>
      <c r="E47" s="8"/>
      <c r="F47" s="9"/>
      <c r="G47" s="9"/>
      <c r="H47" s="8"/>
      <c r="I47" s="8"/>
      <c r="J47" s="15"/>
      <c r="K47" s="8"/>
      <c r="L47" s="8"/>
      <c r="M47" s="8"/>
      <c r="N47" s="8"/>
      <c r="O47" s="8"/>
    </row>
    <row r="48" spans="1:15" ht="14.25" customHeight="1" x14ac:dyDescent="0.25">
      <c r="A48" s="8"/>
      <c r="B48" s="9"/>
      <c r="C48" s="8"/>
      <c r="D48" s="8"/>
      <c r="E48" s="8"/>
      <c r="F48" s="9"/>
      <c r="G48" s="9"/>
      <c r="H48" s="8"/>
      <c r="I48" s="8"/>
      <c r="J48" s="15"/>
      <c r="K48" s="8"/>
      <c r="L48" s="8"/>
      <c r="M48" s="8"/>
      <c r="N48" s="8"/>
      <c r="O48" s="8"/>
    </row>
    <row r="49" spans="1:17" ht="14.25" customHeight="1" x14ac:dyDescent="0.25">
      <c r="A49" s="8"/>
      <c r="B49" s="9"/>
      <c r="C49" s="8"/>
      <c r="D49" s="8"/>
      <c r="E49" s="8"/>
      <c r="F49" s="9"/>
      <c r="G49" s="9"/>
      <c r="H49" s="8"/>
      <c r="I49" s="8"/>
      <c r="J49" s="15"/>
      <c r="K49" s="8"/>
      <c r="L49" s="8"/>
      <c r="M49" s="8"/>
      <c r="N49" s="8"/>
      <c r="O49" s="8"/>
    </row>
    <row r="50" spans="1:17" ht="14.25" customHeight="1" x14ac:dyDescent="0.25">
      <c r="A50" s="8"/>
      <c r="B50" s="9"/>
      <c r="C50" s="8"/>
      <c r="D50" s="8"/>
      <c r="E50" s="8"/>
      <c r="F50" s="9"/>
      <c r="G50" s="9"/>
      <c r="H50" s="8"/>
      <c r="I50" s="8"/>
      <c r="J50" s="15"/>
      <c r="K50" s="8"/>
      <c r="L50" s="8"/>
      <c r="M50" s="8"/>
      <c r="N50" s="8"/>
      <c r="O50" s="8"/>
      <c r="Q50" s="2"/>
    </row>
    <row r="51" spans="1:17" ht="14.25" customHeight="1" x14ac:dyDescent="0.25">
      <c r="A51" s="8"/>
      <c r="B51" s="9"/>
      <c r="C51" s="8"/>
      <c r="D51" s="8"/>
      <c r="E51" s="8"/>
      <c r="F51" s="9"/>
      <c r="G51" s="9"/>
      <c r="H51" s="8"/>
      <c r="I51" s="8"/>
      <c r="J51" s="15"/>
      <c r="K51" s="8"/>
      <c r="L51" s="8"/>
      <c r="M51" s="8"/>
      <c r="N51" s="8"/>
      <c r="O51" s="8"/>
      <c r="Q51" s="2"/>
    </row>
    <row r="52" spans="1:17" ht="14.25" customHeight="1" x14ac:dyDescent="0.25">
      <c r="A52" s="8"/>
      <c r="B52" s="9"/>
      <c r="C52" s="8"/>
      <c r="D52" s="8"/>
      <c r="E52" s="8"/>
      <c r="F52" s="9"/>
      <c r="G52" s="9"/>
      <c r="H52" s="8"/>
      <c r="I52" s="8"/>
      <c r="J52" s="15"/>
      <c r="K52" s="8"/>
      <c r="L52" s="8"/>
      <c r="M52" s="8"/>
      <c r="N52" s="8"/>
      <c r="O52" s="8"/>
      <c r="Q52" s="2"/>
    </row>
    <row r="53" spans="1:17" ht="14.25" customHeight="1" x14ac:dyDescent="0.25">
      <c r="A53" s="8"/>
      <c r="B53" s="9"/>
      <c r="C53" s="8"/>
      <c r="D53" s="8"/>
      <c r="E53" s="8"/>
      <c r="F53" s="9"/>
      <c r="G53" s="9"/>
      <c r="H53" s="8"/>
      <c r="I53" s="8"/>
      <c r="J53" s="15"/>
      <c r="K53" s="8"/>
      <c r="L53" s="8"/>
      <c r="M53" s="8"/>
      <c r="N53" s="8"/>
      <c r="O53" s="8"/>
    </row>
    <row r="54" spans="1:17" ht="14.25" customHeight="1" x14ac:dyDescent="0.25">
      <c r="A54" s="8"/>
      <c r="B54" s="9"/>
      <c r="C54" s="8"/>
      <c r="D54" s="8"/>
      <c r="E54" s="8"/>
      <c r="F54" s="9"/>
      <c r="G54" s="9"/>
      <c r="H54" s="8"/>
      <c r="I54" s="8"/>
      <c r="J54" s="15"/>
      <c r="K54" s="8"/>
      <c r="L54" s="8"/>
      <c r="M54" s="8"/>
      <c r="N54" s="8"/>
      <c r="O54" s="8"/>
    </row>
    <row r="55" spans="1:17" ht="14.25" customHeight="1" x14ac:dyDescent="0.25">
      <c r="A55" s="8"/>
      <c r="B55" s="9"/>
      <c r="C55" s="8"/>
      <c r="D55" s="8"/>
      <c r="E55" s="8"/>
      <c r="F55" s="9"/>
      <c r="G55" s="9"/>
      <c r="H55" s="8"/>
      <c r="I55" s="8"/>
      <c r="J55" s="15"/>
      <c r="K55" s="8"/>
      <c r="L55" s="8"/>
      <c r="M55" s="8"/>
      <c r="N55" s="8"/>
      <c r="O55" s="8"/>
    </row>
    <row r="56" spans="1:17" ht="14.25" customHeight="1" x14ac:dyDescent="0.25">
      <c r="A56" s="8"/>
      <c r="B56" s="9"/>
      <c r="C56" s="8"/>
      <c r="D56" s="8"/>
      <c r="E56" s="8"/>
      <c r="F56" s="9"/>
      <c r="G56" s="9"/>
      <c r="H56" s="8"/>
      <c r="I56" s="8"/>
      <c r="J56" s="15"/>
      <c r="K56" s="8"/>
      <c r="L56" s="8"/>
      <c r="M56" s="8"/>
      <c r="N56" s="8"/>
      <c r="O56" s="8"/>
    </row>
    <row r="57" spans="1:17" ht="14.25" customHeight="1" x14ac:dyDescent="0.25">
      <c r="A57" s="8"/>
      <c r="B57" s="9"/>
      <c r="C57" s="8"/>
      <c r="D57" s="8"/>
      <c r="E57" s="8"/>
      <c r="F57" s="9"/>
      <c r="G57" s="9"/>
      <c r="H57" s="8"/>
      <c r="I57" s="8"/>
      <c r="J57" s="15"/>
      <c r="K57" s="8"/>
      <c r="L57" s="8"/>
      <c r="M57" s="8"/>
      <c r="N57" s="8"/>
      <c r="O57" s="8"/>
    </row>
    <row r="58" spans="1:17" ht="14.25" customHeight="1" x14ac:dyDescent="0.25">
      <c r="A58" s="8"/>
      <c r="B58" s="9"/>
      <c r="C58" s="8"/>
      <c r="D58" s="8"/>
      <c r="E58" s="8"/>
      <c r="F58" s="9"/>
      <c r="G58" s="9"/>
      <c r="H58" s="8"/>
      <c r="I58" s="8"/>
      <c r="J58" s="15"/>
      <c r="K58" s="8"/>
      <c r="L58" s="8"/>
      <c r="M58" s="8"/>
      <c r="N58" s="8"/>
      <c r="O58" s="8"/>
    </row>
    <row r="59" spans="1:17" ht="14.25" customHeight="1" x14ac:dyDescent="0.25">
      <c r="A59" s="8"/>
      <c r="B59" s="9"/>
      <c r="C59" s="8"/>
      <c r="D59" s="8"/>
      <c r="E59" s="8"/>
      <c r="F59" s="9"/>
      <c r="G59" s="9"/>
      <c r="H59" s="8"/>
      <c r="I59" s="8"/>
      <c r="J59" s="15"/>
      <c r="K59" s="8"/>
      <c r="L59" s="8"/>
      <c r="M59" s="8"/>
      <c r="N59" s="8"/>
      <c r="O59" s="8"/>
    </row>
    <row r="60" spans="1:17" ht="14.25" customHeight="1" x14ac:dyDescent="0.25">
      <c r="A60" s="8"/>
      <c r="B60" s="9"/>
      <c r="C60" s="8"/>
      <c r="D60" s="8"/>
      <c r="E60" s="8"/>
      <c r="F60" s="9"/>
      <c r="G60" s="9"/>
      <c r="H60" s="8"/>
      <c r="I60" s="8"/>
      <c r="J60" s="15"/>
      <c r="K60" s="8"/>
      <c r="L60" s="8"/>
      <c r="M60" s="8"/>
      <c r="N60" s="8"/>
      <c r="O60" s="8"/>
    </row>
    <row r="61" spans="1:17" ht="14.25" customHeight="1" x14ac:dyDescent="0.25">
      <c r="A61" s="8"/>
      <c r="B61" s="9"/>
      <c r="C61" s="8"/>
      <c r="D61" s="8"/>
      <c r="E61" s="8"/>
      <c r="F61" s="9"/>
      <c r="G61" s="9"/>
      <c r="H61" s="8"/>
      <c r="I61" s="8"/>
      <c r="J61" s="15"/>
      <c r="K61" s="8"/>
      <c r="L61" s="8"/>
      <c r="M61" s="8"/>
      <c r="N61" s="8"/>
      <c r="O61" s="8"/>
    </row>
    <row r="62" spans="1:17" ht="14.25" customHeight="1" x14ac:dyDescent="0.25">
      <c r="A62" s="8"/>
      <c r="B62" s="9"/>
      <c r="C62" s="8"/>
      <c r="D62" s="8"/>
      <c r="E62" s="8"/>
      <c r="F62" s="9"/>
      <c r="G62" s="9"/>
      <c r="H62" s="8"/>
      <c r="I62" s="8"/>
      <c r="J62" s="15"/>
      <c r="K62" s="8"/>
      <c r="L62" s="8"/>
      <c r="M62" s="8"/>
      <c r="N62" s="8"/>
      <c r="O62" s="8"/>
    </row>
    <row r="63" spans="1:17" ht="14.25" customHeight="1" x14ac:dyDescent="0.25">
      <c r="A63" s="8"/>
      <c r="B63" s="9"/>
      <c r="C63" s="8"/>
      <c r="D63" s="8"/>
      <c r="E63" s="8"/>
      <c r="F63" s="9"/>
      <c r="G63" s="9"/>
      <c r="H63" s="8"/>
      <c r="I63" s="8"/>
      <c r="J63" s="15"/>
      <c r="K63" s="8"/>
      <c r="L63" s="8"/>
      <c r="M63" s="8"/>
      <c r="N63" s="8"/>
      <c r="O63" s="8"/>
    </row>
    <row r="64" spans="1:17" ht="14.25" customHeight="1" x14ac:dyDescent="0.25">
      <c r="A64" s="8"/>
      <c r="B64" s="9"/>
      <c r="C64" s="8"/>
      <c r="D64" s="8"/>
      <c r="E64" s="8"/>
      <c r="F64" s="9"/>
      <c r="G64" s="9"/>
      <c r="H64" s="8"/>
      <c r="I64" s="8"/>
      <c r="J64" s="15"/>
      <c r="K64" s="8"/>
      <c r="L64" s="8"/>
      <c r="M64" s="8"/>
      <c r="N64" s="8"/>
      <c r="O64" s="8"/>
    </row>
    <row r="65" spans="1:15" ht="14.25" customHeight="1" x14ac:dyDescent="0.25">
      <c r="A65" s="8"/>
      <c r="B65" s="9"/>
      <c r="C65" s="8"/>
      <c r="D65" s="8"/>
      <c r="E65" s="8"/>
      <c r="F65" s="9"/>
      <c r="G65" s="9"/>
      <c r="H65" s="8"/>
      <c r="I65" s="8"/>
      <c r="J65" s="15"/>
      <c r="K65" s="8"/>
      <c r="L65" s="8"/>
      <c r="M65" s="8"/>
      <c r="N65" s="8"/>
      <c r="O65" s="8"/>
    </row>
    <row r="66" spans="1:15" ht="14.25" customHeight="1" x14ac:dyDescent="0.25">
      <c r="A66" s="8"/>
      <c r="B66" s="9"/>
      <c r="C66" s="8"/>
      <c r="D66" s="8"/>
      <c r="E66" s="8"/>
      <c r="F66" s="9"/>
      <c r="G66" s="9"/>
      <c r="H66" s="8"/>
      <c r="I66" s="8"/>
      <c r="J66" s="15"/>
      <c r="K66" s="8"/>
      <c r="L66" s="8"/>
      <c r="M66" s="8"/>
      <c r="N66" s="8"/>
      <c r="O66" s="8"/>
    </row>
    <row r="67" spans="1:15" ht="14.25" customHeight="1" x14ac:dyDescent="0.25">
      <c r="A67" s="8"/>
      <c r="B67" s="9"/>
      <c r="C67" s="8"/>
      <c r="D67" s="8"/>
      <c r="E67" s="8"/>
      <c r="F67" s="9"/>
      <c r="G67" s="9"/>
      <c r="H67" s="8"/>
      <c r="I67" s="8"/>
      <c r="J67" s="15"/>
      <c r="K67" s="8"/>
      <c r="L67" s="8"/>
      <c r="M67" s="8"/>
      <c r="N67" s="8"/>
      <c r="O67" s="8"/>
    </row>
    <row r="68" spans="1:15" ht="14.25" customHeight="1" x14ac:dyDescent="0.25">
      <c r="A68" s="8"/>
      <c r="B68" s="9"/>
      <c r="C68" s="8"/>
      <c r="D68" s="8"/>
      <c r="E68" s="8"/>
      <c r="F68" s="9"/>
      <c r="G68" s="9"/>
      <c r="H68" s="8"/>
      <c r="I68" s="8"/>
      <c r="J68" s="15"/>
      <c r="K68" s="8"/>
      <c r="L68" s="8"/>
      <c r="M68" s="8"/>
      <c r="N68" s="8"/>
      <c r="O68" s="8"/>
    </row>
    <row r="69" spans="1:15" ht="14.25" customHeight="1" x14ac:dyDescent="0.25">
      <c r="A69" s="8"/>
      <c r="B69" s="9"/>
      <c r="C69" s="8"/>
      <c r="D69" s="8"/>
      <c r="E69" s="8"/>
      <c r="F69" s="9"/>
      <c r="G69" s="9"/>
      <c r="H69" s="8"/>
      <c r="I69" s="8"/>
      <c r="J69" s="15"/>
      <c r="K69" s="8"/>
      <c r="L69" s="8"/>
      <c r="M69" s="8"/>
      <c r="N69" s="8"/>
      <c r="O69" s="8"/>
    </row>
    <row r="70" spans="1:15" ht="14.25" customHeight="1" x14ac:dyDescent="0.25">
      <c r="A70" s="8"/>
      <c r="B70" s="9"/>
      <c r="C70" s="8"/>
      <c r="D70" s="8"/>
      <c r="E70" s="8"/>
      <c r="F70" s="9"/>
      <c r="G70" s="9"/>
      <c r="H70" s="8"/>
      <c r="I70" s="8"/>
      <c r="J70" s="15"/>
      <c r="K70" s="8"/>
      <c r="L70" s="8"/>
      <c r="M70" s="8"/>
      <c r="N70" s="8"/>
      <c r="O70" s="8"/>
    </row>
    <row r="71" spans="1:15" ht="14.25" customHeight="1" x14ac:dyDescent="0.25">
      <c r="A71" s="8"/>
      <c r="B71" s="9"/>
      <c r="C71" s="8"/>
      <c r="D71" s="8"/>
      <c r="E71" s="8"/>
      <c r="F71" s="9"/>
      <c r="G71" s="9"/>
      <c r="H71" s="8"/>
      <c r="I71" s="8"/>
      <c r="J71" s="15"/>
      <c r="K71" s="8"/>
      <c r="L71" s="8"/>
      <c r="M71" s="8"/>
      <c r="N71" s="8"/>
      <c r="O71" s="8"/>
    </row>
    <row r="72" spans="1:15" ht="14.25" customHeight="1" x14ac:dyDescent="0.25">
      <c r="A72" s="8"/>
      <c r="B72" s="9"/>
      <c r="C72" s="8"/>
      <c r="D72" s="8"/>
      <c r="E72" s="8"/>
      <c r="F72" s="9"/>
      <c r="G72" s="9"/>
      <c r="H72" s="8"/>
      <c r="I72" s="8"/>
      <c r="J72" s="15"/>
      <c r="K72" s="8"/>
      <c r="L72" s="8"/>
      <c r="M72" s="8"/>
      <c r="N72" s="8"/>
      <c r="O72" s="8"/>
    </row>
    <row r="73" spans="1:15" ht="14.25" customHeight="1" x14ac:dyDescent="0.25">
      <c r="A73" s="8"/>
      <c r="B73" s="9"/>
      <c r="C73" s="8"/>
      <c r="D73" s="8"/>
      <c r="E73" s="8"/>
      <c r="F73" s="9"/>
      <c r="G73" s="9"/>
      <c r="H73" s="8"/>
      <c r="I73" s="8"/>
      <c r="J73" s="15"/>
      <c r="K73" s="8"/>
      <c r="L73" s="8"/>
      <c r="M73" s="8"/>
      <c r="N73" s="8"/>
      <c r="O73" s="8"/>
    </row>
    <row r="74" spans="1:15" ht="14.25" customHeight="1" x14ac:dyDescent="0.25">
      <c r="A74" s="8"/>
      <c r="B74" s="9"/>
      <c r="C74" s="8"/>
      <c r="D74" s="8"/>
      <c r="E74" s="8"/>
      <c r="F74" s="9"/>
      <c r="G74" s="9"/>
      <c r="H74" s="8"/>
      <c r="I74" s="8"/>
      <c r="J74" s="15"/>
      <c r="K74" s="8"/>
      <c r="L74" s="8"/>
      <c r="M74" s="8"/>
      <c r="N74" s="8"/>
      <c r="O74" s="8"/>
    </row>
    <row r="75" spans="1:15" ht="14.25" customHeight="1" x14ac:dyDescent="0.25">
      <c r="A75" s="8"/>
      <c r="B75" s="9"/>
      <c r="C75" s="8"/>
      <c r="D75" s="8"/>
      <c r="E75" s="8"/>
      <c r="F75" s="9"/>
      <c r="G75" s="9"/>
      <c r="H75" s="8"/>
      <c r="I75" s="8"/>
      <c r="J75" s="15"/>
      <c r="K75" s="8"/>
      <c r="L75" s="8"/>
      <c r="M75" s="8"/>
      <c r="N75" s="8"/>
      <c r="O75" s="8"/>
    </row>
    <row r="76" spans="1:15" ht="14.25" customHeight="1" x14ac:dyDescent="0.25">
      <c r="A76" s="8"/>
      <c r="B76" s="9"/>
      <c r="C76" s="8"/>
      <c r="D76" s="8"/>
      <c r="E76" s="8"/>
      <c r="F76" s="9"/>
      <c r="G76" s="9"/>
      <c r="H76" s="8"/>
      <c r="I76" s="8"/>
      <c r="J76" s="15"/>
      <c r="K76" s="8"/>
      <c r="L76" s="8"/>
      <c r="M76" s="8"/>
      <c r="N76" s="8"/>
      <c r="O76" s="8"/>
    </row>
    <row r="77" spans="1:15" ht="14.25" customHeight="1" x14ac:dyDescent="0.25">
      <c r="A77" s="8"/>
      <c r="B77" s="9"/>
      <c r="C77" s="8"/>
      <c r="D77" s="8"/>
      <c r="E77" s="8"/>
      <c r="F77" s="9"/>
      <c r="G77" s="9"/>
      <c r="H77" s="8"/>
      <c r="I77" s="8"/>
      <c r="J77" s="15"/>
      <c r="K77" s="8"/>
      <c r="L77" s="8"/>
      <c r="M77" s="8"/>
      <c r="N77" s="8"/>
      <c r="O77" s="8"/>
    </row>
    <row r="78" spans="1:15" ht="14.25" customHeight="1" x14ac:dyDescent="0.25">
      <c r="A78" s="8"/>
      <c r="B78" s="9"/>
      <c r="C78" s="8"/>
      <c r="D78" s="8"/>
      <c r="E78" s="8"/>
      <c r="F78" s="9"/>
      <c r="G78" s="9"/>
      <c r="H78" s="8"/>
      <c r="I78" s="8"/>
      <c r="J78" s="15"/>
      <c r="K78" s="8"/>
      <c r="L78" s="8"/>
      <c r="M78" s="8"/>
      <c r="N78" s="8"/>
      <c r="O78" s="8"/>
    </row>
    <row r="79" spans="1:15" ht="14.25" customHeight="1" x14ac:dyDescent="0.25">
      <c r="A79" s="8"/>
      <c r="B79" s="9"/>
      <c r="C79" s="8"/>
      <c r="D79" s="8"/>
      <c r="E79" s="8"/>
      <c r="F79" s="9"/>
      <c r="G79" s="9"/>
      <c r="H79" s="8"/>
      <c r="I79" s="8"/>
      <c r="J79" s="15"/>
      <c r="K79" s="8"/>
      <c r="L79" s="8"/>
      <c r="M79" s="8"/>
      <c r="N79" s="8"/>
      <c r="O79" s="8"/>
    </row>
    <row r="80" spans="1:15" ht="14.25" customHeight="1" x14ac:dyDescent="0.25">
      <c r="A80" s="8"/>
      <c r="B80" s="9"/>
      <c r="C80" s="8"/>
      <c r="D80" s="8"/>
      <c r="E80" s="8"/>
      <c r="F80" s="9"/>
      <c r="G80" s="9"/>
      <c r="H80" s="8"/>
      <c r="I80" s="8"/>
      <c r="J80" s="15"/>
      <c r="K80" s="8"/>
      <c r="L80" s="8"/>
      <c r="M80" s="8"/>
      <c r="N80" s="8"/>
      <c r="O80" s="8"/>
    </row>
    <row r="81" spans="1:15" ht="14.25" customHeight="1" x14ac:dyDescent="0.25">
      <c r="A81" s="8"/>
      <c r="B81" s="9"/>
      <c r="C81" s="8"/>
      <c r="D81" s="8"/>
      <c r="E81" s="8"/>
      <c r="F81" s="9"/>
      <c r="G81" s="9"/>
      <c r="H81" s="8"/>
      <c r="I81" s="8"/>
      <c r="J81" s="15"/>
      <c r="K81" s="8"/>
      <c r="L81" s="8"/>
      <c r="M81" s="8"/>
      <c r="N81" s="8"/>
      <c r="O81" s="8"/>
    </row>
    <row r="82" spans="1:15" ht="14.25" customHeight="1" x14ac:dyDescent="0.25">
      <c r="A82" s="8"/>
      <c r="B82" s="9"/>
      <c r="C82" s="8"/>
      <c r="D82" s="8"/>
      <c r="E82" s="8"/>
      <c r="F82" s="9"/>
      <c r="G82" s="9"/>
      <c r="H82" s="8"/>
      <c r="I82" s="8"/>
      <c r="J82" s="15"/>
      <c r="K82" s="8"/>
      <c r="L82" s="8"/>
      <c r="M82" s="8"/>
      <c r="N82" s="8"/>
      <c r="O82" s="8"/>
    </row>
    <row r="83" spans="1:15" ht="14.25" customHeight="1" x14ac:dyDescent="0.25">
      <c r="A83" s="8"/>
      <c r="B83" s="9"/>
      <c r="C83" s="8"/>
      <c r="D83" s="8"/>
      <c r="E83" s="8"/>
      <c r="F83" s="9"/>
      <c r="G83" s="9"/>
      <c r="H83" s="8"/>
      <c r="I83" s="8"/>
      <c r="J83" s="15"/>
      <c r="K83" s="8"/>
      <c r="L83" s="8"/>
      <c r="M83" s="8"/>
      <c r="N83" s="8"/>
      <c r="O83" s="8"/>
    </row>
    <row r="84" spans="1:15" ht="14.25" customHeight="1" x14ac:dyDescent="0.25">
      <c r="A84" s="8"/>
      <c r="B84" s="9"/>
      <c r="C84" s="8"/>
      <c r="D84" s="8"/>
      <c r="E84" s="8"/>
      <c r="F84" s="9"/>
      <c r="G84" s="9"/>
      <c r="H84" s="8"/>
      <c r="I84" s="8"/>
      <c r="J84" s="15"/>
      <c r="K84" s="8"/>
      <c r="L84" s="8"/>
      <c r="M84" s="8"/>
      <c r="N84" s="8"/>
      <c r="O84" s="8"/>
    </row>
    <row r="85" spans="1:15" ht="14.25" customHeight="1" x14ac:dyDescent="0.25">
      <c r="A85" s="8"/>
      <c r="B85" s="9"/>
      <c r="C85" s="8"/>
      <c r="D85" s="8"/>
      <c r="E85" s="8"/>
      <c r="F85" s="9"/>
      <c r="G85" s="9"/>
      <c r="H85" s="8"/>
      <c r="I85" s="8"/>
      <c r="J85" s="15"/>
      <c r="K85" s="8"/>
      <c r="L85" s="8"/>
      <c r="M85" s="8"/>
      <c r="N85" s="8"/>
      <c r="O85" s="8"/>
    </row>
    <row r="86" spans="1:15" ht="14.25" customHeight="1" x14ac:dyDescent="0.25">
      <c r="A86" s="8"/>
      <c r="B86" s="9"/>
      <c r="C86" s="8"/>
      <c r="D86" s="8"/>
      <c r="E86" s="8"/>
      <c r="F86" s="9"/>
      <c r="G86" s="9"/>
      <c r="H86" s="8"/>
      <c r="I86" s="8"/>
      <c r="J86" s="15"/>
      <c r="K86" s="8"/>
      <c r="L86" s="8"/>
      <c r="M86" s="8"/>
      <c r="N86" s="8"/>
      <c r="O86" s="8"/>
    </row>
    <row r="87" spans="1:15" ht="14.25" customHeight="1" x14ac:dyDescent="0.25">
      <c r="A87" s="8"/>
      <c r="B87" s="9"/>
      <c r="C87" s="8"/>
      <c r="D87" s="8"/>
      <c r="E87" s="8"/>
      <c r="F87" s="9"/>
      <c r="G87" s="9"/>
      <c r="H87" s="8"/>
      <c r="I87" s="8"/>
      <c r="J87" s="15"/>
      <c r="K87" s="8"/>
      <c r="L87" s="8"/>
      <c r="M87" s="8"/>
      <c r="N87" s="8"/>
      <c r="O87" s="8"/>
    </row>
    <row r="88" spans="1:15" ht="14.25" customHeight="1" x14ac:dyDescent="0.25">
      <c r="A88" s="8"/>
      <c r="B88" s="9"/>
      <c r="C88" s="8"/>
      <c r="D88" s="8"/>
      <c r="E88" s="8"/>
      <c r="F88" s="9"/>
      <c r="G88" s="9"/>
      <c r="H88" s="8"/>
      <c r="I88" s="8"/>
      <c r="J88" s="15"/>
      <c r="K88" s="8"/>
      <c r="L88" s="8"/>
      <c r="M88" s="8"/>
      <c r="N88" s="8"/>
      <c r="O88" s="8"/>
    </row>
    <row r="89" spans="1:15" ht="14.25" customHeight="1" x14ac:dyDescent="0.25">
      <c r="A89" s="8"/>
      <c r="B89" s="9"/>
      <c r="C89" s="8"/>
      <c r="D89" s="8"/>
      <c r="E89" s="8"/>
      <c r="F89" s="9"/>
      <c r="G89" s="9"/>
      <c r="H89" s="8"/>
      <c r="I89" s="8"/>
      <c r="J89" s="15"/>
      <c r="K89" s="8"/>
      <c r="L89" s="8"/>
      <c r="M89" s="8"/>
      <c r="N89" s="8"/>
      <c r="O89" s="8"/>
    </row>
    <row r="90" spans="1:15" ht="14.25" customHeight="1" x14ac:dyDescent="0.25">
      <c r="A90" s="8"/>
      <c r="B90" s="9"/>
      <c r="C90" s="8"/>
      <c r="D90" s="8"/>
      <c r="E90" s="8"/>
      <c r="F90" s="9"/>
      <c r="G90" s="9"/>
      <c r="H90" s="8"/>
      <c r="I90" s="8"/>
      <c r="J90" s="15"/>
      <c r="K90" s="8"/>
      <c r="L90" s="8"/>
      <c r="M90" s="8"/>
      <c r="N90" s="8"/>
      <c r="O90" s="8"/>
    </row>
    <row r="91" spans="1:15" ht="14.25" customHeight="1" x14ac:dyDescent="0.25">
      <c r="A91" s="8"/>
      <c r="B91" s="9"/>
      <c r="C91" s="8"/>
      <c r="D91" s="8"/>
      <c r="E91" s="8"/>
      <c r="F91" s="9"/>
      <c r="G91" s="9"/>
      <c r="H91" s="8"/>
      <c r="I91" s="8"/>
      <c r="J91" s="15"/>
      <c r="K91" s="8"/>
      <c r="L91" s="8"/>
      <c r="M91" s="8"/>
      <c r="N91" s="8"/>
      <c r="O91" s="8"/>
    </row>
    <row r="92" spans="1:15" ht="14.25" customHeight="1" x14ac:dyDescent="0.25">
      <c r="A92" s="8"/>
      <c r="B92" s="9"/>
      <c r="C92" s="8"/>
      <c r="D92" s="8"/>
      <c r="E92" s="8"/>
      <c r="F92" s="9"/>
      <c r="G92" s="9"/>
      <c r="H92" s="8"/>
      <c r="I92" s="8"/>
      <c r="J92" s="15"/>
      <c r="K92" s="8"/>
      <c r="L92" s="8"/>
      <c r="M92" s="8"/>
      <c r="N92" s="8"/>
      <c r="O92" s="8"/>
    </row>
    <row r="93" spans="1:15" ht="14.25" customHeight="1" x14ac:dyDescent="0.25">
      <c r="A93" s="8"/>
      <c r="B93" s="9"/>
      <c r="C93" s="8"/>
      <c r="D93" s="8"/>
      <c r="E93" s="8"/>
      <c r="F93" s="9"/>
      <c r="G93" s="9"/>
      <c r="H93" s="8"/>
      <c r="I93" s="8"/>
      <c r="J93" s="15"/>
      <c r="K93" s="8"/>
      <c r="L93" s="8"/>
      <c r="M93" s="8"/>
      <c r="N93" s="8"/>
      <c r="O93" s="8"/>
    </row>
    <row r="94" spans="1:15" ht="14.25" customHeight="1" x14ac:dyDescent="0.25">
      <c r="A94" s="8"/>
      <c r="B94" s="9"/>
      <c r="C94" s="8"/>
      <c r="D94" s="8"/>
      <c r="E94" s="8"/>
      <c r="F94" s="9"/>
      <c r="G94" s="9"/>
      <c r="H94" s="8"/>
      <c r="I94" s="8"/>
      <c r="J94" s="15"/>
      <c r="K94" s="8"/>
      <c r="L94" s="8"/>
      <c r="M94" s="8"/>
      <c r="N94" s="8"/>
      <c r="O94" s="8"/>
    </row>
    <row r="95" spans="1:15" ht="14.25" customHeight="1" x14ac:dyDescent="0.25">
      <c r="A95" s="8"/>
      <c r="B95" s="9"/>
      <c r="C95" s="8"/>
      <c r="D95" s="8"/>
      <c r="E95" s="8"/>
      <c r="F95" s="9"/>
      <c r="G95" s="9"/>
      <c r="H95" s="8"/>
      <c r="I95" s="8"/>
      <c r="J95" s="15"/>
      <c r="K95" s="8"/>
      <c r="L95" s="8"/>
      <c r="M95" s="8"/>
      <c r="N95" s="8"/>
      <c r="O95" s="8"/>
    </row>
    <row r="96" spans="1:15" ht="14.25" customHeight="1" x14ac:dyDescent="0.25">
      <c r="A96" s="8"/>
      <c r="B96" s="9"/>
      <c r="C96" s="8"/>
      <c r="D96" s="8"/>
      <c r="E96" s="8"/>
      <c r="F96" s="9"/>
      <c r="G96" s="9"/>
      <c r="H96" s="8"/>
      <c r="I96" s="8"/>
      <c r="J96" s="15"/>
      <c r="K96" s="8"/>
      <c r="L96" s="8"/>
      <c r="M96" s="8"/>
      <c r="N96" s="8"/>
      <c r="O96" s="8"/>
    </row>
    <row r="97" spans="1:15" ht="14.25" customHeight="1" x14ac:dyDescent="0.25">
      <c r="A97" s="8"/>
      <c r="B97" s="9"/>
      <c r="C97" s="8"/>
      <c r="D97" s="8"/>
      <c r="E97" s="8"/>
      <c r="F97" s="9"/>
      <c r="G97" s="9"/>
      <c r="H97" s="8"/>
      <c r="I97" s="8"/>
      <c r="J97" s="15"/>
      <c r="K97" s="8"/>
      <c r="L97" s="8"/>
      <c r="M97" s="8"/>
      <c r="N97" s="8"/>
      <c r="O97" s="8"/>
    </row>
    <row r="98" spans="1:15" ht="14.25" customHeight="1" x14ac:dyDescent="0.25">
      <c r="A98" s="8"/>
      <c r="B98" s="9"/>
      <c r="C98" s="8"/>
      <c r="D98" s="8"/>
      <c r="E98" s="8"/>
      <c r="F98" s="9"/>
      <c r="G98" s="9"/>
      <c r="H98" s="8"/>
      <c r="I98" s="8"/>
      <c r="J98" s="15"/>
      <c r="K98" s="8"/>
      <c r="L98" s="8"/>
      <c r="M98" s="8"/>
      <c r="N98" s="8"/>
      <c r="O98" s="8"/>
    </row>
    <row r="99" spans="1:15" ht="14.25" customHeight="1" x14ac:dyDescent="0.25">
      <c r="A99" s="8"/>
      <c r="B99" s="9"/>
      <c r="C99" s="8"/>
      <c r="D99" s="8"/>
      <c r="E99" s="8"/>
      <c r="F99" s="9"/>
      <c r="G99" s="9"/>
      <c r="H99" s="8"/>
      <c r="I99" s="8"/>
      <c r="J99" s="15"/>
      <c r="K99" s="8"/>
      <c r="L99" s="8"/>
      <c r="M99" s="8"/>
      <c r="N99" s="8"/>
      <c r="O99" s="8"/>
    </row>
    <row r="100" spans="1:15" ht="14.25" customHeight="1" x14ac:dyDescent="0.25">
      <c r="A100" s="8"/>
      <c r="B100" s="9"/>
      <c r="C100" s="8"/>
      <c r="D100" s="8"/>
      <c r="E100" s="8"/>
      <c r="F100" s="9"/>
      <c r="G100" s="9"/>
      <c r="H100" s="8"/>
      <c r="I100" s="8"/>
      <c r="J100" s="15"/>
      <c r="K100" s="8"/>
      <c r="L100" s="8"/>
      <c r="M100" s="8"/>
      <c r="N100" s="8"/>
      <c r="O100" s="8"/>
    </row>
    <row r="101" spans="1:15" ht="14.25" customHeight="1" x14ac:dyDescent="0.25">
      <c r="A101" s="8"/>
      <c r="B101" s="9"/>
      <c r="C101" s="8"/>
      <c r="D101" s="8"/>
      <c r="E101" s="8"/>
      <c r="F101" s="9"/>
      <c r="G101" s="9"/>
      <c r="H101" s="8"/>
      <c r="I101" s="8"/>
      <c r="J101" s="15"/>
      <c r="K101" s="8"/>
      <c r="L101" s="8"/>
      <c r="M101" s="8"/>
      <c r="N101" s="8"/>
      <c r="O101" s="8"/>
    </row>
    <row r="102" spans="1:15" ht="14.25" customHeight="1" x14ac:dyDescent="0.25">
      <c r="A102" s="8"/>
      <c r="B102" s="9"/>
      <c r="C102" s="8"/>
      <c r="D102" s="8"/>
      <c r="E102" s="8"/>
      <c r="F102" s="9"/>
      <c r="G102" s="9"/>
      <c r="H102" s="8"/>
      <c r="I102" s="8"/>
      <c r="J102" s="15"/>
      <c r="K102" s="8"/>
      <c r="L102" s="8"/>
      <c r="M102" s="8"/>
      <c r="N102" s="8"/>
      <c r="O102" s="8"/>
    </row>
    <row r="103" spans="1:15" ht="14.25" customHeight="1" x14ac:dyDescent="0.25">
      <c r="A103" s="8"/>
      <c r="B103" s="9"/>
      <c r="C103" s="8"/>
      <c r="D103" s="8"/>
      <c r="E103" s="8"/>
      <c r="F103" s="9"/>
      <c r="G103" s="9"/>
      <c r="H103" s="8"/>
      <c r="I103" s="8"/>
      <c r="J103" s="15"/>
      <c r="K103" s="8"/>
      <c r="L103" s="8"/>
      <c r="M103" s="8"/>
      <c r="N103" s="8"/>
      <c r="O103" s="8"/>
    </row>
    <row r="104" spans="1:15" ht="14.25" customHeight="1" x14ac:dyDescent="0.25">
      <c r="A104" s="8"/>
      <c r="B104" s="9"/>
      <c r="C104" s="8"/>
      <c r="D104" s="8"/>
      <c r="E104" s="8"/>
      <c r="F104" s="9"/>
      <c r="G104" s="9"/>
      <c r="H104" s="8"/>
      <c r="I104" s="8"/>
      <c r="J104" s="15"/>
      <c r="K104" s="8"/>
      <c r="L104" s="8"/>
      <c r="M104" s="8"/>
      <c r="N104" s="8"/>
      <c r="O104" s="8"/>
    </row>
    <row r="105" spans="1:15" ht="14.25" customHeight="1" x14ac:dyDescent="0.25">
      <c r="A105" s="8"/>
      <c r="B105" s="9"/>
      <c r="C105" s="8"/>
      <c r="D105" s="8"/>
      <c r="E105" s="8"/>
      <c r="F105" s="9"/>
      <c r="G105" s="9"/>
      <c r="H105" s="8"/>
      <c r="I105" s="8"/>
      <c r="J105" s="15"/>
      <c r="K105" s="8"/>
      <c r="L105" s="8"/>
      <c r="M105" s="8"/>
      <c r="N105" s="8"/>
      <c r="O105" s="8"/>
    </row>
    <row r="106" spans="1:15" ht="14.25" customHeight="1" x14ac:dyDescent="0.25">
      <c r="A106" s="8"/>
      <c r="B106" s="9"/>
      <c r="C106" s="8"/>
      <c r="D106" s="8"/>
      <c r="E106" s="8"/>
      <c r="F106" s="9"/>
      <c r="G106" s="9"/>
      <c r="H106" s="8"/>
      <c r="I106" s="8"/>
      <c r="J106" s="15"/>
      <c r="K106" s="8"/>
      <c r="L106" s="8"/>
      <c r="M106" s="8"/>
      <c r="N106" s="8"/>
      <c r="O106" s="8"/>
    </row>
    <row r="107" spans="1:15" ht="14.25" customHeight="1" x14ac:dyDescent="0.25">
      <c r="A107" s="8"/>
      <c r="B107" s="9"/>
      <c r="C107" s="8"/>
      <c r="D107" s="8"/>
      <c r="E107" s="8"/>
      <c r="F107" s="9"/>
      <c r="G107" s="9"/>
      <c r="H107" s="8"/>
      <c r="I107" s="8"/>
      <c r="J107" s="15"/>
      <c r="K107" s="8"/>
      <c r="L107" s="8"/>
      <c r="M107" s="8"/>
      <c r="N107" s="8"/>
      <c r="O107" s="8"/>
    </row>
    <row r="108" spans="1:15" ht="14.25" customHeight="1" x14ac:dyDescent="0.25">
      <c r="A108" s="8"/>
      <c r="B108" s="9"/>
      <c r="C108" s="8"/>
      <c r="D108" s="8"/>
      <c r="E108" s="8"/>
      <c r="F108" s="9"/>
      <c r="G108" s="9"/>
      <c r="H108" s="8"/>
      <c r="I108" s="8"/>
      <c r="J108" s="15"/>
      <c r="K108" s="8"/>
      <c r="L108" s="8"/>
      <c r="M108" s="8"/>
      <c r="N108" s="8"/>
      <c r="O108" s="8"/>
    </row>
    <row r="109" spans="1:15" ht="14.25" customHeight="1" x14ac:dyDescent="0.25">
      <c r="A109" s="8"/>
      <c r="B109" s="9"/>
      <c r="C109" s="8"/>
      <c r="D109" s="8"/>
      <c r="E109" s="8"/>
      <c r="F109" s="9"/>
      <c r="G109" s="9"/>
      <c r="H109" s="8"/>
      <c r="I109" s="8"/>
      <c r="J109" s="15"/>
      <c r="K109" s="8"/>
      <c r="L109" s="8"/>
      <c r="M109" s="8"/>
      <c r="N109" s="8"/>
      <c r="O109" s="8"/>
    </row>
    <row r="110" spans="1:15" ht="14.25" customHeight="1" x14ac:dyDescent="0.25">
      <c r="A110" s="8"/>
      <c r="B110" s="9"/>
      <c r="C110" s="8"/>
      <c r="D110" s="8"/>
      <c r="E110" s="8"/>
      <c r="F110" s="9"/>
      <c r="G110" s="9"/>
      <c r="H110" s="8"/>
      <c r="I110" s="8"/>
      <c r="J110" s="15"/>
      <c r="K110" s="8"/>
      <c r="L110" s="8"/>
      <c r="M110" s="8"/>
      <c r="N110" s="8"/>
      <c r="O110" s="8"/>
    </row>
    <row r="111" spans="1:15" ht="14.25" customHeight="1" x14ac:dyDescent="0.25">
      <c r="A111" s="8"/>
      <c r="B111" s="9"/>
      <c r="C111" s="8"/>
      <c r="D111" s="8"/>
      <c r="E111" s="8"/>
      <c r="F111" s="9"/>
      <c r="G111" s="9"/>
      <c r="H111" s="8"/>
      <c r="I111" s="8"/>
      <c r="J111" s="15"/>
      <c r="K111" s="8"/>
      <c r="L111" s="8"/>
      <c r="M111" s="8"/>
      <c r="N111" s="8"/>
      <c r="O111" s="8"/>
    </row>
    <row r="112" spans="1:15" ht="14.25" customHeight="1" x14ac:dyDescent="0.25">
      <c r="A112" s="8"/>
      <c r="B112" s="9"/>
      <c r="C112" s="8"/>
      <c r="D112" s="8"/>
      <c r="E112" s="8"/>
      <c r="F112" s="9"/>
      <c r="G112" s="9"/>
      <c r="H112" s="8"/>
      <c r="I112" s="8"/>
      <c r="J112" s="15"/>
      <c r="K112" s="8"/>
      <c r="L112" s="8"/>
      <c r="M112" s="8"/>
      <c r="N112" s="8"/>
      <c r="O112" s="8"/>
    </row>
    <row r="113" spans="1:15" ht="14.25" customHeight="1" x14ac:dyDescent="0.25">
      <c r="A113" s="8"/>
      <c r="B113" s="9"/>
      <c r="C113" s="8"/>
      <c r="D113" s="8"/>
      <c r="E113" s="8"/>
      <c r="F113" s="9"/>
      <c r="G113" s="9"/>
      <c r="H113" s="8"/>
      <c r="I113" s="8"/>
      <c r="J113" s="15"/>
      <c r="K113" s="8"/>
      <c r="L113" s="8"/>
      <c r="M113" s="8"/>
      <c r="N113" s="8"/>
      <c r="O113" s="8"/>
    </row>
    <row r="114" spans="1:15" ht="14.25" customHeight="1" x14ac:dyDescent="0.25">
      <c r="A114" s="8"/>
      <c r="B114" s="9"/>
      <c r="C114" s="8"/>
      <c r="D114" s="8"/>
      <c r="E114" s="8"/>
      <c r="F114" s="9"/>
      <c r="G114" s="9"/>
      <c r="H114" s="8"/>
      <c r="I114" s="8"/>
      <c r="J114" s="15"/>
      <c r="K114" s="8"/>
      <c r="L114" s="8"/>
      <c r="M114" s="8"/>
      <c r="N114" s="8"/>
      <c r="O114" s="8"/>
    </row>
    <row r="115" spans="1:15" ht="14.25" customHeight="1" x14ac:dyDescent="0.25">
      <c r="A115" s="8"/>
      <c r="B115" s="9"/>
      <c r="C115" s="8"/>
      <c r="D115" s="8"/>
      <c r="E115" s="8"/>
      <c r="F115" s="9"/>
      <c r="G115" s="9"/>
      <c r="H115" s="8"/>
      <c r="I115" s="8"/>
      <c r="J115" s="15"/>
      <c r="K115" s="8"/>
      <c r="L115" s="8"/>
      <c r="M115" s="8"/>
      <c r="N115" s="8"/>
      <c r="O115" s="8"/>
    </row>
    <row r="116" spans="1:15" ht="14.25" customHeight="1" x14ac:dyDescent="0.25">
      <c r="A116" s="8"/>
      <c r="B116" s="9"/>
      <c r="C116" s="8"/>
      <c r="D116" s="8"/>
      <c r="E116" s="8"/>
      <c r="F116" s="9"/>
      <c r="G116" s="9"/>
      <c r="H116" s="8"/>
      <c r="I116" s="8"/>
      <c r="J116" s="15"/>
      <c r="K116" s="8"/>
      <c r="L116" s="8"/>
      <c r="M116" s="8"/>
      <c r="N116" s="8"/>
      <c r="O116" s="8"/>
    </row>
    <row r="117" spans="1:15" ht="14.25" customHeight="1" x14ac:dyDescent="0.25">
      <c r="A117" s="8"/>
      <c r="B117" s="9"/>
      <c r="C117" s="8"/>
      <c r="D117" s="8"/>
      <c r="E117" s="8"/>
      <c r="F117" s="9"/>
      <c r="G117" s="9"/>
      <c r="H117" s="8"/>
      <c r="I117" s="8"/>
      <c r="J117" s="15"/>
      <c r="K117" s="8"/>
      <c r="L117" s="8"/>
      <c r="M117" s="8"/>
      <c r="N117" s="8"/>
      <c r="O117" s="8"/>
    </row>
    <row r="118" spans="1:15" ht="14.25" customHeight="1" x14ac:dyDescent="0.25">
      <c r="A118" s="8"/>
      <c r="B118" s="9"/>
      <c r="C118" s="8"/>
      <c r="D118" s="8"/>
      <c r="E118" s="8"/>
      <c r="F118" s="9"/>
      <c r="G118" s="9"/>
      <c r="H118" s="8"/>
      <c r="I118" s="8"/>
      <c r="J118" s="15"/>
      <c r="K118" s="8"/>
      <c r="L118" s="8"/>
      <c r="M118" s="8"/>
      <c r="N118" s="8"/>
      <c r="O118" s="8"/>
    </row>
    <row r="119" spans="1:15" ht="14.25" customHeight="1" x14ac:dyDescent="0.25">
      <c r="A119" s="8"/>
      <c r="B119" s="9"/>
      <c r="C119" s="8"/>
      <c r="D119" s="8"/>
      <c r="E119" s="8"/>
      <c r="F119" s="9"/>
      <c r="G119" s="9"/>
      <c r="H119" s="8"/>
      <c r="I119" s="8"/>
      <c r="J119" s="15"/>
      <c r="K119" s="8"/>
      <c r="L119" s="8"/>
      <c r="M119" s="8"/>
      <c r="N119" s="8"/>
      <c r="O119" s="8"/>
    </row>
    <row r="120" spans="1:15" ht="14.25" customHeight="1" x14ac:dyDescent="0.25">
      <c r="A120" s="8"/>
      <c r="B120" s="9"/>
      <c r="C120" s="8"/>
      <c r="D120" s="8"/>
      <c r="E120" s="8"/>
      <c r="F120" s="9"/>
      <c r="G120" s="9"/>
      <c r="H120" s="8"/>
      <c r="I120" s="8"/>
      <c r="J120" s="15"/>
      <c r="K120" s="8"/>
      <c r="L120" s="8"/>
      <c r="M120" s="8"/>
      <c r="N120" s="8"/>
      <c r="O120" s="8"/>
    </row>
    <row r="121" spans="1:15" ht="14.25" customHeight="1" x14ac:dyDescent="0.25">
      <c r="A121" s="8"/>
      <c r="B121" s="9"/>
      <c r="C121" s="8"/>
      <c r="D121" s="8"/>
      <c r="E121" s="8"/>
      <c r="F121" s="9"/>
      <c r="G121" s="9"/>
      <c r="H121" s="8"/>
      <c r="I121" s="8"/>
      <c r="J121" s="15"/>
      <c r="K121" s="8"/>
      <c r="L121" s="8"/>
      <c r="M121" s="8"/>
      <c r="N121" s="8"/>
      <c r="O121" s="8"/>
    </row>
    <row r="122" spans="1:15" ht="14.25" customHeight="1" x14ac:dyDescent="0.25">
      <c r="A122" s="8"/>
      <c r="B122" s="9"/>
      <c r="C122" s="8"/>
      <c r="D122" s="8"/>
      <c r="E122" s="8"/>
      <c r="F122" s="9"/>
      <c r="G122" s="9"/>
      <c r="H122" s="8"/>
      <c r="I122" s="8"/>
      <c r="J122" s="15"/>
      <c r="K122" s="8"/>
      <c r="L122" s="8"/>
      <c r="M122" s="8"/>
      <c r="N122" s="8"/>
      <c r="O122" s="8"/>
    </row>
    <row r="123" spans="1:15" ht="14.25" customHeight="1" x14ac:dyDescent="0.25">
      <c r="A123" s="8"/>
      <c r="B123" s="9"/>
      <c r="C123" s="8"/>
      <c r="D123" s="8"/>
      <c r="E123" s="8"/>
      <c r="F123" s="9"/>
      <c r="G123" s="9"/>
      <c r="H123" s="8"/>
      <c r="I123" s="8"/>
      <c r="J123" s="15"/>
      <c r="K123" s="8"/>
      <c r="L123" s="8"/>
      <c r="M123" s="8"/>
      <c r="N123" s="8"/>
      <c r="O123" s="8"/>
    </row>
    <row r="124" spans="1:15" ht="14.25" customHeight="1" x14ac:dyDescent="0.25">
      <c r="A124" s="8"/>
      <c r="B124" s="9"/>
      <c r="C124" s="8"/>
      <c r="D124" s="8"/>
      <c r="E124" s="8"/>
      <c r="F124" s="9"/>
      <c r="G124" s="9"/>
      <c r="H124" s="8"/>
      <c r="I124" s="8"/>
      <c r="J124" s="15"/>
      <c r="K124" s="8"/>
      <c r="L124" s="8"/>
      <c r="M124" s="8"/>
      <c r="N124" s="8"/>
      <c r="O124" s="8"/>
    </row>
    <row r="125" spans="1:15" ht="14.25" customHeight="1" x14ac:dyDescent="0.25">
      <c r="A125" s="8"/>
      <c r="B125" s="9"/>
      <c r="C125" s="8"/>
      <c r="D125" s="8"/>
      <c r="E125" s="8"/>
      <c r="F125" s="9"/>
      <c r="G125" s="9"/>
      <c r="H125" s="8"/>
      <c r="I125" s="8"/>
      <c r="J125" s="15"/>
      <c r="K125" s="8"/>
      <c r="L125" s="8"/>
      <c r="M125" s="8"/>
      <c r="N125" s="8"/>
      <c r="O125" s="8"/>
    </row>
    <row r="126" spans="1:15" ht="14.25" customHeight="1" x14ac:dyDescent="0.25">
      <c r="A126" s="8"/>
      <c r="B126" s="9"/>
      <c r="C126" s="8"/>
      <c r="D126" s="8"/>
      <c r="E126" s="8"/>
      <c r="F126" s="9"/>
      <c r="G126" s="9"/>
      <c r="H126" s="8"/>
      <c r="I126" s="8"/>
      <c r="J126" s="15"/>
      <c r="K126" s="8"/>
      <c r="L126" s="8"/>
      <c r="M126" s="8"/>
      <c r="N126" s="8"/>
      <c r="O126" s="8"/>
    </row>
    <row r="127" spans="1:15" ht="14.25" customHeight="1" x14ac:dyDescent="0.25">
      <c r="A127" s="8"/>
      <c r="B127" s="9"/>
      <c r="C127" s="8"/>
      <c r="D127" s="8"/>
      <c r="E127" s="8"/>
      <c r="F127" s="9"/>
      <c r="G127" s="9"/>
      <c r="H127" s="8"/>
      <c r="I127" s="8"/>
      <c r="J127" s="15"/>
      <c r="K127" s="8"/>
      <c r="L127" s="8"/>
      <c r="M127" s="8"/>
      <c r="N127" s="8"/>
      <c r="O127" s="8"/>
    </row>
    <row r="128" spans="1:15" ht="14.25" customHeight="1" x14ac:dyDescent="0.25">
      <c r="A128" s="8"/>
      <c r="B128" s="9"/>
      <c r="C128" s="8"/>
      <c r="D128" s="8"/>
      <c r="E128" s="8"/>
      <c r="F128" s="9"/>
      <c r="G128" s="9"/>
      <c r="H128" s="8"/>
      <c r="I128" s="8"/>
      <c r="J128" s="15"/>
      <c r="K128" s="8"/>
      <c r="L128" s="8"/>
      <c r="M128" s="8"/>
      <c r="N128" s="8"/>
      <c r="O128" s="8"/>
    </row>
    <row r="129" spans="1:15" ht="14.25" customHeight="1" x14ac:dyDescent="0.25">
      <c r="A129" s="8"/>
      <c r="B129" s="9"/>
      <c r="C129" s="8"/>
      <c r="D129" s="8"/>
      <c r="E129" s="8"/>
      <c r="F129" s="9"/>
      <c r="G129" s="9"/>
      <c r="H129" s="8"/>
      <c r="I129" s="8"/>
      <c r="J129" s="15"/>
      <c r="K129" s="8"/>
      <c r="L129" s="8"/>
      <c r="M129" s="8"/>
      <c r="N129" s="8"/>
      <c r="O129" s="8"/>
    </row>
    <row r="130" spans="1:15" ht="14.25" customHeight="1" x14ac:dyDescent="0.25">
      <c r="A130" s="8"/>
      <c r="B130" s="9"/>
      <c r="C130" s="8"/>
      <c r="D130" s="8"/>
      <c r="E130" s="8"/>
      <c r="F130" s="9"/>
      <c r="G130" s="9"/>
      <c r="H130" s="8"/>
      <c r="I130" s="8"/>
      <c r="J130" s="15"/>
      <c r="K130" s="8"/>
      <c r="L130" s="8"/>
      <c r="M130" s="8"/>
      <c r="N130" s="8"/>
      <c r="O130" s="8"/>
    </row>
    <row r="131" spans="1:15" ht="14.25" customHeight="1" x14ac:dyDescent="0.25">
      <c r="A131" s="8"/>
      <c r="B131" s="9"/>
      <c r="C131" s="8"/>
      <c r="D131" s="8"/>
      <c r="E131" s="8"/>
      <c r="F131" s="9"/>
      <c r="G131" s="9"/>
      <c r="H131" s="8"/>
      <c r="I131" s="8"/>
      <c r="J131" s="15"/>
      <c r="K131" s="8"/>
      <c r="L131" s="8"/>
      <c r="M131" s="8"/>
      <c r="N131" s="8"/>
      <c r="O131" s="8"/>
    </row>
    <row r="132" spans="1:15" ht="14.25" customHeight="1" x14ac:dyDescent="0.25">
      <c r="A132" s="8"/>
      <c r="B132" s="9"/>
      <c r="C132" s="8"/>
      <c r="D132" s="8"/>
      <c r="E132" s="8"/>
      <c r="F132" s="9"/>
      <c r="G132" s="9"/>
      <c r="H132" s="8"/>
      <c r="I132" s="8"/>
      <c r="J132" s="15"/>
      <c r="K132" s="8"/>
      <c r="L132" s="8"/>
      <c r="M132" s="8"/>
      <c r="N132" s="8"/>
      <c r="O132" s="8"/>
    </row>
    <row r="133" spans="1:15" ht="14.25" customHeight="1" x14ac:dyDescent="0.25">
      <c r="A133" s="8"/>
      <c r="B133" s="9"/>
      <c r="C133" s="8"/>
      <c r="D133" s="8"/>
      <c r="E133" s="8"/>
      <c r="F133" s="9"/>
      <c r="G133" s="9"/>
      <c r="H133" s="8"/>
      <c r="I133" s="8"/>
      <c r="J133" s="15"/>
      <c r="K133" s="8"/>
      <c r="L133" s="8"/>
      <c r="M133" s="8"/>
      <c r="N133" s="8"/>
      <c r="O133" s="8"/>
    </row>
    <row r="134" spans="1:15" ht="14.25" customHeight="1" x14ac:dyDescent="0.25">
      <c r="A134" s="8"/>
      <c r="B134" s="9"/>
      <c r="C134" s="8"/>
      <c r="D134" s="8"/>
      <c r="E134" s="8"/>
      <c r="F134" s="9"/>
      <c r="G134" s="9"/>
      <c r="H134" s="8"/>
      <c r="I134" s="8"/>
      <c r="J134" s="15"/>
      <c r="K134" s="8"/>
      <c r="L134" s="8"/>
      <c r="M134" s="8"/>
      <c r="N134" s="8"/>
      <c r="O134" s="8"/>
    </row>
    <row r="135" spans="1:15" ht="14.25" customHeight="1" x14ac:dyDescent="0.25">
      <c r="A135" s="8"/>
      <c r="B135" s="9"/>
      <c r="C135" s="8"/>
      <c r="D135" s="8"/>
      <c r="E135" s="8"/>
      <c r="F135" s="9"/>
      <c r="G135" s="9"/>
      <c r="H135" s="8"/>
      <c r="I135" s="8"/>
      <c r="J135" s="15"/>
      <c r="K135" s="8"/>
      <c r="L135" s="8"/>
      <c r="M135" s="8"/>
      <c r="N135" s="8"/>
      <c r="O135" s="8"/>
    </row>
    <row r="136" spans="1:15" ht="14.25" customHeight="1" x14ac:dyDescent="0.25">
      <c r="A136" s="8"/>
      <c r="B136" s="9"/>
      <c r="C136" s="8"/>
      <c r="D136" s="8"/>
      <c r="E136" s="8"/>
      <c r="F136" s="9"/>
      <c r="G136" s="9"/>
      <c r="H136" s="8"/>
      <c r="I136" s="8"/>
      <c r="J136" s="15"/>
      <c r="K136" s="8"/>
      <c r="L136" s="8"/>
      <c r="M136" s="8"/>
      <c r="N136" s="8"/>
      <c r="O136" s="8"/>
    </row>
    <row r="137" spans="1:15" ht="14.25" customHeight="1" x14ac:dyDescent="0.25">
      <c r="A137" s="8"/>
      <c r="B137" s="9"/>
      <c r="C137" s="8"/>
      <c r="D137" s="8"/>
      <c r="E137" s="8"/>
      <c r="F137" s="9"/>
      <c r="G137" s="9"/>
      <c r="H137" s="8"/>
      <c r="I137" s="8"/>
      <c r="J137" s="15"/>
      <c r="K137" s="8"/>
      <c r="L137" s="8"/>
      <c r="M137" s="8"/>
      <c r="N137" s="8"/>
      <c r="O137" s="8"/>
    </row>
    <row r="138" spans="1:15" ht="14.25" customHeight="1" x14ac:dyDescent="0.25">
      <c r="A138" s="8"/>
      <c r="B138" s="9"/>
      <c r="C138" s="8"/>
      <c r="D138" s="8"/>
      <c r="E138" s="8"/>
      <c r="F138" s="9"/>
      <c r="G138" s="9"/>
      <c r="H138" s="8"/>
      <c r="I138" s="8"/>
      <c r="J138" s="15"/>
      <c r="K138" s="8"/>
      <c r="L138" s="8"/>
      <c r="M138" s="8"/>
      <c r="N138" s="8"/>
      <c r="O138" s="8"/>
    </row>
    <row r="139" spans="1:15" ht="14.25" customHeight="1" x14ac:dyDescent="0.25">
      <c r="A139" s="8"/>
      <c r="B139" s="9"/>
      <c r="C139" s="8"/>
      <c r="D139" s="8"/>
      <c r="E139" s="8"/>
      <c r="F139" s="9"/>
      <c r="G139" s="9"/>
      <c r="H139" s="8"/>
      <c r="I139" s="8"/>
      <c r="J139" s="15"/>
      <c r="K139" s="8"/>
      <c r="L139" s="8"/>
      <c r="M139" s="8"/>
      <c r="N139" s="8"/>
      <c r="O139" s="8"/>
    </row>
    <row r="140" spans="1:15" ht="14.25" customHeight="1" x14ac:dyDescent="0.25">
      <c r="A140" s="8"/>
      <c r="B140" s="9"/>
      <c r="C140" s="8"/>
      <c r="D140" s="8"/>
      <c r="E140" s="8"/>
      <c r="F140" s="9"/>
      <c r="G140" s="9"/>
      <c r="H140" s="8"/>
      <c r="I140" s="8"/>
      <c r="J140" s="15"/>
      <c r="K140" s="8"/>
      <c r="L140" s="8"/>
      <c r="M140" s="8"/>
      <c r="N140" s="8"/>
      <c r="O140" s="8"/>
    </row>
    <row r="141" spans="1:15" ht="14.25" customHeight="1" x14ac:dyDescent="0.25">
      <c r="A141" s="8"/>
      <c r="B141" s="9"/>
      <c r="C141" s="8"/>
      <c r="D141" s="8"/>
      <c r="E141" s="8"/>
      <c r="F141" s="9"/>
      <c r="G141" s="9"/>
      <c r="H141" s="8"/>
      <c r="I141" s="8"/>
      <c r="J141" s="15"/>
      <c r="K141" s="8"/>
      <c r="L141" s="8"/>
      <c r="M141" s="8"/>
      <c r="N141" s="8"/>
      <c r="O141" s="8"/>
    </row>
    <row r="142" spans="1:15" ht="14.25" customHeight="1" x14ac:dyDescent="0.25">
      <c r="A142" s="8"/>
      <c r="B142" s="9"/>
      <c r="C142" s="8"/>
      <c r="D142" s="8"/>
      <c r="E142" s="8"/>
      <c r="F142" s="9"/>
      <c r="G142" s="9"/>
      <c r="H142" s="8"/>
      <c r="I142" s="8"/>
      <c r="J142" s="15"/>
      <c r="K142" s="8"/>
      <c r="L142" s="8"/>
      <c r="M142" s="8"/>
      <c r="N142" s="8"/>
      <c r="O142" s="8"/>
    </row>
    <row r="143" spans="1:15" ht="14.25" customHeight="1" x14ac:dyDescent="0.25">
      <c r="A143" s="8"/>
      <c r="B143" s="9"/>
      <c r="C143" s="8"/>
      <c r="D143" s="8"/>
      <c r="E143" s="8"/>
      <c r="F143" s="9"/>
      <c r="G143" s="9"/>
      <c r="H143" s="8"/>
      <c r="I143" s="8"/>
      <c r="J143" s="15"/>
      <c r="K143" s="8"/>
      <c r="L143" s="8"/>
      <c r="M143" s="8"/>
      <c r="N143" s="8"/>
      <c r="O143" s="8"/>
    </row>
    <row r="144" spans="1:15" ht="14.25" customHeight="1" x14ac:dyDescent="0.25">
      <c r="A144" s="8"/>
      <c r="B144" s="9"/>
      <c r="C144" s="8"/>
      <c r="D144" s="8"/>
      <c r="E144" s="8"/>
      <c r="F144" s="9"/>
      <c r="G144" s="9"/>
      <c r="H144" s="8"/>
      <c r="I144" s="8"/>
      <c r="J144" s="15"/>
      <c r="K144" s="8"/>
      <c r="L144" s="8"/>
      <c r="M144" s="8"/>
      <c r="N144" s="8"/>
      <c r="O144" s="8"/>
    </row>
    <row r="145" spans="1:15" ht="14.25" customHeight="1" x14ac:dyDescent="0.25">
      <c r="A145" s="8"/>
      <c r="B145" s="9"/>
      <c r="C145" s="8"/>
      <c r="D145" s="8"/>
      <c r="E145" s="8"/>
      <c r="F145" s="9"/>
      <c r="G145" s="9"/>
      <c r="H145" s="8"/>
      <c r="I145" s="8"/>
      <c r="J145" s="15"/>
      <c r="K145" s="8"/>
      <c r="L145" s="8"/>
      <c r="M145" s="8"/>
      <c r="N145" s="8"/>
      <c r="O145" s="8"/>
    </row>
    <row r="146" spans="1:15" ht="14.25" customHeight="1" x14ac:dyDescent="0.25">
      <c r="A146" s="8"/>
      <c r="B146" s="9"/>
      <c r="C146" s="8"/>
      <c r="D146" s="8"/>
      <c r="E146" s="8"/>
      <c r="F146" s="9"/>
      <c r="G146" s="9"/>
      <c r="H146" s="8"/>
      <c r="I146" s="8"/>
      <c r="J146" s="15"/>
      <c r="K146" s="8"/>
      <c r="L146" s="8"/>
      <c r="M146" s="8"/>
      <c r="N146" s="8"/>
      <c r="O146" s="8"/>
    </row>
    <row r="147" spans="1:15" ht="14.25" customHeight="1" x14ac:dyDescent="0.25">
      <c r="A147" s="8"/>
      <c r="B147" s="9"/>
      <c r="C147" s="8"/>
      <c r="D147" s="8"/>
      <c r="E147" s="8"/>
      <c r="F147" s="9"/>
      <c r="G147" s="9"/>
      <c r="H147" s="8"/>
      <c r="I147" s="8"/>
      <c r="J147" s="15"/>
      <c r="K147" s="8"/>
      <c r="L147" s="8"/>
      <c r="M147" s="8"/>
      <c r="N147" s="8"/>
      <c r="O147" s="8"/>
    </row>
    <row r="148" spans="1:15" ht="14.25" customHeight="1" x14ac:dyDescent="0.25">
      <c r="A148" s="8"/>
      <c r="B148" s="9"/>
      <c r="C148" s="8"/>
      <c r="D148" s="8"/>
      <c r="E148" s="8"/>
      <c r="F148" s="9"/>
      <c r="G148" s="9"/>
      <c r="H148" s="8"/>
      <c r="I148" s="8"/>
      <c r="J148" s="15"/>
      <c r="K148" s="8"/>
      <c r="L148" s="8"/>
      <c r="M148" s="8"/>
      <c r="N148" s="8"/>
      <c r="O148" s="8"/>
    </row>
    <row r="149" spans="1:15" ht="14.25" customHeight="1" x14ac:dyDescent="0.25">
      <c r="A149" s="8"/>
      <c r="B149" s="9"/>
      <c r="C149" s="8"/>
      <c r="D149" s="8"/>
      <c r="E149" s="8"/>
      <c r="F149" s="9"/>
      <c r="G149" s="9"/>
      <c r="H149" s="8"/>
      <c r="I149" s="8"/>
      <c r="J149" s="15"/>
      <c r="K149" s="8"/>
      <c r="L149" s="8"/>
      <c r="M149" s="8"/>
      <c r="N149" s="8"/>
      <c r="O149" s="8"/>
    </row>
    <row r="150" spans="1:15" ht="14.25" customHeight="1" x14ac:dyDescent="0.25">
      <c r="A150" s="8"/>
      <c r="B150" s="9"/>
      <c r="C150" s="8"/>
      <c r="D150" s="8"/>
      <c r="E150" s="8"/>
      <c r="F150" s="9"/>
      <c r="G150" s="9"/>
      <c r="H150" s="8"/>
      <c r="I150" s="8"/>
      <c r="J150" s="15"/>
      <c r="K150" s="8"/>
      <c r="L150" s="8"/>
      <c r="M150" s="8"/>
      <c r="N150" s="8"/>
      <c r="O150" s="8"/>
    </row>
    <row r="151" spans="1:15" ht="14.25" customHeight="1" x14ac:dyDescent="0.25">
      <c r="A151" s="8"/>
      <c r="B151" s="9"/>
      <c r="C151" s="8"/>
      <c r="D151" s="8"/>
      <c r="E151" s="8"/>
      <c r="F151" s="9"/>
      <c r="G151" s="9"/>
      <c r="H151" s="8"/>
      <c r="I151" s="8"/>
      <c r="J151" s="15"/>
      <c r="K151" s="8"/>
      <c r="L151" s="8"/>
      <c r="M151" s="8"/>
      <c r="N151" s="8"/>
      <c r="O151" s="8"/>
    </row>
    <row r="152" spans="1:15" ht="14.25" customHeight="1" x14ac:dyDescent="0.25">
      <c r="A152" s="8"/>
      <c r="B152" s="9"/>
      <c r="C152" s="8"/>
      <c r="D152" s="8"/>
      <c r="E152" s="8"/>
      <c r="F152" s="9"/>
      <c r="G152" s="9"/>
      <c r="H152" s="8"/>
      <c r="I152" s="8"/>
      <c r="J152" s="15"/>
      <c r="K152" s="8"/>
      <c r="L152" s="8"/>
      <c r="M152" s="8"/>
      <c r="N152" s="8"/>
      <c r="O152" s="8"/>
    </row>
    <row r="153" spans="1:15" ht="14.25" customHeight="1" x14ac:dyDescent="0.25">
      <c r="A153" s="8"/>
      <c r="B153" s="9"/>
      <c r="C153" s="8"/>
      <c r="D153" s="8"/>
      <c r="E153" s="8"/>
      <c r="F153" s="9"/>
      <c r="G153" s="9"/>
      <c r="H153" s="8"/>
      <c r="I153" s="8"/>
      <c r="J153" s="15"/>
      <c r="K153" s="8"/>
      <c r="L153" s="8"/>
      <c r="M153" s="8"/>
      <c r="N153" s="8"/>
      <c r="O153" s="8"/>
    </row>
    <row r="154" spans="1:15" ht="14.25" customHeight="1" x14ac:dyDescent="0.25">
      <c r="A154" s="8"/>
      <c r="B154" s="9"/>
      <c r="C154" s="8"/>
      <c r="D154" s="8"/>
      <c r="E154" s="8"/>
      <c r="F154" s="9"/>
      <c r="G154" s="9"/>
      <c r="H154" s="8"/>
      <c r="I154" s="8"/>
      <c r="J154" s="15"/>
      <c r="K154" s="8"/>
      <c r="L154" s="8"/>
      <c r="M154" s="8"/>
      <c r="N154" s="8"/>
      <c r="O154" s="8"/>
    </row>
    <row r="155" spans="1:15" ht="14.25" customHeight="1" x14ac:dyDescent="0.25">
      <c r="A155" s="8"/>
      <c r="B155" s="9"/>
      <c r="C155" s="8"/>
      <c r="D155" s="8"/>
      <c r="E155" s="8"/>
      <c r="F155" s="9"/>
      <c r="G155" s="9"/>
      <c r="H155" s="8"/>
      <c r="I155" s="8"/>
      <c r="J155" s="15"/>
      <c r="K155" s="8"/>
      <c r="L155" s="8"/>
      <c r="M155" s="8"/>
      <c r="N155" s="8"/>
      <c r="O155" s="8"/>
    </row>
    <row r="156" spans="1:15" ht="14.25" customHeight="1" x14ac:dyDescent="0.25">
      <c r="A156" s="8"/>
      <c r="B156" s="9"/>
      <c r="C156" s="8"/>
      <c r="D156" s="8"/>
      <c r="E156" s="8"/>
      <c r="F156" s="9"/>
      <c r="G156" s="9"/>
      <c r="H156" s="8"/>
      <c r="I156" s="8"/>
      <c r="J156" s="15"/>
      <c r="K156" s="8"/>
      <c r="L156" s="8"/>
      <c r="M156" s="8"/>
      <c r="N156" s="8"/>
      <c r="O156" s="8"/>
    </row>
    <row r="157" spans="1:15" ht="14.25" customHeight="1" x14ac:dyDescent="0.25">
      <c r="A157" s="8"/>
      <c r="B157" s="9"/>
      <c r="C157" s="8"/>
      <c r="D157" s="8"/>
      <c r="E157" s="8"/>
      <c r="F157" s="9"/>
      <c r="G157" s="9"/>
      <c r="H157" s="8"/>
      <c r="I157" s="8"/>
      <c r="J157" s="15"/>
      <c r="K157" s="8"/>
      <c r="L157" s="8"/>
      <c r="M157" s="8"/>
      <c r="N157" s="8"/>
      <c r="O157" s="8"/>
    </row>
    <row r="158" spans="1:15" ht="14.25" customHeight="1" x14ac:dyDescent="0.25">
      <c r="A158" s="8"/>
      <c r="B158" s="9"/>
      <c r="C158" s="8"/>
      <c r="D158" s="8"/>
      <c r="E158" s="8"/>
      <c r="F158" s="9"/>
      <c r="G158" s="9"/>
      <c r="H158" s="8"/>
      <c r="I158" s="8"/>
      <c r="J158" s="15"/>
      <c r="K158" s="8"/>
      <c r="L158" s="8"/>
      <c r="M158" s="8"/>
      <c r="N158" s="8"/>
      <c r="O158" s="8"/>
    </row>
    <row r="159" spans="1:15" ht="14.25" customHeight="1" x14ac:dyDescent="0.25">
      <c r="A159" s="8"/>
      <c r="B159" s="9"/>
      <c r="C159" s="8"/>
      <c r="D159" s="8"/>
      <c r="E159" s="8"/>
      <c r="F159" s="9"/>
      <c r="G159" s="9"/>
      <c r="H159" s="8"/>
      <c r="I159" s="8"/>
      <c r="J159" s="15"/>
      <c r="K159" s="8"/>
      <c r="L159" s="8"/>
      <c r="M159" s="8"/>
      <c r="N159" s="8"/>
      <c r="O159" s="8"/>
    </row>
    <row r="160" spans="1:15" ht="14.25" customHeight="1" x14ac:dyDescent="0.25">
      <c r="A160" s="8"/>
      <c r="B160" s="9"/>
      <c r="C160" s="8"/>
      <c r="D160" s="8"/>
      <c r="E160" s="8"/>
      <c r="F160" s="9"/>
      <c r="G160" s="9"/>
      <c r="H160" s="8"/>
      <c r="I160" s="8"/>
      <c r="J160" s="15"/>
      <c r="K160" s="8"/>
      <c r="L160" s="8"/>
      <c r="M160" s="8"/>
      <c r="N160" s="8"/>
      <c r="O160" s="8"/>
    </row>
    <row r="161" spans="1:15" ht="14.25" customHeight="1" x14ac:dyDescent="0.25">
      <c r="A161" s="8"/>
      <c r="B161" s="9"/>
      <c r="C161" s="8"/>
      <c r="D161" s="8"/>
      <c r="E161" s="8"/>
      <c r="F161" s="9"/>
      <c r="G161" s="9"/>
      <c r="H161" s="8"/>
      <c r="I161" s="8"/>
      <c r="J161" s="15"/>
      <c r="K161" s="8"/>
      <c r="L161" s="8"/>
      <c r="M161" s="8"/>
      <c r="N161" s="8"/>
      <c r="O161" s="8"/>
    </row>
    <row r="162" spans="1:15" ht="14.25" customHeight="1" x14ac:dyDescent="0.25">
      <c r="A162" s="8"/>
      <c r="B162" s="9"/>
      <c r="C162" s="8"/>
      <c r="D162" s="8"/>
      <c r="E162" s="8"/>
      <c r="F162" s="9"/>
      <c r="G162" s="9"/>
      <c r="H162" s="8"/>
      <c r="I162" s="8"/>
      <c r="J162" s="15"/>
      <c r="K162" s="8"/>
      <c r="L162" s="8"/>
      <c r="M162" s="8"/>
      <c r="N162" s="8"/>
      <c r="O162" s="8"/>
    </row>
    <row r="163" spans="1:15" ht="14.25" customHeight="1" x14ac:dyDescent="0.25">
      <c r="A163" s="8"/>
      <c r="B163" s="9"/>
      <c r="C163" s="8"/>
      <c r="D163" s="8"/>
      <c r="E163" s="8"/>
      <c r="F163" s="9"/>
      <c r="G163" s="9"/>
      <c r="H163" s="8"/>
      <c r="I163" s="8"/>
      <c r="J163" s="15"/>
      <c r="K163" s="8"/>
      <c r="L163" s="8"/>
      <c r="M163" s="8"/>
      <c r="N163" s="8"/>
      <c r="O163" s="8"/>
    </row>
    <row r="164" spans="1:15" ht="14.25" customHeight="1" x14ac:dyDescent="0.25">
      <c r="A164" s="8"/>
      <c r="B164" s="9"/>
      <c r="C164" s="8"/>
      <c r="D164" s="8"/>
      <c r="E164" s="8"/>
      <c r="F164" s="9"/>
      <c r="G164" s="9"/>
      <c r="H164" s="8"/>
      <c r="I164" s="8"/>
      <c r="J164" s="15"/>
      <c r="K164" s="8"/>
      <c r="L164" s="8"/>
      <c r="M164" s="8"/>
      <c r="N164" s="8"/>
      <c r="O164" s="8"/>
    </row>
    <row r="165" spans="1:15" ht="14.25" customHeight="1" x14ac:dyDescent="0.25">
      <c r="A165" s="8"/>
      <c r="B165" s="9"/>
      <c r="C165" s="8"/>
      <c r="D165" s="8"/>
      <c r="E165" s="8"/>
      <c r="F165" s="9"/>
      <c r="G165" s="9"/>
      <c r="H165" s="8"/>
      <c r="I165" s="8"/>
      <c r="J165" s="15"/>
      <c r="K165" s="8"/>
      <c r="L165" s="8"/>
      <c r="M165" s="8"/>
      <c r="N165" s="8"/>
      <c r="O165" s="8"/>
    </row>
    <row r="166" spans="1:15" ht="14.25" customHeight="1" x14ac:dyDescent="0.25">
      <c r="A166" s="8"/>
      <c r="B166" s="9"/>
      <c r="C166" s="8"/>
      <c r="D166" s="8"/>
      <c r="E166" s="8"/>
      <c r="F166" s="9"/>
      <c r="G166" s="9"/>
      <c r="H166" s="8"/>
      <c r="I166" s="8"/>
      <c r="J166" s="15"/>
      <c r="K166" s="8"/>
      <c r="L166" s="8"/>
      <c r="M166" s="8"/>
      <c r="N166" s="8"/>
      <c r="O166" s="8"/>
    </row>
    <row r="167" spans="1:15" ht="14.25" customHeight="1" x14ac:dyDescent="0.25">
      <c r="A167" s="8"/>
      <c r="B167" s="9"/>
      <c r="C167" s="8"/>
      <c r="D167" s="8"/>
      <c r="E167" s="8"/>
      <c r="F167" s="9"/>
      <c r="G167" s="9"/>
      <c r="H167" s="8"/>
      <c r="I167" s="8"/>
      <c r="J167" s="15"/>
      <c r="K167" s="8"/>
      <c r="L167" s="8"/>
      <c r="M167" s="8"/>
      <c r="N167" s="8"/>
      <c r="O167" s="8"/>
    </row>
    <row r="168" spans="1:15" ht="14.25" customHeight="1" x14ac:dyDescent="0.25">
      <c r="A168" s="8"/>
      <c r="B168" s="9"/>
      <c r="C168" s="8"/>
      <c r="D168" s="8"/>
      <c r="E168" s="8"/>
      <c r="F168" s="9"/>
      <c r="G168" s="9"/>
      <c r="H168" s="8"/>
      <c r="I168" s="8"/>
      <c r="J168" s="15"/>
      <c r="K168" s="8"/>
      <c r="L168" s="8"/>
      <c r="M168" s="8"/>
      <c r="N168" s="8"/>
      <c r="O168" s="8"/>
    </row>
    <row r="169" spans="1:15" ht="14.25" customHeight="1" x14ac:dyDescent="0.25">
      <c r="A169" s="8"/>
      <c r="B169" s="9"/>
      <c r="C169" s="8"/>
      <c r="D169" s="8"/>
      <c r="E169" s="8"/>
      <c r="F169" s="9"/>
      <c r="G169" s="9"/>
      <c r="H169" s="8"/>
      <c r="I169" s="8"/>
      <c r="J169" s="15"/>
      <c r="K169" s="8"/>
      <c r="L169" s="8"/>
      <c r="M169" s="8"/>
      <c r="N169" s="8"/>
      <c r="O169" s="8"/>
    </row>
    <row r="170" spans="1:15" ht="14.25" customHeight="1" x14ac:dyDescent="0.25">
      <c r="A170" s="8"/>
      <c r="B170" s="9"/>
      <c r="C170" s="8"/>
      <c r="D170" s="8"/>
      <c r="E170" s="8"/>
      <c r="F170" s="9"/>
      <c r="G170" s="9"/>
      <c r="H170" s="8"/>
      <c r="I170" s="8"/>
      <c r="J170" s="15"/>
      <c r="K170" s="8"/>
      <c r="L170" s="8"/>
      <c r="M170" s="8"/>
      <c r="N170" s="8"/>
      <c r="O170" s="8"/>
    </row>
    <row r="171" spans="1:15" ht="14.25" customHeight="1" x14ac:dyDescent="0.25">
      <c r="A171" s="8"/>
      <c r="B171" s="9"/>
      <c r="C171" s="8"/>
      <c r="D171" s="8"/>
      <c r="E171" s="8"/>
      <c r="F171" s="9"/>
      <c r="G171" s="9"/>
      <c r="H171" s="8"/>
      <c r="I171" s="8"/>
      <c r="J171" s="15"/>
      <c r="K171" s="8"/>
      <c r="L171" s="8"/>
      <c r="M171" s="8"/>
      <c r="N171" s="8"/>
      <c r="O171" s="8"/>
    </row>
    <row r="172" spans="1:15" ht="14.25" customHeight="1" x14ac:dyDescent="0.25">
      <c r="A172" s="8"/>
      <c r="B172" s="9"/>
      <c r="C172" s="8"/>
      <c r="D172" s="8"/>
      <c r="E172" s="8"/>
      <c r="F172" s="9"/>
      <c r="G172" s="9"/>
      <c r="H172" s="8"/>
      <c r="I172" s="8"/>
      <c r="J172" s="15"/>
      <c r="K172" s="8"/>
      <c r="L172" s="8"/>
      <c r="M172" s="8"/>
      <c r="N172" s="8"/>
      <c r="O172" s="8"/>
    </row>
    <row r="173" spans="1:15" ht="14.25" customHeight="1" x14ac:dyDescent="0.25">
      <c r="A173" s="8"/>
      <c r="B173" s="9"/>
      <c r="C173" s="8"/>
      <c r="D173" s="8"/>
      <c r="E173" s="8"/>
      <c r="F173" s="9"/>
      <c r="G173" s="9"/>
      <c r="H173" s="8"/>
      <c r="I173" s="8"/>
      <c r="J173" s="15"/>
      <c r="K173" s="8"/>
      <c r="L173" s="8"/>
      <c r="M173" s="8"/>
      <c r="N173" s="8"/>
      <c r="O173" s="8"/>
    </row>
    <row r="174" spans="1:15" ht="14.25" customHeight="1" x14ac:dyDescent="0.25">
      <c r="A174" s="8"/>
      <c r="B174" s="9"/>
      <c r="C174" s="8"/>
      <c r="D174" s="8"/>
      <c r="E174" s="8"/>
      <c r="F174" s="9"/>
      <c r="G174" s="9"/>
      <c r="H174" s="8"/>
      <c r="I174" s="8"/>
      <c r="J174" s="15"/>
      <c r="K174" s="8"/>
      <c r="L174" s="8"/>
      <c r="M174" s="8"/>
      <c r="N174" s="8"/>
      <c r="O174" s="8"/>
    </row>
    <row r="175" spans="1:15" ht="14.25" customHeight="1" x14ac:dyDescent="0.25">
      <c r="A175" s="8"/>
      <c r="B175" s="9"/>
      <c r="C175" s="8"/>
      <c r="D175" s="8"/>
      <c r="E175" s="8"/>
      <c r="F175" s="9"/>
      <c r="G175" s="9"/>
      <c r="H175" s="8"/>
      <c r="I175" s="8"/>
      <c r="J175" s="15"/>
      <c r="K175" s="8"/>
      <c r="L175" s="8"/>
      <c r="M175" s="8"/>
      <c r="N175" s="8"/>
      <c r="O175" s="8"/>
    </row>
    <row r="176" spans="1:15" ht="14.25" customHeight="1" x14ac:dyDescent="0.25">
      <c r="A176" s="8"/>
      <c r="B176" s="9"/>
      <c r="C176" s="8"/>
      <c r="D176" s="8"/>
      <c r="E176" s="8"/>
      <c r="F176" s="9"/>
      <c r="G176" s="9"/>
      <c r="H176" s="8"/>
      <c r="I176" s="8"/>
      <c r="J176" s="15"/>
      <c r="K176" s="8"/>
      <c r="L176" s="8"/>
      <c r="M176" s="8"/>
      <c r="N176" s="8"/>
      <c r="O176" s="8"/>
    </row>
    <row r="177" spans="1:15" ht="14.25" customHeight="1" x14ac:dyDescent="0.25">
      <c r="A177" s="8"/>
      <c r="B177" s="9"/>
      <c r="C177" s="8"/>
      <c r="D177" s="8"/>
      <c r="E177" s="8"/>
      <c r="F177" s="9"/>
      <c r="G177" s="9"/>
      <c r="H177" s="8"/>
      <c r="I177" s="8"/>
      <c r="J177" s="15"/>
      <c r="K177" s="8"/>
      <c r="L177" s="8"/>
      <c r="M177" s="8"/>
      <c r="N177" s="8"/>
      <c r="O177" s="8"/>
    </row>
    <row r="178" spans="1:15" ht="14.25" customHeight="1" x14ac:dyDescent="0.25">
      <c r="A178" s="8"/>
      <c r="B178" s="9"/>
      <c r="C178" s="8"/>
      <c r="D178" s="8"/>
      <c r="E178" s="8"/>
      <c r="F178" s="9"/>
      <c r="G178" s="9"/>
      <c r="H178" s="8"/>
      <c r="I178" s="8"/>
      <c r="J178" s="15"/>
      <c r="K178" s="8"/>
      <c r="L178" s="8"/>
      <c r="M178" s="8"/>
      <c r="N178" s="8"/>
      <c r="O178" s="8"/>
    </row>
    <row r="179" spans="1:15" ht="14.25" customHeight="1" x14ac:dyDescent="0.25">
      <c r="A179" s="8"/>
      <c r="B179" s="9"/>
      <c r="C179" s="8"/>
      <c r="D179" s="8"/>
      <c r="E179" s="8"/>
      <c r="F179" s="9"/>
      <c r="G179" s="9"/>
      <c r="H179" s="8"/>
      <c r="I179" s="8"/>
      <c r="J179" s="15"/>
      <c r="K179" s="8"/>
      <c r="L179" s="8"/>
      <c r="M179" s="8"/>
      <c r="N179" s="8"/>
      <c r="O179" s="8"/>
    </row>
    <row r="180" spans="1:15" ht="14.25" customHeight="1" x14ac:dyDescent="0.25">
      <c r="A180" s="8"/>
      <c r="B180" s="9"/>
      <c r="C180" s="8"/>
      <c r="D180" s="8"/>
      <c r="E180" s="8"/>
      <c r="F180" s="9"/>
      <c r="G180" s="9"/>
      <c r="H180" s="8"/>
      <c r="I180" s="8"/>
      <c r="J180" s="15"/>
      <c r="K180" s="8"/>
      <c r="L180" s="8"/>
      <c r="M180" s="8"/>
      <c r="N180" s="8"/>
      <c r="O180" s="8"/>
    </row>
    <row r="181" spans="1:15" ht="14.25" customHeight="1" x14ac:dyDescent="0.25">
      <c r="A181" s="8"/>
      <c r="B181" s="9"/>
      <c r="C181" s="8"/>
      <c r="D181" s="8"/>
      <c r="E181" s="8"/>
      <c r="F181" s="9"/>
      <c r="G181" s="9"/>
      <c r="H181" s="8"/>
      <c r="I181" s="8"/>
      <c r="J181" s="15"/>
      <c r="K181" s="8"/>
      <c r="L181" s="8"/>
      <c r="M181" s="8"/>
      <c r="N181" s="8"/>
      <c r="O181" s="8"/>
    </row>
    <row r="182" spans="1:15" ht="14.25" customHeight="1" x14ac:dyDescent="0.25">
      <c r="A182" s="8"/>
      <c r="B182" s="9"/>
      <c r="C182" s="8"/>
      <c r="D182" s="8"/>
      <c r="E182" s="8"/>
      <c r="F182" s="9"/>
      <c r="G182" s="9"/>
      <c r="H182" s="8"/>
      <c r="I182" s="8"/>
      <c r="J182" s="15"/>
      <c r="K182" s="8"/>
      <c r="L182" s="8"/>
      <c r="M182" s="8"/>
      <c r="N182" s="8"/>
      <c r="O182" s="8"/>
    </row>
    <row r="183" spans="1:15" ht="14.25" customHeight="1" x14ac:dyDescent="0.25">
      <c r="A183" s="8"/>
      <c r="B183" s="9"/>
      <c r="C183" s="8"/>
      <c r="D183" s="8"/>
      <c r="E183" s="8"/>
      <c r="F183" s="9"/>
      <c r="G183" s="9"/>
      <c r="H183" s="8"/>
      <c r="I183" s="8"/>
      <c r="J183" s="15"/>
      <c r="K183" s="8"/>
      <c r="L183" s="8"/>
      <c r="M183" s="8"/>
      <c r="N183" s="8"/>
      <c r="O183" s="8"/>
    </row>
    <row r="184" spans="1:15" ht="14.25" customHeight="1" x14ac:dyDescent="0.25">
      <c r="A184" s="8"/>
      <c r="B184" s="9"/>
      <c r="C184" s="8"/>
      <c r="D184" s="8"/>
      <c r="E184" s="8"/>
      <c r="F184" s="9"/>
      <c r="G184" s="9"/>
      <c r="H184" s="8"/>
      <c r="I184" s="8"/>
      <c r="J184" s="15"/>
      <c r="K184" s="8"/>
      <c r="L184" s="8"/>
      <c r="M184" s="8"/>
      <c r="N184" s="8"/>
      <c r="O184" s="8"/>
    </row>
    <row r="185" spans="1:15" ht="14.25" customHeight="1" x14ac:dyDescent="0.25">
      <c r="A185" s="8"/>
      <c r="B185" s="9"/>
      <c r="C185" s="8"/>
      <c r="D185" s="8"/>
      <c r="E185" s="8"/>
      <c r="F185" s="9"/>
      <c r="G185" s="9"/>
      <c r="H185" s="8"/>
      <c r="I185" s="8"/>
      <c r="J185" s="15"/>
      <c r="K185" s="8"/>
      <c r="L185" s="8"/>
      <c r="M185" s="8"/>
      <c r="N185" s="8"/>
      <c r="O185" s="8"/>
    </row>
    <row r="186" spans="1:15" ht="14.25" customHeight="1" x14ac:dyDescent="0.25">
      <c r="A186" s="8"/>
      <c r="B186" s="9"/>
      <c r="C186" s="8"/>
      <c r="D186" s="8"/>
      <c r="E186" s="8"/>
      <c r="F186" s="9"/>
      <c r="G186" s="9"/>
      <c r="H186" s="8"/>
      <c r="I186" s="8"/>
      <c r="J186" s="15"/>
      <c r="K186" s="8"/>
      <c r="L186" s="8"/>
      <c r="M186" s="8"/>
      <c r="N186" s="8"/>
      <c r="O186" s="8"/>
    </row>
    <row r="187" spans="1:15" ht="14.25" customHeight="1" x14ac:dyDescent="0.25">
      <c r="A187" s="8"/>
      <c r="B187" s="9"/>
      <c r="C187" s="8"/>
      <c r="D187" s="8"/>
      <c r="E187" s="8"/>
      <c r="F187" s="9"/>
      <c r="G187" s="9"/>
      <c r="H187" s="8"/>
      <c r="I187" s="8"/>
      <c r="J187" s="15"/>
      <c r="K187" s="8"/>
      <c r="L187" s="8"/>
      <c r="M187" s="8"/>
      <c r="N187" s="8"/>
      <c r="O187" s="8"/>
    </row>
    <row r="188" spans="1:15" ht="14.25" customHeight="1" x14ac:dyDescent="0.25">
      <c r="A188" s="8"/>
      <c r="B188" s="9"/>
      <c r="C188" s="8"/>
      <c r="D188" s="8"/>
      <c r="E188" s="8"/>
      <c r="F188" s="9"/>
      <c r="G188" s="9"/>
      <c r="H188" s="8"/>
      <c r="I188" s="8"/>
      <c r="J188" s="15"/>
      <c r="K188" s="8"/>
      <c r="L188" s="8"/>
      <c r="M188" s="8"/>
      <c r="N188" s="8"/>
      <c r="O188" s="8"/>
    </row>
    <row r="189" spans="1:15" ht="14.25" customHeight="1" x14ac:dyDescent="0.25">
      <c r="A189" s="8"/>
      <c r="B189" s="9"/>
      <c r="C189" s="8"/>
      <c r="D189" s="8"/>
      <c r="E189" s="8"/>
      <c r="F189" s="9"/>
      <c r="G189" s="9"/>
      <c r="H189" s="8"/>
      <c r="I189" s="8"/>
      <c r="J189" s="15"/>
      <c r="K189" s="8"/>
      <c r="L189" s="8"/>
      <c r="M189" s="8"/>
      <c r="N189" s="8"/>
      <c r="O189" s="8"/>
    </row>
    <row r="190" spans="1:15" ht="14.25" customHeight="1" x14ac:dyDescent="0.25">
      <c r="A190" s="8"/>
      <c r="B190" s="9"/>
      <c r="C190" s="8"/>
      <c r="D190" s="8"/>
      <c r="E190" s="8"/>
      <c r="F190" s="9"/>
      <c r="G190" s="9"/>
      <c r="H190" s="8"/>
      <c r="I190" s="8"/>
      <c r="J190" s="15"/>
      <c r="K190" s="8"/>
      <c r="L190" s="8"/>
      <c r="M190" s="8"/>
      <c r="N190" s="8"/>
      <c r="O190" s="8"/>
    </row>
    <row r="191" spans="1:15" ht="14.25" customHeight="1" x14ac:dyDescent="0.25">
      <c r="A191" s="8"/>
      <c r="B191" s="9"/>
      <c r="C191" s="8"/>
      <c r="D191" s="8"/>
      <c r="E191" s="8"/>
      <c r="F191" s="9"/>
      <c r="G191" s="9"/>
      <c r="H191" s="8"/>
      <c r="I191" s="8"/>
      <c r="J191" s="15"/>
      <c r="K191" s="8"/>
      <c r="L191" s="8"/>
      <c r="M191" s="8"/>
      <c r="N191" s="8"/>
      <c r="O191" s="8"/>
    </row>
    <row r="192" spans="1:15" ht="14.25" customHeight="1" x14ac:dyDescent="0.25">
      <c r="A192" s="8"/>
      <c r="B192" s="9"/>
      <c r="C192" s="8"/>
      <c r="D192" s="8"/>
      <c r="E192" s="8"/>
      <c r="F192" s="9"/>
      <c r="G192" s="9"/>
      <c r="H192" s="8"/>
      <c r="I192" s="8"/>
      <c r="J192" s="15"/>
      <c r="K192" s="8"/>
      <c r="L192" s="8"/>
      <c r="M192" s="8"/>
      <c r="N192" s="8"/>
      <c r="O192" s="8"/>
    </row>
    <row r="193" spans="1:15" ht="14.25" customHeight="1" x14ac:dyDescent="0.25">
      <c r="A193" s="8"/>
      <c r="B193" s="9"/>
      <c r="C193" s="8"/>
      <c r="D193" s="8"/>
      <c r="E193" s="8"/>
      <c r="F193" s="9"/>
      <c r="G193" s="9"/>
      <c r="H193" s="8"/>
      <c r="I193" s="8"/>
      <c r="J193" s="15"/>
      <c r="K193" s="8"/>
      <c r="L193" s="8"/>
      <c r="M193" s="8"/>
      <c r="N193" s="8"/>
      <c r="O193" s="8"/>
    </row>
    <row r="194" spans="1:15" ht="14.25" customHeight="1" x14ac:dyDescent="0.25">
      <c r="A194" s="8"/>
      <c r="B194" s="9"/>
      <c r="C194" s="8"/>
      <c r="D194" s="8"/>
      <c r="E194" s="8"/>
      <c r="F194" s="9"/>
      <c r="G194" s="9"/>
      <c r="H194" s="8"/>
      <c r="I194" s="8"/>
      <c r="J194" s="15"/>
      <c r="K194" s="8"/>
      <c r="L194" s="8"/>
      <c r="M194" s="8"/>
      <c r="N194" s="8"/>
      <c r="O194" s="8"/>
    </row>
    <row r="195" spans="1:15" ht="14.25" customHeight="1" x14ac:dyDescent="0.25">
      <c r="A195" s="8"/>
      <c r="B195" s="9"/>
      <c r="C195" s="8"/>
      <c r="D195" s="8"/>
      <c r="E195" s="8"/>
      <c r="F195" s="9"/>
      <c r="G195" s="9"/>
      <c r="H195" s="8"/>
      <c r="I195" s="8"/>
      <c r="J195" s="15"/>
      <c r="K195" s="8"/>
      <c r="L195" s="8"/>
      <c r="M195" s="8"/>
      <c r="N195" s="8"/>
      <c r="O195" s="8"/>
    </row>
    <row r="196" spans="1:15" ht="14.25" customHeight="1" x14ac:dyDescent="0.25">
      <c r="A196" s="8"/>
      <c r="B196" s="9"/>
      <c r="C196" s="8"/>
      <c r="D196" s="8"/>
      <c r="E196" s="8"/>
      <c r="F196" s="9"/>
      <c r="G196" s="9"/>
      <c r="H196" s="8"/>
      <c r="I196" s="8"/>
      <c r="J196" s="15"/>
      <c r="K196" s="8"/>
      <c r="L196" s="8"/>
      <c r="M196" s="8"/>
      <c r="N196" s="8"/>
      <c r="O196" s="8"/>
    </row>
    <row r="197" spans="1:15" ht="14.25" customHeight="1" x14ac:dyDescent="0.25">
      <c r="A197" s="8"/>
      <c r="B197" s="9"/>
      <c r="C197" s="8"/>
      <c r="D197" s="8"/>
      <c r="E197" s="8"/>
      <c r="F197" s="9"/>
      <c r="G197" s="9"/>
      <c r="H197" s="8"/>
      <c r="I197" s="8"/>
      <c r="J197" s="15"/>
      <c r="K197" s="8"/>
      <c r="L197" s="8"/>
      <c r="M197" s="8"/>
      <c r="N197" s="8"/>
      <c r="O197" s="8"/>
    </row>
    <row r="198" spans="1:15" ht="14.25" customHeight="1" x14ac:dyDescent="0.25">
      <c r="A198" s="8"/>
      <c r="B198" s="9"/>
      <c r="C198" s="8"/>
      <c r="D198" s="8"/>
      <c r="E198" s="8"/>
      <c r="F198" s="9"/>
      <c r="G198" s="9"/>
      <c r="H198" s="8"/>
      <c r="I198" s="8"/>
      <c r="J198" s="15"/>
      <c r="K198" s="8"/>
      <c r="L198" s="8"/>
      <c r="M198" s="8"/>
      <c r="N198" s="8"/>
      <c r="O198" s="8"/>
    </row>
    <row r="199" spans="1:15" ht="14.25" customHeight="1" x14ac:dyDescent="0.25">
      <c r="A199" s="8"/>
      <c r="B199" s="9"/>
      <c r="C199" s="8"/>
      <c r="D199" s="8"/>
      <c r="E199" s="8"/>
      <c r="F199" s="9"/>
      <c r="G199" s="9"/>
      <c r="H199" s="8"/>
      <c r="I199" s="8"/>
      <c r="J199" s="15"/>
      <c r="K199" s="8"/>
      <c r="L199" s="8"/>
      <c r="M199" s="8"/>
      <c r="N199" s="8"/>
      <c r="O199" s="8"/>
    </row>
    <row r="200" spans="1:15" ht="14.25" customHeight="1" x14ac:dyDescent="0.25">
      <c r="A200" s="8"/>
      <c r="B200" s="9"/>
      <c r="C200" s="8"/>
      <c r="D200" s="8"/>
      <c r="E200" s="8"/>
      <c r="F200" s="9"/>
      <c r="G200" s="9"/>
      <c r="H200" s="8"/>
      <c r="I200" s="8"/>
      <c r="J200" s="15"/>
      <c r="K200" s="8"/>
      <c r="L200" s="8"/>
      <c r="M200" s="8"/>
      <c r="N200" s="8"/>
      <c r="O200" s="8"/>
    </row>
    <row r="201" spans="1:15" ht="14.25" customHeight="1" x14ac:dyDescent="0.25">
      <c r="A201" s="8"/>
      <c r="B201" s="9"/>
      <c r="C201" s="8"/>
      <c r="D201" s="8"/>
      <c r="E201" s="8"/>
      <c r="F201" s="9"/>
      <c r="G201" s="9"/>
      <c r="H201" s="8"/>
      <c r="I201" s="8"/>
      <c r="J201" s="15"/>
      <c r="K201" s="8"/>
      <c r="L201" s="8"/>
      <c r="M201" s="8"/>
      <c r="N201" s="8"/>
      <c r="O201" s="8"/>
    </row>
    <row r="202" spans="1:15" ht="14.25" customHeight="1" x14ac:dyDescent="0.25">
      <c r="A202" s="8"/>
      <c r="B202" s="9"/>
      <c r="C202" s="8"/>
      <c r="D202" s="8"/>
      <c r="E202" s="8"/>
      <c r="F202" s="9"/>
      <c r="G202" s="9"/>
      <c r="H202" s="8"/>
      <c r="I202" s="8"/>
      <c r="J202" s="15"/>
      <c r="K202" s="8"/>
      <c r="L202" s="8"/>
      <c r="M202" s="8"/>
      <c r="N202" s="8"/>
      <c r="O202" s="8"/>
    </row>
    <row r="203" spans="1:15" ht="14.25" customHeight="1" x14ac:dyDescent="0.25">
      <c r="A203" s="8"/>
      <c r="B203" s="9"/>
      <c r="C203" s="8"/>
      <c r="D203" s="8"/>
      <c r="E203" s="8"/>
      <c r="F203" s="9"/>
      <c r="G203" s="9"/>
      <c r="H203" s="8"/>
      <c r="I203" s="8"/>
      <c r="J203" s="15"/>
      <c r="K203" s="8"/>
      <c r="L203" s="8"/>
      <c r="M203" s="8"/>
      <c r="N203" s="8"/>
      <c r="O203" s="8"/>
    </row>
    <row r="204" spans="1:15" ht="14.25" customHeight="1" x14ac:dyDescent="0.25">
      <c r="A204" s="8"/>
      <c r="B204" s="9"/>
      <c r="C204" s="8"/>
      <c r="D204" s="8"/>
      <c r="E204" s="8"/>
      <c r="F204" s="9"/>
      <c r="G204" s="9"/>
      <c r="H204" s="8"/>
      <c r="I204" s="8"/>
      <c r="J204" s="15"/>
      <c r="K204" s="8"/>
      <c r="L204" s="8"/>
      <c r="M204" s="8"/>
      <c r="N204" s="8"/>
      <c r="O204" s="8"/>
    </row>
    <row r="205" spans="1:15" ht="14.25" customHeight="1" x14ac:dyDescent="0.25">
      <c r="A205" s="8"/>
      <c r="B205" s="9"/>
      <c r="C205" s="8"/>
      <c r="D205" s="8"/>
      <c r="E205" s="8"/>
      <c r="F205" s="9"/>
      <c r="G205" s="9"/>
      <c r="H205" s="8"/>
      <c r="I205" s="8"/>
      <c r="J205" s="15"/>
      <c r="K205" s="8"/>
      <c r="L205" s="8"/>
      <c r="M205" s="8"/>
      <c r="N205" s="8"/>
      <c r="O205" s="8"/>
    </row>
    <row r="206" spans="1:15" ht="14.25" customHeight="1" x14ac:dyDescent="0.25">
      <c r="A206" s="8"/>
      <c r="B206" s="9"/>
      <c r="C206" s="8"/>
      <c r="D206" s="8"/>
      <c r="E206" s="8"/>
      <c r="F206" s="9"/>
      <c r="G206" s="9"/>
      <c r="H206" s="8"/>
      <c r="I206" s="8"/>
      <c r="J206" s="15"/>
      <c r="K206" s="8"/>
      <c r="L206" s="8"/>
      <c r="M206" s="8"/>
      <c r="N206" s="8"/>
      <c r="O206" s="8"/>
    </row>
    <row r="207" spans="1:15" ht="14.25" customHeight="1" x14ac:dyDescent="0.25">
      <c r="A207" s="8"/>
      <c r="B207" s="9"/>
      <c r="C207" s="8"/>
      <c r="D207" s="8"/>
      <c r="E207" s="8"/>
      <c r="F207" s="9"/>
      <c r="G207" s="9"/>
      <c r="H207" s="8"/>
      <c r="I207" s="8"/>
      <c r="J207" s="15"/>
      <c r="K207" s="8"/>
      <c r="L207" s="8"/>
      <c r="M207" s="8"/>
      <c r="N207" s="8"/>
      <c r="O207" s="8"/>
    </row>
    <row r="208" spans="1:15" ht="14.25" customHeight="1" x14ac:dyDescent="0.25">
      <c r="A208" s="8"/>
      <c r="B208" s="9"/>
      <c r="C208" s="8"/>
      <c r="D208" s="8"/>
      <c r="E208" s="8"/>
      <c r="F208" s="9"/>
      <c r="G208" s="9"/>
      <c r="H208" s="8"/>
      <c r="I208" s="8"/>
      <c r="J208" s="15"/>
      <c r="K208" s="8"/>
      <c r="L208" s="8"/>
      <c r="M208" s="8"/>
      <c r="N208" s="8"/>
      <c r="O208" s="8"/>
    </row>
    <row r="209" spans="1:15" ht="14.25" customHeight="1" x14ac:dyDescent="0.25">
      <c r="A209" s="8"/>
      <c r="B209" s="9"/>
      <c r="C209" s="8"/>
      <c r="D209" s="8"/>
      <c r="E209" s="8"/>
      <c r="F209" s="9"/>
      <c r="G209" s="9"/>
      <c r="H209" s="8"/>
      <c r="I209" s="8"/>
      <c r="J209" s="15"/>
      <c r="K209" s="8"/>
      <c r="L209" s="8"/>
      <c r="M209" s="8"/>
      <c r="N209" s="8"/>
      <c r="O209" s="8"/>
    </row>
    <row r="210" spans="1:15" ht="14.25" customHeight="1" x14ac:dyDescent="0.25">
      <c r="A210" s="8"/>
      <c r="B210" s="9"/>
      <c r="C210" s="8"/>
      <c r="D210" s="8"/>
      <c r="E210" s="8"/>
      <c r="F210" s="9"/>
      <c r="G210" s="9"/>
      <c r="H210" s="8"/>
      <c r="I210" s="8"/>
      <c r="J210" s="15"/>
      <c r="K210" s="8"/>
      <c r="L210" s="8"/>
      <c r="M210" s="8"/>
      <c r="N210" s="8"/>
      <c r="O210" s="8"/>
    </row>
    <row r="211" spans="1:15" ht="14.25" customHeight="1" x14ac:dyDescent="0.25">
      <c r="A211" s="8"/>
      <c r="B211" s="9"/>
      <c r="C211" s="8"/>
      <c r="D211" s="8"/>
      <c r="E211" s="8"/>
      <c r="F211" s="9"/>
      <c r="G211" s="9"/>
      <c r="H211" s="8"/>
      <c r="I211" s="8"/>
      <c r="J211" s="15"/>
      <c r="K211" s="8"/>
      <c r="L211" s="8"/>
      <c r="M211" s="8"/>
      <c r="N211" s="8"/>
      <c r="O211" s="8"/>
    </row>
    <row r="212" spans="1:15" ht="14.25" customHeight="1" x14ac:dyDescent="0.25">
      <c r="A212" s="8"/>
      <c r="B212" s="9"/>
      <c r="C212" s="8"/>
      <c r="D212" s="8"/>
      <c r="E212" s="8"/>
      <c r="F212" s="9"/>
      <c r="G212" s="9"/>
      <c r="H212" s="8"/>
      <c r="I212" s="8"/>
      <c r="J212" s="15"/>
      <c r="K212" s="8"/>
      <c r="L212" s="8"/>
      <c r="M212" s="8"/>
      <c r="N212" s="8"/>
      <c r="O212" s="8"/>
    </row>
    <row r="213" spans="1:15" ht="14.25" customHeight="1" x14ac:dyDescent="0.25">
      <c r="A213" s="8"/>
      <c r="B213" s="9"/>
      <c r="C213" s="8"/>
      <c r="D213" s="8"/>
      <c r="E213" s="8"/>
      <c r="F213" s="9"/>
      <c r="G213" s="9"/>
      <c r="H213" s="8"/>
      <c r="I213" s="8"/>
      <c r="J213" s="15"/>
      <c r="K213" s="8"/>
      <c r="L213" s="8"/>
      <c r="M213" s="8"/>
      <c r="N213" s="8"/>
      <c r="O213" s="8"/>
    </row>
    <row r="214" spans="1:15" ht="14.25" customHeight="1" x14ac:dyDescent="0.25">
      <c r="A214" s="8"/>
      <c r="B214" s="9"/>
      <c r="C214" s="8"/>
      <c r="D214" s="8"/>
      <c r="E214" s="8"/>
      <c r="F214" s="9"/>
      <c r="G214" s="9"/>
      <c r="H214" s="8"/>
      <c r="I214" s="8"/>
      <c r="J214" s="15"/>
      <c r="K214" s="8"/>
      <c r="L214" s="8"/>
      <c r="M214" s="8"/>
      <c r="N214" s="8"/>
      <c r="O214" s="8"/>
    </row>
    <row r="215" spans="1:15" ht="14.25" customHeight="1" x14ac:dyDescent="0.25">
      <c r="A215" s="8"/>
      <c r="B215" s="9"/>
      <c r="C215" s="8"/>
      <c r="D215" s="8"/>
      <c r="E215" s="8"/>
      <c r="F215" s="9"/>
      <c r="G215" s="9"/>
      <c r="H215" s="8"/>
      <c r="I215" s="8"/>
      <c r="J215" s="15"/>
      <c r="K215" s="8"/>
      <c r="L215" s="8"/>
      <c r="M215" s="8"/>
      <c r="N215" s="8"/>
      <c r="O215" s="8"/>
    </row>
    <row r="216" spans="1:15" ht="14.25" customHeight="1" x14ac:dyDescent="0.25">
      <c r="A216" s="8"/>
      <c r="B216" s="9"/>
      <c r="C216" s="8"/>
      <c r="D216" s="8"/>
      <c r="E216" s="8"/>
      <c r="F216" s="9"/>
      <c r="G216" s="9"/>
      <c r="H216" s="8"/>
      <c r="I216" s="8"/>
      <c r="J216" s="15"/>
      <c r="K216" s="8"/>
      <c r="L216" s="8"/>
      <c r="M216" s="8"/>
      <c r="N216" s="8"/>
      <c r="O216" s="8"/>
    </row>
    <row r="217" spans="1:15" ht="14.25" customHeight="1" x14ac:dyDescent="0.25">
      <c r="A217" s="8"/>
      <c r="B217" s="9"/>
      <c r="C217" s="8"/>
      <c r="D217" s="8"/>
      <c r="E217" s="8"/>
      <c r="F217" s="9"/>
      <c r="G217" s="9"/>
      <c r="H217" s="8"/>
      <c r="I217" s="8"/>
      <c r="J217" s="15"/>
      <c r="K217" s="8"/>
      <c r="L217" s="8"/>
      <c r="M217" s="8"/>
      <c r="N217" s="8"/>
      <c r="O217" s="8"/>
    </row>
    <row r="218" spans="1:15" ht="14.25" customHeight="1" x14ac:dyDescent="0.25">
      <c r="A218" s="8"/>
      <c r="B218" s="9"/>
      <c r="C218" s="8"/>
      <c r="D218" s="8"/>
      <c r="E218" s="8"/>
      <c r="F218" s="9"/>
      <c r="G218" s="9"/>
      <c r="H218" s="8"/>
      <c r="I218" s="8"/>
      <c r="J218" s="15"/>
      <c r="K218" s="8"/>
      <c r="L218" s="8"/>
      <c r="M218" s="8"/>
      <c r="N218" s="8"/>
      <c r="O218" s="8"/>
    </row>
    <row r="219" spans="1:15" ht="14.25" customHeight="1" x14ac:dyDescent="0.25">
      <c r="A219" s="8"/>
      <c r="B219" s="9"/>
      <c r="C219" s="8"/>
      <c r="D219" s="8"/>
      <c r="E219" s="8"/>
      <c r="F219" s="9"/>
      <c r="G219" s="9"/>
      <c r="H219" s="8"/>
      <c r="I219" s="8"/>
      <c r="J219" s="15"/>
      <c r="K219" s="8"/>
      <c r="L219" s="8"/>
      <c r="M219" s="8"/>
      <c r="N219" s="8"/>
      <c r="O219" s="8"/>
    </row>
    <row r="220" spans="1:15" ht="14.25" customHeight="1" x14ac:dyDescent="0.25">
      <c r="A220" s="8"/>
      <c r="B220" s="9"/>
      <c r="C220" s="8"/>
      <c r="D220" s="8"/>
      <c r="E220" s="8"/>
      <c r="F220" s="9"/>
      <c r="G220" s="9"/>
      <c r="H220" s="8"/>
      <c r="I220" s="8"/>
      <c r="J220" s="15"/>
      <c r="K220" s="8"/>
      <c r="L220" s="8"/>
      <c r="M220" s="8"/>
      <c r="N220" s="8"/>
      <c r="O220" s="8"/>
    </row>
    <row r="221" spans="1:15" ht="14.25" customHeight="1" x14ac:dyDescent="0.25">
      <c r="A221" s="8"/>
      <c r="B221" s="9"/>
      <c r="C221" s="8"/>
      <c r="D221" s="8"/>
      <c r="E221" s="8"/>
      <c r="F221" s="9"/>
      <c r="G221" s="9"/>
      <c r="H221" s="8"/>
      <c r="I221" s="8"/>
      <c r="J221" s="15"/>
      <c r="K221" s="8"/>
      <c r="L221" s="8"/>
      <c r="M221" s="8"/>
      <c r="N221" s="8"/>
      <c r="O221" s="8"/>
    </row>
    <row r="222" spans="1:15" ht="14.25" customHeight="1" x14ac:dyDescent="0.25">
      <c r="A222" s="8"/>
      <c r="B222" s="9"/>
      <c r="C222" s="8"/>
      <c r="D222" s="8"/>
      <c r="E222" s="8"/>
      <c r="F222" s="9"/>
      <c r="G222" s="9"/>
      <c r="H222" s="8"/>
      <c r="I222" s="8"/>
      <c r="J222" s="15"/>
      <c r="K222" s="8"/>
      <c r="L222" s="8"/>
      <c r="M222" s="8"/>
      <c r="N222" s="8"/>
      <c r="O222" s="8"/>
    </row>
    <row r="223" spans="1:15" ht="14.25" customHeight="1" x14ac:dyDescent="0.25">
      <c r="A223" s="8"/>
      <c r="B223" s="9"/>
      <c r="C223" s="8"/>
      <c r="D223" s="8"/>
      <c r="E223" s="8"/>
      <c r="F223" s="9"/>
      <c r="G223" s="9"/>
      <c r="H223" s="8"/>
      <c r="I223" s="8"/>
      <c r="J223" s="15"/>
      <c r="K223" s="8"/>
      <c r="L223" s="8"/>
      <c r="M223" s="8"/>
      <c r="N223" s="8"/>
      <c r="O223" s="8"/>
    </row>
    <row r="224" spans="1:15" ht="14.25" customHeight="1" x14ac:dyDescent="0.25">
      <c r="A224" s="8"/>
      <c r="B224" s="9"/>
      <c r="C224" s="8"/>
      <c r="D224" s="8"/>
      <c r="E224" s="8"/>
      <c r="F224" s="9"/>
      <c r="G224" s="9"/>
      <c r="H224" s="8"/>
      <c r="I224" s="8"/>
      <c r="J224" s="15"/>
      <c r="K224" s="8"/>
      <c r="L224" s="8"/>
      <c r="M224" s="8"/>
      <c r="N224" s="8"/>
      <c r="O224" s="8"/>
    </row>
    <row r="225" spans="1:15" ht="14.25" customHeight="1" x14ac:dyDescent="0.25">
      <c r="A225" s="8"/>
      <c r="B225" s="9"/>
      <c r="C225" s="8"/>
      <c r="D225" s="8"/>
      <c r="E225" s="8"/>
      <c r="F225" s="9"/>
      <c r="G225" s="9"/>
      <c r="H225" s="8"/>
      <c r="I225" s="8"/>
      <c r="J225" s="15"/>
      <c r="K225" s="8"/>
      <c r="L225" s="8"/>
      <c r="M225" s="8"/>
      <c r="N225" s="8"/>
      <c r="O225" s="8"/>
    </row>
    <row r="226" spans="1:15" ht="14.25" customHeight="1" x14ac:dyDescent="0.25">
      <c r="A226" s="8"/>
      <c r="B226" s="9"/>
      <c r="C226" s="8"/>
      <c r="D226" s="8"/>
      <c r="E226" s="8"/>
      <c r="F226" s="9"/>
      <c r="G226" s="9"/>
      <c r="H226" s="8"/>
      <c r="I226" s="8"/>
      <c r="J226" s="15"/>
      <c r="K226" s="8"/>
      <c r="L226" s="8"/>
      <c r="M226" s="8"/>
      <c r="N226" s="8"/>
      <c r="O226" s="8"/>
    </row>
    <row r="227" spans="1:15" ht="14.25" customHeight="1" x14ac:dyDescent="0.25">
      <c r="A227" s="8"/>
      <c r="B227" s="9"/>
      <c r="C227" s="8"/>
      <c r="D227" s="8"/>
      <c r="E227" s="8"/>
      <c r="F227" s="9"/>
      <c r="G227" s="9"/>
      <c r="H227" s="8"/>
      <c r="I227" s="8"/>
      <c r="J227" s="15"/>
      <c r="K227" s="8"/>
      <c r="L227" s="8"/>
      <c r="M227" s="8"/>
      <c r="N227" s="8"/>
      <c r="O227" s="8"/>
    </row>
    <row r="228" spans="1:15" ht="14.25" customHeight="1" x14ac:dyDescent="0.25">
      <c r="A228" s="8"/>
      <c r="B228" s="9"/>
      <c r="C228" s="8"/>
      <c r="D228" s="8"/>
      <c r="E228" s="8"/>
      <c r="F228" s="9"/>
      <c r="G228" s="9"/>
      <c r="H228" s="8"/>
      <c r="I228" s="8"/>
      <c r="J228" s="15"/>
      <c r="K228" s="8"/>
      <c r="L228" s="8"/>
      <c r="M228" s="8"/>
      <c r="N228" s="8"/>
      <c r="O228" s="8"/>
    </row>
    <row r="229" spans="1:15" ht="14.25" customHeight="1" x14ac:dyDescent="0.25">
      <c r="A229" s="8"/>
      <c r="B229" s="9"/>
      <c r="C229" s="8"/>
      <c r="D229" s="8"/>
      <c r="E229" s="8"/>
      <c r="F229" s="9"/>
      <c r="G229" s="9"/>
      <c r="H229" s="8"/>
      <c r="I229" s="8"/>
      <c r="J229" s="15"/>
      <c r="K229" s="8"/>
      <c r="L229" s="8"/>
      <c r="M229" s="8"/>
      <c r="N229" s="8"/>
      <c r="O229" s="8"/>
    </row>
    <row r="230" spans="1:15" ht="14.25" customHeight="1" x14ac:dyDescent="0.25">
      <c r="A230" s="8"/>
      <c r="B230" s="9"/>
      <c r="C230" s="8"/>
      <c r="D230" s="8"/>
      <c r="E230" s="8"/>
      <c r="F230" s="9"/>
      <c r="G230" s="9"/>
      <c r="H230" s="8"/>
      <c r="I230" s="8"/>
      <c r="J230" s="15"/>
      <c r="K230" s="8"/>
      <c r="L230" s="8"/>
      <c r="M230" s="8"/>
      <c r="N230" s="8"/>
      <c r="O230" s="8"/>
    </row>
    <row r="231" spans="1:15" ht="14.25" customHeight="1" x14ac:dyDescent="0.25">
      <c r="A231" s="8"/>
      <c r="B231" s="9"/>
      <c r="C231" s="8"/>
      <c r="D231" s="8"/>
      <c r="E231" s="8"/>
      <c r="F231" s="9"/>
      <c r="G231" s="9"/>
      <c r="H231" s="8"/>
      <c r="I231" s="8"/>
      <c r="J231" s="15"/>
      <c r="K231" s="8"/>
      <c r="L231" s="8"/>
      <c r="M231" s="8"/>
      <c r="N231" s="8"/>
      <c r="O231" s="8"/>
    </row>
    <row r="232" spans="1:15" ht="14.25" customHeight="1" x14ac:dyDescent="0.25">
      <c r="A232" s="8"/>
      <c r="B232" s="9"/>
      <c r="C232" s="8"/>
      <c r="D232" s="8"/>
      <c r="E232" s="8"/>
      <c r="F232" s="9"/>
      <c r="G232" s="9"/>
      <c r="H232" s="8"/>
      <c r="I232" s="8"/>
      <c r="J232" s="15"/>
      <c r="K232" s="8"/>
      <c r="L232" s="8"/>
      <c r="M232" s="8"/>
      <c r="N232" s="8"/>
      <c r="O232" s="8"/>
    </row>
    <row r="233" spans="1:15" ht="14.25" customHeight="1" x14ac:dyDescent="0.25">
      <c r="A233" s="8"/>
      <c r="B233" s="9"/>
      <c r="C233" s="8"/>
      <c r="D233" s="8"/>
      <c r="E233" s="8"/>
      <c r="F233" s="9"/>
      <c r="G233" s="9"/>
      <c r="H233" s="8"/>
      <c r="I233" s="8"/>
      <c r="J233" s="15"/>
      <c r="K233" s="8"/>
      <c r="L233" s="8"/>
      <c r="M233" s="8"/>
      <c r="N233" s="8"/>
      <c r="O233" s="8"/>
    </row>
    <row r="234" spans="1:15" ht="14.25" customHeight="1" x14ac:dyDescent="0.25">
      <c r="A234" s="8"/>
      <c r="B234" s="9"/>
      <c r="C234" s="8"/>
      <c r="D234" s="8"/>
      <c r="E234" s="8"/>
      <c r="F234" s="9"/>
      <c r="G234" s="9"/>
      <c r="H234" s="8"/>
      <c r="I234" s="8"/>
      <c r="J234" s="15"/>
      <c r="K234" s="8"/>
      <c r="L234" s="8"/>
      <c r="M234" s="8"/>
      <c r="N234" s="8"/>
      <c r="O234" s="8"/>
    </row>
    <row r="235" spans="1:15" ht="14.25" customHeight="1" x14ac:dyDescent="0.25">
      <c r="A235" s="8"/>
      <c r="B235" s="9"/>
      <c r="C235" s="8"/>
      <c r="D235" s="8"/>
      <c r="E235" s="8"/>
      <c r="F235" s="9"/>
      <c r="G235" s="9"/>
      <c r="H235" s="8"/>
      <c r="I235" s="8"/>
      <c r="J235" s="15"/>
      <c r="K235" s="8"/>
      <c r="L235" s="8"/>
      <c r="M235" s="8"/>
      <c r="N235" s="8"/>
      <c r="O235" s="8"/>
    </row>
    <row r="236" spans="1:15" ht="14.25" customHeight="1" x14ac:dyDescent="0.25">
      <c r="A236" s="8"/>
      <c r="B236" s="9"/>
      <c r="C236" s="8"/>
      <c r="D236" s="8"/>
      <c r="E236" s="8"/>
      <c r="F236" s="9"/>
      <c r="G236" s="9"/>
      <c r="H236" s="8"/>
      <c r="I236" s="8"/>
      <c r="J236" s="15"/>
      <c r="K236" s="8"/>
      <c r="L236" s="8"/>
      <c r="M236" s="8"/>
      <c r="N236" s="8"/>
      <c r="O236" s="8"/>
    </row>
    <row r="237" spans="1:15" ht="14.25" customHeight="1" x14ac:dyDescent="0.25">
      <c r="A237" s="8"/>
      <c r="B237" s="9"/>
      <c r="C237" s="8"/>
      <c r="D237" s="8"/>
      <c r="E237" s="8"/>
      <c r="F237" s="9"/>
      <c r="G237" s="9"/>
      <c r="H237" s="8"/>
      <c r="I237" s="8"/>
      <c r="J237" s="15"/>
      <c r="K237" s="8"/>
      <c r="L237" s="8"/>
      <c r="M237" s="8"/>
      <c r="N237" s="8"/>
      <c r="O237" s="8"/>
    </row>
    <row r="238" spans="1:15" ht="14.25" customHeight="1" x14ac:dyDescent="0.25">
      <c r="A238" s="8"/>
      <c r="B238" s="9"/>
      <c r="C238" s="8"/>
      <c r="D238" s="8"/>
      <c r="E238" s="8"/>
      <c r="F238" s="9"/>
      <c r="G238" s="9"/>
      <c r="H238" s="8"/>
      <c r="I238" s="8"/>
      <c r="J238" s="15"/>
      <c r="K238" s="8"/>
      <c r="L238" s="8"/>
      <c r="M238" s="8"/>
      <c r="N238" s="8"/>
      <c r="O238" s="8"/>
    </row>
    <row r="239" spans="1:15" ht="14.25" customHeight="1" x14ac:dyDescent="0.25">
      <c r="A239" s="8"/>
      <c r="B239" s="9"/>
      <c r="C239" s="8"/>
      <c r="D239" s="8"/>
      <c r="E239" s="8"/>
      <c r="F239" s="9"/>
      <c r="G239" s="9"/>
      <c r="H239" s="8"/>
      <c r="I239" s="8"/>
      <c r="J239" s="15"/>
      <c r="K239" s="8"/>
      <c r="L239" s="8"/>
      <c r="M239" s="8"/>
      <c r="N239" s="8"/>
      <c r="O239" s="8"/>
    </row>
    <row r="240" spans="1:15" ht="14.25" customHeight="1" x14ac:dyDescent="0.25">
      <c r="A240" s="8"/>
      <c r="B240" s="9"/>
      <c r="C240" s="8"/>
      <c r="D240" s="8"/>
      <c r="E240" s="8"/>
      <c r="F240" s="9"/>
      <c r="G240" s="9"/>
      <c r="H240" s="8"/>
      <c r="I240" s="8"/>
      <c r="J240" s="15"/>
      <c r="K240" s="8"/>
      <c r="L240" s="8"/>
      <c r="M240" s="8"/>
      <c r="N240" s="8"/>
      <c r="O240" s="8"/>
    </row>
    <row r="241" spans="1:15" ht="14.25" customHeight="1" x14ac:dyDescent="0.25">
      <c r="A241" s="8"/>
      <c r="B241" s="9"/>
      <c r="C241" s="8"/>
      <c r="D241" s="8"/>
      <c r="E241" s="8"/>
      <c r="F241" s="9"/>
      <c r="G241" s="9"/>
      <c r="H241" s="8"/>
      <c r="I241" s="8"/>
      <c r="J241" s="15"/>
      <c r="K241" s="8"/>
      <c r="L241" s="8"/>
      <c r="M241" s="8"/>
      <c r="N241" s="8"/>
      <c r="O241" s="8"/>
    </row>
    <row r="242" spans="1:15" ht="14.25" customHeight="1" x14ac:dyDescent="0.25">
      <c r="A242" s="8"/>
      <c r="B242" s="9"/>
      <c r="C242" s="8"/>
      <c r="D242" s="8"/>
      <c r="E242" s="8"/>
      <c r="F242" s="9"/>
      <c r="G242" s="9"/>
      <c r="H242" s="8"/>
      <c r="I242" s="8"/>
      <c r="J242" s="15"/>
      <c r="K242" s="8"/>
      <c r="L242" s="8"/>
      <c r="M242" s="8"/>
      <c r="N242" s="8"/>
      <c r="O242" s="8"/>
    </row>
    <row r="243" spans="1:15" ht="14.25" customHeight="1" x14ac:dyDescent="0.25">
      <c r="A243" s="8"/>
      <c r="B243" s="9"/>
      <c r="C243" s="8"/>
      <c r="D243" s="8"/>
      <c r="E243" s="8"/>
      <c r="F243" s="9"/>
      <c r="G243" s="9"/>
      <c r="H243" s="8"/>
      <c r="I243" s="8"/>
      <c r="J243" s="15"/>
      <c r="K243" s="8"/>
      <c r="L243" s="8"/>
      <c r="M243" s="8"/>
      <c r="N243" s="8"/>
      <c r="O243" s="8"/>
    </row>
    <row r="244" spans="1:15" ht="14.25" customHeight="1" x14ac:dyDescent="0.25">
      <c r="A244" s="8"/>
      <c r="B244" s="9"/>
      <c r="C244" s="8"/>
      <c r="D244" s="8"/>
      <c r="E244" s="8"/>
      <c r="F244" s="9"/>
      <c r="G244" s="9"/>
      <c r="H244" s="8"/>
      <c r="I244" s="8"/>
      <c r="J244" s="15"/>
      <c r="K244" s="8"/>
      <c r="L244" s="8"/>
      <c r="M244" s="8"/>
      <c r="N244" s="8"/>
      <c r="O244" s="8"/>
    </row>
    <row r="245" spans="1:15" ht="14.25" customHeight="1" x14ac:dyDescent="0.25">
      <c r="A245" s="8"/>
      <c r="B245" s="9"/>
      <c r="C245" s="8"/>
      <c r="D245" s="8"/>
      <c r="E245" s="8"/>
      <c r="F245" s="9"/>
      <c r="G245" s="9"/>
      <c r="H245" s="8"/>
      <c r="I245" s="8"/>
      <c r="J245" s="15"/>
      <c r="K245" s="8"/>
      <c r="L245" s="8"/>
      <c r="M245" s="8"/>
      <c r="N245" s="8"/>
      <c r="O245" s="8"/>
    </row>
    <row r="246" spans="1:15" ht="14.25" customHeight="1" x14ac:dyDescent="0.25">
      <c r="A246" s="8"/>
      <c r="B246" s="9"/>
      <c r="C246" s="8"/>
      <c r="D246" s="8"/>
      <c r="E246" s="8"/>
      <c r="F246" s="9"/>
      <c r="G246" s="9"/>
      <c r="H246" s="8"/>
      <c r="I246" s="8"/>
      <c r="J246" s="15"/>
      <c r="K246" s="8"/>
      <c r="L246" s="8"/>
      <c r="M246" s="8"/>
      <c r="N246" s="8"/>
      <c r="O246" s="8"/>
    </row>
    <row r="247" spans="1:15" ht="14.25" customHeight="1" x14ac:dyDescent="0.25">
      <c r="A247" s="8"/>
      <c r="B247" s="9"/>
      <c r="C247" s="8"/>
      <c r="D247" s="8"/>
      <c r="E247" s="8"/>
      <c r="F247" s="9"/>
      <c r="G247" s="9"/>
      <c r="H247" s="8"/>
      <c r="I247" s="8"/>
      <c r="J247" s="15"/>
      <c r="K247" s="8"/>
      <c r="L247" s="8"/>
      <c r="M247" s="8"/>
      <c r="N247" s="8"/>
      <c r="O247" s="8"/>
    </row>
    <row r="248" spans="1:15" ht="14.25" customHeight="1" x14ac:dyDescent="0.25">
      <c r="A248" s="8"/>
      <c r="B248" s="9"/>
      <c r="C248" s="8"/>
      <c r="D248" s="8"/>
      <c r="E248" s="8"/>
      <c r="F248" s="9"/>
      <c r="G248" s="9"/>
      <c r="H248" s="8"/>
      <c r="I248" s="8"/>
      <c r="J248" s="15"/>
      <c r="K248" s="8"/>
      <c r="L248" s="8"/>
      <c r="M248" s="8"/>
      <c r="N248" s="8"/>
      <c r="O248" s="8"/>
    </row>
    <row r="249" spans="1:15" ht="14.25" customHeight="1" x14ac:dyDescent="0.25">
      <c r="A249" s="8"/>
      <c r="B249" s="9"/>
      <c r="C249" s="8"/>
      <c r="D249" s="8"/>
      <c r="E249" s="8"/>
      <c r="F249" s="9"/>
      <c r="G249" s="9"/>
      <c r="H249" s="8"/>
      <c r="I249" s="8"/>
      <c r="J249" s="15"/>
      <c r="K249" s="8"/>
      <c r="L249" s="8"/>
      <c r="M249" s="8"/>
      <c r="N249" s="8"/>
      <c r="O249" s="8"/>
    </row>
    <row r="250" spans="1:15" ht="14.25" customHeight="1" x14ac:dyDescent="0.25">
      <c r="A250" s="8"/>
      <c r="B250" s="9"/>
      <c r="C250" s="8"/>
      <c r="D250" s="8"/>
      <c r="E250" s="8"/>
      <c r="F250" s="9"/>
      <c r="G250" s="9"/>
      <c r="H250" s="8"/>
      <c r="I250" s="8"/>
      <c r="J250" s="15"/>
      <c r="K250" s="8"/>
      <c r="L250" s="8"/>
      <c r="M250" s="8"/>
      <c r="N250" s="8"/>
      <c r="O250" s="8"/>
    </row>
    <row r="251" spans="1:15" ht="14.25" customHeight="1" x14ac:dyDescent="0.25">
      <c r="A251" s="8"/>
      <c r="B251" s="9"/>
      <c r="C251" s="8"/>
      <c r="D251" s="8"/>
      <c r="E251" s="8"/>
      <c r="F251" s="9"/>
      <c r="G251" s="9"/>
      <c r="H251" s="8"/>
      <c r="I251" s="8"/>
      <c r="J251" s="15"/>
      <c r="K251" s="8"/>
      <c r="L251" s="8"/>
      <c r="M251" s="8"/>
      <c r="N251" s="8"/>
      <c r="O251" s="8"/>
    </row>
    <row r="252" spans="1:15" ht="14.25" customHeight="1" x14ac:dyDescent="0.25">
      <c r="A252" s="8"/>
      <c r="B252" s="9"/>
      <c r="C252" s="8"/>
      <c r="D252" s="8"/>
      <c r="E252" s="8"/>
      <c r="F252" s="9"/>
      <c r="G252" s="9"/>
      <c r="H252" s="8"/>
      <c r="I252" s="8"/>
      <c r="J252" s="15"/>
      <c r="K252" s="8"/>
      <c r="L252" s="8"/>
      <c r="M252" s="8"/>
      <c r="N252" s="8"/>
      <c r="O252" s="8"/>
    </row>
    <row r="253" spans="1:15" ht="14.25" customHeight="1" x14ac:dyDescent="0.25">
      <c r="A253" s="8"/>
      <c r="B253" s="9"/>
      <c r="C253" s="8"/>
      <c r="D253" s="8"/>
      <c r="E253" s="8"/>
      <c r="F253" s="9"/>
      <c r="G253" s="9"/>
      <c r="H253" s="8"/>
      <c r="I253" s="8"/>
      <c r="J253" s="15"/>
      <c r="K253" s="8"/>
      <c r="L253" s="8"/>
      <c r="M253" s="8"/>
      <c r="N253" s="8"/>
      <c r="O253" s="8"/>
    </row>
    <row r="254" spans="1:15" ht="14.25" customHeight="1" x14ac:dyDescent="0.25">
      <c r="A254" s="8"/>
      <c r="B254" s="9"/>
      <c r="C254" s="8"/>
      <c r="D254" s="8"/>
      <c r="E254" s="8"/>
      <c r="F254" s="9"/>
      <c r="G254" s="9"/>
      <c r="H254" s="8"/>
      <c r="I254" s="8"/>
      <c r="J254" s="15"/>
      <c r="K254" s="8"/>
      <c r="L254" s="8"/>
      <c r="M254" s="8"/>
      <c r="N254" s="8"/>
      <c r="O254" s="8"/>
    </row>
    <row r="255" spans="1:15" ht="14.25" customHeight="1" x14ac:dyDescent="0.25">
      <c r="A255" s="8"/>
      <c r="B255" s="9"/>
      <c r="C255" s="8"/>
      <c r="D255" s="8"/>
      <c r="E255" s="8"/>
      <c r="F255" s="9"/>
      <c r="G255" s="9"/>
      <c r="H255" s="8"/>
      <c r="I255" s="8"/>
      <c r="J255" s="15"/>
      <c r="K255" s="8"/>
      <c r="L255" s="8"/>
      <c r="M255" s="8"/>
      <c r="N255" s="8"/>
      <c r="O255" s="8"/>
    </row>
    <row r="256" spans="1:15" ht="14.25" customHeight="1" x14ac:dyDescent="0.25">
      <c r="A256" s="8"/>
      <c r="B256" s="9"/>
      <c r="C256" s="8"/>
      <c r="D256" s="8"/>
      <c r="E256" s="8"/>
      <c r="F256" s="9"/>
      <c r="G256" s="9"/>
      <c r="H256" s="8"/>
      <c r="I256" s="8"/>
      <c r="J256" s="15"/>
      <c r="K256" s="8"/>
      <c r="L256" s="8"/>
      <c r="M256" s="8"/>
      <c r="N256" s="8"/>
      <c r="O256" s="8"/>
    </row>
    <row r="257" spans="1:15" ht="14.25" customHeight="1" x14ac:dyDescent="0.25">
      <c r="A257" s="8"/>
      <c r="B257" s="9"/>
      <c r="C257" s="8"/>
      <c r="D257" s="8"/>
      <c r="E257" s="8"/>
      <c r="F257" s="9"/>
      <c r="G257" s="9"/>
      <c r="H257" s="8"/>
      <c r="I257" s="8"/>
      <c r="J257" s="15"/>
      <c r="K257" s="8"/>
      <c r="L257" s="8"/>
      <c r="M257" s="8"/>
      <c r="N257" s="8"/>
      <c r="O257" s="8"/>
    </row>
    <row r="258" spans="1:15" ht="14.25" customHeight="1" x14ac:dyDescent="0.25">
      <c r="A258" s="8"/>
      <c r="B258" s="9"/>
      <c r="C258" s="8"/>
      <c r="D258" s="8"/>
      <c r="E258" s="8"/>
      <c r="F258" s="9"/>
      <c r="G258" s="9"/>
      <c r="H258" s="8"/>
      <c r="I258" s="8"/>
      <c r="J258" s="15"/>
      <c r="K258" s="8"/>
      <c r="L258" s="8"/>
      <c r="M258" s="8"/>
      <c r="N258" s="8"/>
      <c r="O258" s="8"/>
    </row>
    <row r="259" spans="1:15" ht="14.25" customHeight="1" x14ac:dyDescent="0.25">
      <c r="A259" s="8"/>
      <c r="B259" s="9"/>
      <c r="C259" s="8"/>
      <c r="D259" s="8"/>
      <c r="E259" s="8"/>
      <c r="F259" s="9"/>
      <c r="G259" s="9"/>
      <c r="H259" s="8"/>
      <c r="I259" s="8"/>
      <c r="J259" s="15"/>
      <c r="K259" s="8"/>
      <c r="L259" s="8"/>
      <c r="M259" s="8"/>
      <c r="N259" s="8"/>
      <c r="O259" s="8"/>
    </row>
    <row r="260" spans="1:15" ht="14.25" customHeight="1" x14ac:dyDescent="0.25">
      <c r="A260" s="8"/>
      <c r="B260" s="9"/>
      <c r="C260" s="8"/>
      <c r="D260" s="8"/>
      <c r="E260" s="8"/>
      <c r="F260" s="9"/>
      <c r="G260" s="9"/>
      <c r="H260" s="8"/>
      <c r="I260" s="8"/>
      <c r="J260" s="15"/>
      <c r="K260" s="8"/>
      <c r="L260" s="8"/>
      <c r="M260" s="8"/>
      <c r="N260" s="8"/>
      <c r="O260" s="8"/>
    </row>
    <row r="261" spans="1:15" ht="14.25" customHeight="1" x14ac:dyDescent="0.25">
      <c r="A261" s="8"/>
      <c r="B261" s="9"/>
      <c r="C261" s="8"/>
      <c r="D261" s="8"/>
      <c r="E261" s="8"/>
      <c r="F261" s="9"/>
      <c r="G261" s="9"/>
      <c r="H261" s="8"/>
      <c r="I261" s="8"/>
      <c r="J261" s="15"/>
      <c r="K261" s="8"/>
      <c r="L261" s="8"/>
      <c r="M261" s="8"/>
      <c r="N261" s="8"/>
      <c r="O261" s="8"/>
    </row>
    <row r="262" spans="1:15" ht="14.25" customHeight="1" x14ac:dyDescent="0.25">
      <c r="A262" s="8"/>
      <c r="B262" s="9"/>
      <c r="C262" s="8"/>
      <c r="D262" s="8"/>
      <c r="E262" s="8"/>
      <c r="F262" s="9"/>
      <c r="G262" s="9"/>
      <c r="H262" s="8"/>
      <c r="I262" s="8"/>
      <c r="J262" s="15"/>
      <c r="K262" s="8"/>
      <c r="L262" s="8"/>
      <c r="M262" s="8"/>
      <c r="N262" s="8"/>
      <c r="O262" s="8"/>
    </row>
    <row r="263" spans="1:15" ht="14.25" customHeight="1" x14ac:dyDescent="0.25">
      <c r="A263" s="8"/>
      <c r="B263" s="9"/>
      <c r="C263" s="8"/>
      <c r="D263" s="8"/>
      <c r="E263" s="8"/>
      <c r="F263" s="9"/>
      <c r="G263" s="9"/>
      <c r="H263" s="8"/>
      <c r="I263" s="8"/>
      <c r="J263" s="15"/>
      <c r="K263" s="8"/>
      <c r="L263" s="8"/>
      <c r="M263" s="8"/>
      <c r="N263" s="8"/>
      <c r="O263" s="8"/>
    </row>
    <row r="264" spans="1:15" ht="14.25" customHeight="1" x14ac:dyDescent="0.25">
      <c r="A264" s="8"/>
      <c r="B264" s="9"/>
      <c r="C264" s="8"/>
      <c r="D264" s="8"/>
      <c r="E264" s="8"/>
      <c r="F264" s="9"/>
      <c r="G264" s="9"/>
      <c r="H264" s="8"/>
      <c r="I264" s="8"/>
      <c r="J264" s="15"/>
      <c r="K264" s="8"/>
      <c r="L264" s="8"/>
      <c r="M264" s="8"/>
      <c r="N264" s="8"/>
      <c r="O264" s="8"/>
    </row>
    <row r="265" spans="1:15" ht="14.25" customHeight="1" x14ac:dyDescent="0.25">
      <c r="A265" s="8"/>
      <c r="B265" s="9"/>
      <c r="C265" s="8"/>
      <c r="D265" s="8"/>
      <c r="E265" s="8"/>
      <c r="F265" s="9"/>
      <c r="G265" s="9"/>
      <c r="H265" s="8"/>
      <c r="I265" s="8"/>
      <c r="J265" s="15"/>
      <c r="K265" s="8"/>
      <c r="L265" s="8"/>
      <c r="M265" s="8"/>
      <c r="N265" s="8"/>
      <c r="O265" s="8"/>
    </row>
    <row r="266" spans="1:15" ht="14.25" customHeight="1" x14ac:dyDescent="0.25">
      <c r="A266" s="8"/>
      <c r="B266" s="9"/>
      <c r="C266" s="8"/>
      <c r="D266" s="8"/>
      <c r="E266" s="8"/>
      <c r="F266" s="9"/>
      <c r="G266" s="9"/>
      <c r="H266" s="8"/>
      <c r="I266" s="8"/>
      <c r="J266" s="15"/>
      <c r="K266" s="8"/>
      <c r="L266" s="8"/>
      <c r="M266" s="8"/>
      <c r="N266" s="8"/>
      <c r="O266" s="8"/>
    </row>
    <row r="267" spans="1:15" ht="14.25" customHeight="1" x14ac:dyDescent="0.25">
      <c r="A267" s="8"/>
      <c r="B267" s="9"/>
      <c r="C267" s="8"/>
      <c r="D267" s="8"/>
      <c r="E267" s="8"/>
      <c r="F267" s="9"/>
      <c r="G267" s="9"/>
      <c r="H267" s="8"/>
      <c r="I267" s="8"/>
      <c r="J267" s="15"/>
      <c r="K267" s="8"/>
      <c r="L267" s="8"/>
      <c r="M267" s="8"/>
      <c r="N267" s="8"/>
      <c r="O267" s="8"/>
    </row>
    <row r="268" spans="1:15" ht="14.25" customHeight="1" x14ac:dyDescent="0.25">
      <c r="A268" s="8"/>
      <c r="B268" s="9"/>
      <c r="C268" s="8"/>
      <c r="D268" s="8"/>
      <c r="E268" s="8"/>
      <c r="F268" s="9"/>
      <c r="G268" s="9"/>
      <c r="H268" s="8"/>
      <c r="I268" s="8"/>
      <c r="J268" s="15"/>
      <c r="K268" s="8"/>
      <c r="L268" s="8"/>
      <c r="M268" s="8"/>
      <c r="N268" s="8"/>
      <c r="O268" s="8"/>
    </row>
    <row r="269" spans="1:15" ht="14.25" customHeight="1" x14ac:dyDescent="0.25">
      <c r="A269" s="8"/>
      <c r="B269" s="9"/>
      <c r="C269" s="8"/>
      <c r="D269" s="8"/>
      <c r="E269" s="8"/>
      <c r="F269" s="9"/>
      <c r="G269" s="9"/>
      <c r="H269" s="8"/>
      <c r="I269" s="8"/>
      <c r="J269" s="15"/>
      <c r="K269" s="8"/>
      <c r="L269" s="8"/>
      <c r="M269" s="8"/>
      <c r="N269" s="8"/>
      <c r="O269" s="8"/>
    </row>
    <row r="270" spans="1:15" ht="14.25" customHeight="1" x14ac:dyDescent="0.25">
      <c r="A270" s="8"/>
      <c r="B270" s="9"/>
      <c r="C270" s="8"/>
      <c r="D270" s="8"/>
      <c r="E270" s="8"/>
      <c r="F270" s="9"/>
      <c r="G270" s="9"/>
      <c r="H270" s="8"/>
      <c r="I270" s="8"/>
      <c r="J270" s="15"/>
      <c r="K270" s="8"/>
      <c r="L270" s="8"/>
      <c r="M270" s="8"/>
      <c r="N270" s="8"/>
      <c r="O270" s="8"/>
    </row>
    <row r="271" spans="1:15" ht="14.25" customHeight="1" x14ac:dyDescent="0.25">
      <c r="A271" s="8"/>
      <c r="B271" s="9"/>
      <c r="C271" s="8"/>
      <c r="D271" s="8"/>
      <c r="E271" s="8"/>
      <c r="F271" s="9"/>
      <c r="G271" s="9"/>
      <c r="H271" s="8"/>
      <c r="I271" s="8"/>
      <c r="J271" s="15"/>
      <c r="K271" s="8"/>
      <c r="L271" s="8"/>
      <c r="M271" s="8"/>
      <c r="N271" s="8"/>
      <c r="O271" s="8"/>
    </row>
    <row r="272" spans="1:15" ht="14.25" customHeight="1" x14ac:dyDescent="0.25">
      <c r="A272" s="8"/>
      <c r="B272" s="9"/>
      <c r="C272" s="8"/>
      <c r="D272" s="8"/>
      <c r="E272" s="8"/>
      <c r="F272" s="9"/>
      <c r="G272" s="9"/>
      <c r="H272" s="8"/>
      <c r="I272" s="8"/>
      <c r="J272" s="15"/>
      <c r="K272" s="8"/>
      <c r="L272" s="8"/>
      <c r="M272" s="8"/>
      <c r="N272" s="8"/>
      <c r="O272" s="8"/>
    </row>
    <row r="273" spans="1:15" ht="14.25" customHeight="1" x14ac:dyDescent="0.25">
      <c r="A273" s="8"/>
      <c r="B273" s="9"/>
      <c r="C273" s="8"/>
      <c r="D273" s="8"/>
      <c r="E273" s="8"/>
      <c r="F273" s="9"/>
      <c r="G273" s="9"/>
      <c r="H273" s="8"/>
      <c r="I273" s="8"/>
      <c r="J273" s="15"/>
      <c r="K273" s="8"/>
      <c r="L273" s="8"/>
      <c r="M273" s="8"/>
      <c r="N273" s="8"/>
      <c r="O273" s="8"/>
    </row>
    <row r="274" spans="1:15" ht="14.25" customHeight="1" x14ac:dyDescent="0.25">
      <c r="A274" s="8"/>
      <c r="B274" s="9"/>
      <c r="C274" s="8"/>
      <c r="D274" s="8"/>
      <c r="E274" s="8"/>
      <c r="F274" s="9"/>
      <c r="G274" s="9"/>
      <c r="H274" s="8"/>
      <c r="I274" s="8"/>
      <c r="J274" s="15"/>
      <c r="K274" s="8"/>
      <c r="L274" s="8"/>
      <c r="M274" s="8"/>
      <c r="N274" s="8"/>
      <c r="O274" s="8"/>
    </row>
    <row r="275" spans="1:15" ht="14.25" customHeight="1" x14ac:dyDescent="0.25">
      <c r="A275" s="8"/>
      <c r="B275" s="9"/>
      <c r="C275" s="8"/>
      <c r="D275" s="8"/>
      <c r="E275" s="8"/>
      <c r="F275" s="9"/>
      <c r="G275" s="9"/>
      <c r="H275" s="8"/>
      <c r="I275" s="8"/>
      <c r="J275" s="15"/>
      <c r="K275" s="8"/>
      <c r="L275" s="8"/>
      <c r="M275" s="8"/>
      <c r="N275" s="8"/>
      <c r="O275" s="8"/>
    </row>
    <row r="276" spans="1:15" ht="14.25" customHeight="1" x14ac:dyDescent="0.25">
      <c r="A276" s="8"/>
      <c r="B276" s="9"/>
      <c r="C276" s="8"/>
      <c r="D276" s="8"/>
      <c r="E276" s="8"/>
      <c r="F276" s="9"/>
      <c r="G276" s="9"/>
      <c r="H276" s="8"/>
      <c r="I276" s="8"/>
      <c r="J276" s="15"/>
      <c r="K276" s="8"/>
      <c r="L276" s="8"/>
      <c r="M276" s="8"/>
      <c r="N276" s="8"/>
      <c r="O276" s="8"/>
    </row>
    <row r="277" spans="1:15" ht="14.25" customHeight="1" x14ac:dyDescent="0.25">
      <c r="A277" s="8"/>
      <c r="B277" s="9"/>
      <c r="C277" s="8"/>
      <c r="D277" s="8"/>
      <c r="E277" s="8"/>
      <c r="F277" s="9"/>
      <c r="G277" s="9"/>
      <c r="H277" s="8"/>
      <c r="I277" s="8"/>
      <c r="J277" s="15"/>
      <c r="K277" s="8"/>
      <c r="L277" s="8"/>
      <c r="M277" s="8"/>
      <c r="N277" s="8"/>
      <c r="O277" s="8"/>
    </row>
    <row r="278" spans="1:15" ht="14.25" customHeight="1" x14ac:dyDescent="0.25">
      <c r="A278" s="8"/>
      <c r="B278" s="9"/>
      <c r="C278" s="8"/>
      <c r="D278" s="8"/>
      <c r="E278" s="8"/>
      <c r="F278" s="9"/>
      <c r="G278" s="9"/>
      <c r="H278" s="8"/>
      <c r="I278" s="8"/>
      <c r="J278" s="15"/>
      <c r="K278" s="8"/>
      <c r="L278" s="8"/>
      <c r="M278" s="8"/>
      <c r="N278" s="8"/>
      <c r="O278" s="8"/>
    </row>
    <row r="279" spans="1:15" ht="14.25" customHeight="1" x14ac:dyDescent="0.25">
      <c r="A279" s="8"/>
      <c r="B279" s="9"/>
      <c r="C279" s="8"/>
      <c r="D279" s="8"/>
      <c r="E279" s="8"/>
      <c r="F279" s="9"/>
      <c r="G279" s="9"/>
      <c r="H279" s="8"/>
      <c r="I279" s="8"/>
      <c r="J279" s="15"/>
      <c r="K279" s="8"/>
      <c r="L279" s="8"/>
      <c r="M279" s="8"/>
      <c r="N279" s="8"/>
      <c r="O279" s="8"/>
    </row>
    <row r="280" spans="1:15" ht="14.25" customHeight="1" x14ac:dyDescent="0.25">
      <c r="A280" s="8"/>
      <c r="B280" s="9"/>
      <c r="C280" s="8"/>
      <c r="D280" s="8"/>
      <c r="E280" s="8"/>
      <c r="F280" s="9"/>
      <c r="G280" s="9"/>
      <c r="H280" s="8"/>
      <c r="I280" s="8"/>
      <c r="J280" s="15"/>
      <c r="K280" s="8"/>
      <c r="L280" s="8"/>
      <c r="M280" s="8"/>
      <c r="N280" s="8"/>
      <c r="O280" s="8"/>
    </row>
    <row r="281" spans="1:15" ht="14.25" customHeight="1" x14ac:dyDescent="0.25">
      <c r="A281" s="8"/>
      <c r="B281" s="9"/>
      <c r="C281" s="8"/>
      <c r="D281" s="8"/>
      <c r="E281" s="8"/>
      <c r="F281" s="9"/>
      <c r="G281" s="9"/>
      <c r="H281" s="8"/>
      <c r="I281" s="8"/>
      <c r="J281" s="15"/>
      <c r="K281" s="8"/>
      <c r="L281" s="8"/>
      <c r="M281" s="8"/>
      <c r="N281" s="8"/>
      <c r="O281" s="8"/>
    </row>
    <row r="282" spans="1:15" ht="14.25" customHeight="1" x14ac:dyDescent="0.25">
      <c r="A282" s="8"/>
      <c r="B282" s="9"/>
      <c r="C282" s="8"/>
      <c r="D282" s="8"/>
      <c r="E282" s="8"/>
      <c r="F282" s="9"/>
      <c r="G282" s="9"/>
      <c r="H282" s="8"/>
      <c r="I282" s="8"/>
      <c r="J282" s="15"/>
      <c r="K282" s="8"/>
      <c r="L282" s="8"/>
      <c r="M282" s="8"/>
      <c r="N282" s="8"/>
      <c r="O282" s="8"/>
    </row>
    <row r="283" spans="1:15" ht="14.25" customHeight="1" x14ac:dyDescent="0.25">
      <c r="A283" s="8"/>
      <c r="B283" s="9"/>
      <c r="C283" s="8"/>
      <c r="D283" s="8"/>
      <c r="E283" s="8"/>
      <c r="F283" s="9"/>
      <c r="G283" s="9"/>
      <c r="H283" s="8"/>
      <c r="I283" s="8"/>
      <c r="J283" s="15"/>
      <c r="K283" s="8"/>
      <c r="L283" s="8"/>
      <c r="M283" s="8"/>
      <c r="N283" s="8"/>
      <c r="O283" s="8"/>
    </row>
    <row r="284" spans="1:15" ht="14.25" customHeight="1" x14ac:dyDescent="0.25">
      <c r="A284" s="8"/>
      <c r="B284" s="9"/>
      <c r="C284" s="8"/>
      <c r="D284" s="8"/>
      <c r="E284" s="8"/>
      <c r="F284" s="9"/>
      <c r="G284" s="9"/>
      <c r="H284" s="8"/>
      <c r="I284" s="8"/>
      <c r="J284" s="15"/>
      <c r="K284" s="8"/>
      <c r="L284" s="8"/>
      <c r="M284" s="8"/>
      <c r="N284" s="8"/>
      <c r="O284" s="8"/>
    </row>
    <row r="285" spans="1:15" ht="14.25" customHeight="1" x14ac:dyDescent="0.25">
      <c r="A285" s="8"/>
      <c r="B285" s="9"/>
      <c r="C285" s="8"/>
      <c r="D285" s="8"/>
      <c r="E285" s="8"/>
      <c r="F285" s="9"/>
      <c r="G285" s="9"/>
      <c r="H285" s="8"/>
      <c r="I285" s="8"/>
      <c r="J285" s="15"/>
      <c r="K285" s="8"/>
      <c r="L285" s="8"/>
      <c r="M285" s="8"/>
      <c r="N285" s="8"/>
      <c r="O285" s="8"/>
    </row>
    <row r="286" spans="1:15" ht="14.25" customHeight="1" x14ac:dyDescent="0.25">
      <c r="A286" s="8"/>
      <c r="B286" s="9"/>
      <c r="C286" s="8"/>
      <c r="D286" s="8"/>
      <c r="E286" s="8"/>
      <c r="F286" s="9"/>
      <c r="G286" s="9"/>
      <c r="H286" s="8"/>
      <c r="I286" s="8"/>
      <c r="J286" s="15"/>
      <c r="K286" s="8"/>
      <c r="L286" s="8"/>
      <c r="M286" s="8"/>
      <c r="N286" s="8"/>
      <c r="O286" s="8"/>
    </row>
    <row r="287" spans="1:15" ht="14.25" customHeight="1" x14ac:dyDescent="0.25">
      <c r="A287" s="8"/>
      <c r="B287" s="9"/>
      <c r="C287" s="8"/>
      <c r="D287" s="8"/>
      <c r="E287" s="8"/>
      <c r="F287" s="9"/>
      <c r="G287" s="9"/>
      <c r="H287" s="8"/>
      <c r="I287" s="8"/>
      <c r="J287" s="15"/>
      <c r="K287" s="8"/>
      <c r="L287" s="8"/>
      <c r="M287" s="8"/>
      <c r="N287" s="8"/>
      <c r="O287" s="8"/>
    </row>
    <row r="288" spans="1:15" ht="14.25" customHeight="1" x14ac:dyDescent="0.25">
      <c r="A288" s="8"/>
      <c r="B288" s="9"/>
      <c r="C288" s="8"/>
      <c r="D288" s="8"/>
      <c r="E288" s="8"/>
      <c r="F288" s="9"/>
      <c r="G288" s="9"/>
      <c r="H288" s="8"/>
      <c r="I288" s="8"/>
      <c r="J288" s="15"/>
      <c r="K288" s="8"/>
      <c r="L288" s="8"/>
      <c r="M288" s="8"/>
      <c r="N288" s="8"/>
      <c r="O288" s="8"/>
    </row>
    <row r="289" spans="1:15" ht="14.25" customHeight="1" x14ac:dyDescent="0.25">
      <c r="A289" s="8"/>
      <c r="B289" s="9"/>
      <c r="C289" s="8"/>
      <c r="D289" s="8"/>
      <c r="E289" s="8"/>
      <c r="F289" s="9"/>
      <c r="G289" s="9"/>
      <c r="H289" s="8"/>
      <c r="I289" s="8"/>
      <c r="J289" s="15"/>
      <c r="K289" s="8"/>
      <c r="L289" s="8"/>
      <c r="M289" s="8"/>
      <c r="N289" s="8"/>
      <c r="O289" s="8"/>
    </row>
    <row r="290" spans="1:15" ht="14.25" customHeight="1" x14ac:dyDescent="0.25">
      <c r="A290" s="8"/>
      <c r="B290" s="9"/>
      <c r="C290" s="8"/>
      <c r="D290" s="8"/>
      <c r="E290" s="8"/>
      <c r="F290" s="9"/>
      <c r="G290" s="9"/>
      <c r="H290" s="8"/>
      <c r="I290" s="8"/>
      <c r="J290" s="15"/>
      <c r="K290" s="8"/>
      <c r="L290" s="8"/>
      <c r="M290" s="8"/>
      <c r="N290" s="8"/>
      <c r="O290" s="8"/>
    </row>
    <row r="291" spans="1:15" ht="14.25" customHeight="1" x14ac:dyDescent="0.25">
      <c r="A291" s="8"/>
      <c r="B291" s="9"/>
      <c r="C291" s="8"/>
      <c r="D291" s="8"/>
      <c r="E291" s="8"/>
      <c r="F291" s="9"/>
      <c r="G291" s="9"/>
      <c r="H291" s="8"/>
      <c r="I291" s="8"/>
      <c r="J291" s="15"/>
      <c r="K291" s="8"/>
      <c r="L291" s="8"/>
      <c r="M291" s="8"/>
      <c r="N291" s="8"/>
      <c r="O291" s="8"/>
    </row>
    <row r="292" spans="1:15" ht="14.25" customHeight="1" x14ac:dyDescent="0.25">
      <c r="A292" s="8"/>
      <c r="B292" s="9"/>
      <c r="C292" s="8"/>
      <c r="D292" s="8"/>
      <c r="E292" s="8"/>
      <c r="F292" s="9"/>
      <c r="G292" s="9"/>
      <c r="H292" s="8"/>
      <c r="I292" s="8"/>
      <c r="J292" s="15"/>
      <c r="K292" s="8"/>
      <c r="L292" s="8"/>
      <c r="M292" s="8"/>
      <c r="N292" s="8"/>
      <c r="O292" s="8"/>
    </row>
    <row r="293" spans="1:15" ht="14.25" customHeight="1" x14ac:dyDescent="0.25">
      <c r="A293" s="8"/>
      <c r="B293" s="9"/>
      <c r="C293" s="8"/>
      <c r="D293" s="8"/>
      <c r="E293" s="8"/>
      <c r="F293" s="9"/>
      <c r="G293" s="9"/>
      <c r="H293" s="8"/>
      <c r="I293" s="8"/>
      <c r="J293" s="15"/>
      <c r="K293" s="8"/>
      <c r="L293" s="8"/>
      <c r="M293" s="8"/>
      <c r="N293" s="8"/>
      <c r="O293" s="8"/>
    </row>
    <row r="294" spans="1:15" ht="14.25" customHeight="1" x14ac:dyDescent="0.25">
      <c r="A294" s="8"/>
      <c r="B294" s="9"/>
      <c r="C294" s="8"/>
      <c r="D294" s="8"/>
      <c r="E294" s="8"/>
      <c r="F294" s="9"/>
      <c r="G294" s="9"/>
      <c r="H294" s="8"/>
      <c r="I294" s="8"/>
      <c r="J294" s="15"/>
      <c r="K294" s="8"/>
      <c r="L294" s="8"/>
      <c r="M294" s="8"/>
      <c r="N294" s="8"/>
      <c r="O294" s="8"/>
    </row>
    <row r="295" spans="1:15" ht="14.25" customHeight="1" x14ac:dyDescent="0.25">
      <c r="A295" s="8"/>
      <c r="B295" s="9"/>
      <c r="C295" s="8"/>
      <c r="D295" s="8"/>
      <c r="E295" s="8"/>
      <c r="F295" s="9"/>
      <c r="G295" s="9"/>
      <c r="H295" s="8"/>
      <c r="I295" s="8"/>
      <c r="J295" s="15"/>
      <c r="K295" s="8"/>
      <c r="L295" s="8"/>
      <c r="M295" s="8"/>
      <c r="N295" s="8"/>
      <c r="O295" s="8"/>
    </row>
    <row r="296" spans="1:15" ht="14.25" customHeight="1" x14ac:dyDescent="0.25">
      <c r="A296" s="8"/>
      <c r="B296" s="9"/>
      <c r="C296" s="8"/>
      <c r="D296" s="8"/>
      <c r="E296" s="8"/>
      <c r="F296" s="9"/>
      <c r="G296" s="9"/>
      <c r="H296" s="8"/>
      <c r="I296" s="8"/>
      <c r="J296" s="15"/>
      <c r="K296" s="8"/>
      <c r="L296" s="8"/>
      <c r="M296" s="8"/>
      <c r="N296" s="8"/>
      <c r="O296" s="8"/>
    </row>
    <row r="297" spans="1:15" ht="14.25" customHeight="1" x14ac:dyDescent="0.25">
      <c r="A297" s="8"/>
      <c r="B297" s="9"/>
      <c r="C297" s="8"/>
      <c r="D297" s="8"/>
      <c r="E297" s="8"/>
      <c r="F297" s="9"/>
      <c r="G297" s="9"/>
      <c r="H297" s="8"/>
      <c r="I297" s="8"/>
      <c r="J297" s="15"/>
      <c r="K297" s="8"/>
      <c r="L297" s="8"/>
      <c r="M297" s="8"/>
      <c r="N297" s="8"/>
      <c r="O297" s="8"/>
    </row>
    <row r="298" spans="1:15" ht="14.25" customHeight="1" x14ac:dyDescent="0.25">
      <c r="A298" s="8"/>
      <c r="B298" s="9"/>
      <c r="C298" s="8"/>
      <c r="D298" s="8"/>
      <c r="E298" s="8"/>
      <c r="F298" s="9"/>
      <c r="G298" s="9"/>
      <c r="H298" s="8"/>
      <c r="I298" s="8"/>
      <c r="J298" s="15"/>
      <c r="K298" s="8"/>
      <c r="L298" s="8"/>
      <c r="M298" s="8"/>
      <c r="N298" s="8"/>
      <c r="O298" s="8"/>
    </row>
    <row r="299" spans="1:15" ht="14.25" customHeight="1" x14ac:dyDescent="0.25">
      <c r="A299" s="8"/>
      <c r="B299" s="9"/>
      <c r="C299" s="8"/>
      <c r="D299" s="8"/>
      <c r="E299" s="8"/>
      <c r="F299" s="9"/>
      <c r="G299" s="9"/>
      <c r="H299" s="8"/>
      <c r="I299" s="8"/>
      <c r="J299" s="15"/>
      <c r="K299" s="8"/>
      <c r="L299" s="8"/>
      <c r="M299" s="8"/>
      <c r="N299" s="8"/>
      <c r="O299" s="8"/>
    </row>
    <row r="300" spans="1:15" ht="14.25" customHeight="1" x14ac:dyDescent="0.25">
      <c r="A300" s="8"/>
      <c r="B300" s="9"/>
      <c r="C300" s="8"/>
      <c r="D300" s="8"/>
      <c r="E300" s="8"/>
      <c r="F300" s="9"/>
      <c r="G300" s="9"/>
      <c r="H300" s="8"/>
      <c r="I300" s="8"/>
      <c r="J300" s="15"/>
      <c r="K300" s="8"/>
      <c r="L300" s="8"/>
      <c r="M300" s="8"/>
      <c r="N300" s="8"/>
      <c r="O300" s="8"/>
    </row>
    <row r="301" spans="1:15" ht="14.25" customHeight="1" x14ac:dyDescent="0.25">
      <c r="A301" s="8"/>
      <c r="B301" s="9"/>
      <c r="C301" s="8"/>
      <c r="D301" s="8"/>
      <c r="E301" s="8"/>
      <c r="F301" s="9"/>
      <c r="G301" s="9"/>
      <c r="H301" s="8"/>
      <c r="I301" s="8"/>
      <c r="J301" s="15"/>
      <c r="K301" s="8"/>
      <c r="L301" s="8"/>
      <c r="M301" s="8"/>
      <c r="N301" s="8"/>
      <c r="O301" s="8"/>
    </row>
    <row r="302" spans="1:15" ht="14.25" customHeight="1" x14ac:dyDescent="0.25">
      <c r="A302" s="8"/>
      <c r="B302" s="9"/>
      <c r="C302" s="8"/>
      <c r="D302" s="8"/>
      <c r="E302" s="8"/>
      <c r="F302" s="9"/>
      <c r="G302" s="9"/>
      <c r="H302" s="8"/>
      <c r="I302" s="8"/>
      <c r="J302" s="15"/>
      <c r="K302" s="8"/>
      <c r="L302" s="8"/>
      <c r="M302" s="8"/>
      <c r="N302" s="8"/>
      <c r="O302" s="8"/>
    </row>
    <row r="303" spans="1:15" ht="14.25" customHeight="1" x14ac:dyDescent="0.25">
      <c r="A303" s="8"/>
      <c r="B303" s="9"/>
      <c r="C303" s="8"/>
      <c r="D303" s="8"/>
      <c r="E303" s="8"/>
      <c r="F303" s="9"/>
      <c r="G303" s="9"/>
      <c r="H303" s="8"/>
      <c r="I303" s="8"/>
      <c r="J303" s="15"/>
      <c r="K303" s="8"/>
      <c r="L303" s="8"/>
      <c r="M303" s="8"/>
      <c r="N303" s="8"/>
      <c r="O303" s="8"/>
    </row>
    <row r="304" spans="1:15" ht="14.25" customHeight="1" x14ac:dyDescent="0.25">
      <c r="A304" s="8"/>
      <c r="B304" s="9"/>
      <c r="C304" s="8"/>
      <c r="D304" s="8"/>
      <c r="E304" s="8"/>
      <c r="F304" s="9"/>
      <c r="G304" s="9"/>
      <c r="H304" s="8"/>
      <c r="I304" s="8"/>
      <c r="J304" s="15"/>
      <c r="K304" s="8"/>
      <c r="L304" s="8"/>
      <c r="M304" s="8"/>
      <c r="N304" s="8"/>
      <c r="O304" s="8"/>
    </row>
    <row r="305" spans="1:15" ht="14.25" customHeight="1" x14ac:dyDescent="0.25">
      <c r="A305" s="8"/>
      <c r="B305" s="9"/>
      <c r="C305" s="8"/>
      <c r="D305" s="8"/>
      <c r="E305" s="8"/>
      <c r="F305" s="9"/>
      <c r="G305" s="9"/>
      <c r="H305" s="8"/>
      <c r="I305" s="8"/>
      <c r="J305" s="15"/>
      <c r="K305" s="8"/>
      <c r="L305" s="8"/>
      <c r="M305" s="8"/>
      <c r="N305" s="8"/>
      <c r="O305" s="8"/>
    </row>
    <row r="306" spans="1:15" ht="14.25" customHeight="1" x14ac:dyDescent="0.25">
      <c r="A306" s="8"/>
      <c r="B306" s="9"/>
      <c r="C306" s="8"/>
      <c r="D306" s="8"/>
      <c r="E306" s="8"/>
      <c r="F306" s="9"/>
      <c r="G306" s="9"/>
      <c r="H306" s="8"/>
      <c r="I306" s="8"/>
      <c r="J306" s="15"/>
      <c r="K306" s="8"/>
      <c r="L306" s="8"/>
      <c r="M306" s="8"/>
      <c r="N306" s="8"/>
      <c r="O306" s="8"/>
    </row>
    <row r="307" spans="1:15" ht="14.25" customHeight="1" x14ac:dyDescent="0.25">
      <c r="A307" s="8"/>
      <c r="B307" s="9"/>
      <c r="C307" s="8"/>
      <c r="D307" s="8"/>
      <c r="E307" s="8"/>
      <c r="F307" s="9"/>
      <c r="G307" s="9"/>
      <c r="H307" s="8"/>
      <c r="I307" s="8"/>
      <c r="J307" s="15"/>
      <c r="K307" s="8"/>
      <c r="L307" s="8"/>
      <c r="M307" s="8"/>
      <c r="N307" s="8"/>
      <c r="O307" s="8"/>
    </row>
    <row r="308" spans="1:15" ht="14.25" customHeight="1" x14ac:dyDescent="0.25">
      <c r="A308" s="8"/>
      <c r="B308" s="9"/>
      <c r="C308" s="8"/>
      <c r="D308" s="8"/>
      <c r="E308" s="8"/>
      <c r="F308" s="9"/>
      <c r="G308" s="9"/>
      <c r="H308" s="8"/>
      <c r="I308" s="8"/>
      <c r="J308" s="15"/>
      <c r="K308" s="8"/>
      <c r="L308" s="8"/>
      <c r="M308" s="8"/>
      <c r="N308" s="8"/>
      <c r="O308" s="8"/>
    </row>
    <row r="309" spans="1:15" ht="14.25" customHeight="1" x14ac:dyDescent="0.25">
      <c r="A309" s="8"/>
      <c r="B309" s="9"/>
      <c r="C309" s="8"/>
      <c r="D309" s="8"/>
      <c r="E309" s="8"/>
      <c r="F309" s="9"/>
      <c r="G309" s="9"/>
      <c r="H309" s="8"/>
      <c r="I309" s="8"/>
      <c r="J309" s="15"/>
      <c r="K309" s="8"/>
      <c r="L309" s="8"/>
      <c r="M309" s="8"/>
      <c r="N309" s="8"/>
      <c r="O309" s="8"/>
    </row>
    <row r="310" spans="1:15" ht="14.25" customHeight="1" x14ac:dyDescent="0.25">
      <c r="A310" s="8"/>
      <c r="B310" s="9"/>
      <c r="C310" s="8"/>
      <c r="D310" s="8"/>
      <c r="E310" s="8"/>
      <c r="F310" s="9"/>
      <c r="G310" s="9"/>
      <c r="H310" s="8"/>
      <c r="I310" s="8"/>
      <c r="J310" s="15"/>
      <c r="K310" s="8"/>
      <c r="L310" s="8"/>
      <c r="M310" s="8"/>
      <c r="N310" s="8"/>
      <c r="O310" s="8"/>
    </row>
    <row r="311" spans="1:15" ht="14.25" customHeight="1" x14ac:dyDescent="0.25">
      <c r="A311" s="8"/>
      <c r="B311" s="9"/>
      <c r="C311" s="8"/>
      <c r="D311" s="8"/>
      <c r="E311" s="8"/>
      <c r="F311" s="9"/>
      <c r="G311" s="9"/>
      <c r="H311" s="8"/>
      <c r="I311" s="8"/>
      <c r="J311" s="15"/>
      <c r="K311" s="8"/>
      <c r="L311" s="8"/>
      <c r="M311" s="8"/>
      <c r="N311" s="8"/>
      <c r="O311" s="8"/>
    </row>
    <row r="312" spans="1:15" ht="14.25" customHeight="1" x14ac:dyDescent="0.25">
      <c r="A312" s="8"/>
      <c r="B312" s="9"/>
      <c r="C312" s="8"/>
      <c r="D312" s="8"/>
      <c r="E312" s="8"/>
      <c r="F312" s="9"/>
      <c r="G312" s="9"/>
      <c r="H312" s="8"/>
      <c r="I312" s="8"/>
      <c r="J312" s="15"/>
      <c r="K312" s="8"/>
      <c r="L312" s="8"/>
      <c r="M312" s="8"/>
      <c r="N312" s="8"/>
      <c r="O312" s="8"/>
    </row>
    <row r="313" spans="1:15" ht="14.25" customHeight="1" x14ac:dyDescent="0.25">
      <c r="A313" s="8"/>
      <c r="B313" s="9"/>
      <c r="C313" s="8"/>
      <c r="D313" s="8"/>
      <c r="E313" s="8"/>
      <c r="F313" s="9"/>
      <c r="G313" s="9"/>
      <c r="H313" s="8"/>
      <c r="I313" s="8"/>
      <c r="J313" s="15"/>
      <c r="K313" s="8"/>
      <c r="L313" s="8"/>
      <c r="M313" s="8"/>
      <c r="N313" s="8"/>
      <c r="O313" s="8"/>
    </row>
    <row r="314" spans="1:15" ht="14.25" customHeight="1" x14ac:dyDescent="0.25">
      <c r="A314" s="8"/>
      <c r="B314" s="9"/>
      <c r="C314" s="8"/>
      <c r="D314" s="8"/>
      <c r="E314" s="8"/>
      <c r="F314" s="9"/>
      <c r="G314" s="9"/>
      <c r="H314" s="8"/>
      <c r="I314" s="8"/>
      <c r="J314" s="15"/>
      <c r="K314" s="8"/>
      <c r="L314" s="8"/>
      <c r="M314" s="8"/>
      <c r="N314" s="8"/>
      <c r="O314" s="8"/>
    </row>
    <row r="315" spans="1:15" ht="14.25" customHeight="1" x14ac:dyDescent="0.25">
      <c r="A315" s="8"/>
      <c r="B315" s="9"/>
      <c r="C315" s="8"/>
      <c r="D315" s="8"/>
      <c r="E315" s="8"/>
      <c r="F315" s="9"/>
      <c r="G315" s="9"/>
      <c r="H315" s="8"/>
      <c r="I315" s="8"/>
      <c r="J315" s="15"/>
      <c r="K315" s="8"/>
      <c r="L315" s="8"/>
      <c r="M315" s="8"/>
      <c r="N315" s="8"/>
      <c r="O315" s="8"/>
    </row>
    <row r="316" spans="1:15" ht="14.25" customHeight="1" x14ac:dyDescent="0.25">
      <c r="A316" s="8"/>
      <c r="B316" s="9"/>
      <c r="C316" s="8"/>
      <c r="D316" s="8"/>
      <c r="E316" s="8"/>
      <c r="F316" s="9"/>
      <c r="G316" s="9"/>
      <c r="H316" s="8"/>
      <c r="I316" s="8"/>
      <c r="J316" s="15"/>
      <c r="K316" s="8"/>
      <c r="L316" s="8"/>
      <c r="M316" s="8"/>
      <c r="N316" s="8"/>
      <c r="O316" s="8"/>
    </row>
    <row r="317" spans="1:15" ht="14.25" customHeight="1" x14ac:dyDescent="0.25">
      <c r="A317" s="8"/>
      <c r="B317" s="9"/>
      <c r="C317" s="8"/>
      <c r="D317" s="8"/>
      <c r="E317" s="8"/>
      <c r="F317" s="9"/>
      <c r="G317" s="9"/>
      <c r="H317" s="8"/>
      <c r="I317" s="8"/>
      <c r="J317" s="15"/>
      <c r="K317" s="8"/>
      <c r="L317" s="8"/>
      <c r="M317" s="8"/>
      <c r="N317" s="8"/>
      <c r="O317" s="8"/>
    </row>
    <row r="318" spans="1:15" ht="14.25" customHeight="1" x14ac:dyDescent="0.25">
      <c r="A318" s="8"/>
      <c r="B318" s="9"/>
      <c r="C318" s="8"/>
      <c r="D318" s="8"/>
      <c r="E318" s="8"/>
      <c r="F318" s="9"/>
      <c r="G318" s="9"/>
      <c r="H318" s="8"/>
      <c r="I318" s="8"/>
      <c r="J318" s="15"/>
      <c r="K318" s="8"/>
      <c r="L318" s="8"/>
      <c r="M318" s="8"/>
      <c r="N318" s="8"/>
      <c r="O318" s="8"/>
    </row>
    <row r="319" spans="1:15" ht="14.25" customHeight="1" x14ac:dyDescent="0.25">
      <c r="A319" s="8"/>
      <c r="B319" s="9"/>
      <c r="C319" s="8"/>
      <c r="D319" s="8"/>
      <c r="E319" s="8"/>
      <c r="F319" s="9"/>
      <c r="G319" s="9"/>
      <c r="H319" s="8"/>
      <c r="I319" s="8"/>
      <c r="J319" s="15"/>
      <c r="K319" s="8"/>
      <c r="L319" s="8"/>
      <c r="M319" s="8"/>
      <c r="N319" s="8"/>
      <c r="O319" s="8"/>
    </row>
    <row r="320" spans="1:15" ht="14.25" customHeight="1" x14ac:dyDescent="0.25">
      <c r="A320" s="8"/>
      <c r="B320" s="9"/>
      <c r="C320" s="8"/>
      <c r="D320" s="8"/>
      <c r="E320" s="8"/>
      <c r="F320" s="9"/>
      <c r="G320" s="9"/>
      <c r="H320" s="8"/>
      <c r="I320" s="8"/>
      <c r="J320" s="15"/>
      <c r="K320" s="8"/>
      <c r="L320" s="8"/>
      <c r="M320" s="8"/>
      <c r="N320" s="8"/>
      <c r="O320" s="8"/>
    </row>
    <row r="321" spans="1:15" ht="14.25" customHeight="1" x14ac:dyDescent="0.25">
      <c r="A321" s="8"/>
      <c r="B321" s="9"/>
      <c r="C321" s="8"/>
      <c r="D321" s="8"/>
      <c r="E321" s="8"/>
      <c r="F321" s="9"/>
      <c r="G321" s="9"/>
      <c r="H321" s="8"/>
      <c r="I321" s="8"/>
      <c r="J321" s="15"/>
      <c r="K321" s="8"/>
      <c r="L321" s="8"/>
      <c r="M321" s="8"/>
      <c r="N321" s="8"/>
      <c r="O321" s="8"/>
    </row>
    <row r="322" spans="1:15" ht="14.25" customHeight="1" x14ac:dyDescent="0.25">
      <c r="A322" s="8"/>
      <c r="B322" s="9"/>
      <c r="C322" s="8"/>
      <c r="D322" s="8"/>
      <c r="E322" s="8"/>
      <c r="F322" s="9"/>
      <c r="G322" s="9"/>
      <c r="H322" s="8"/>
      <c r="I322" s="8"/>
      <c r="J322" s="15"/>
      <c r="K322" s="8"/>
      <c r="L322" s="8"/>
      <c r="M322" s="8"/>
      <c r="N322" s="8"/>
      <c r="O322" s="8"/>
    </row>
    <row r="323" spans="1:15" ht="14.25" customHeight="1" x14ac:dyDescent="0.25">
      <c r="A323" s="8"/>
      <c r="B323" s="9"/>
      <c r="C323" s="8"/>
      <c r="D323" s="8"/>
      <c r="E323" s="8"/>
      <c r="F323" s="9"/>
      <c r="G323" s="9"/>
      <c r="H323" s="8"/>
      <c r="I323" s="8"/>
      <c r="J323" s="15"/>
      <c r="K323" s="8"/>
      <c r="L323" s="8"/>
      <c r="M323" s="8"/>
      <c r="N323" s="8"/>
      <c r="O323" s="8"/>
    </row>
    <row r="324" spans="1:15" ht="14.25" customHeight="1" x14ac:dyDescent="0.25">
      <c r="A324" s="8"/>
      <c r="B324" s="9"/>
      <c r="C324" s="8"/>
      <c r="D324" s="8"/>
      <c r="E324" s="8"/>
      <c r="F324" s="9"/>
      <c r="G324" s="9"/>
      <c r="H324" s="8"/>
      <c r="I324" s="8"/>
      <c r="J324" s="15"/>
      <c r="K324" s="8"/>
      <c r="L324" s="8"/>
      <c r="M324" s="8"/>
      <c r="N324" s="8"/>
      <c r="O324" s="8"/>
    </row>
    <row r="325" spans="1:15" ht="14.25" customHeight="1" x14ac:dyDescent="0.25">
      <c r="A325" s="8"/>
      <c r="B325" s="9"/>
      <c r="C325" s="8"/>
      <c r="D325" s="8"/>
      <c r="E325" s="8"/>
      <c r="F325" s="9"/>
      <c r="G325" s="9"/>
      <c r="H325" s="8"/>
      <c r="I325" s="8"/>
      <c r="J325" s="15"/>
      <c r="K325" s="8"/>
      <c r="L325" s="8"/>
      <c r="M325" s="8"/>
      <c r="N325" s="8"/>
      <c r="O325" s="8"/>
    </row>
    <row r="326" spans="1:15" ht="14.25" customHeight="1" x14ac:dyDescent="0.25">
      <c r="A326" s="8"/>
      <c r="B326" s="9"/>
      <c r="C326" s="8"/>
      <c r="D326" s="8"/>
      <c r="E326" s="8"/>
      <c r="F326" s="9"/>
      <c r="G326" s="9"/>
      <c r="H326" s="8"/>
      <c r="I326" s="8"/>
      <c r="J326" s="15"/>
      <c r="K326" s="8"/>
      <c r="L326" s="8"/>
      <c r="M326" s="8"/>
      <c r="N326" s="8"/>
      <c r="O326" s="8"/>
    </row>
    <row r="327" spans="1:15" ht="14.25" customHeight="1" x14ac:dyDescent="0.25">
      <c r="A327" s="8"/>
      <c r="B327" s="9"/>
      <c r="C327" s="8"/>
      <c r="D327" s="8"/>
      <c r="E327" s="8"/>
      <c r="F327" s="9"/>
      <c r="G327" s="9"/>
      <c r="H327" s="8"/>
      <c r="I327" s="8"/>
      <c r="J327" s="15"/>
      <c r="K327" s="8"/>
      <c r="L327" s="8"/>
      <c r="M327" s="8"/>
      <c r="N327" s="8"/>
      <c r="O327" s="8"/>
    </row>
    <row r="328" spans="1:15" ht="14.25" customHeight="1" x14ac:dyDescent="0.25">
      <c r="A328" s="8"/>
      <c r="B328" s="9"/>
      <c r="C328" s="8"/>
      <c r="D328" s="8"/>
      <c r="E328" s="8"/>
      <c r="F328" s="9"/>
      <c r="G328" s="9"/>
      <c r="H328" s="8"/>
      <c r="I328" s="8"/>
      <c r="J328" s="15"/>
      <c r="K328" s="8"/>
      <c r="L328" s="8"/>
      <c r="M328" s="8"/>
      <c r="N328" s="8"/>
      <c r="O328" s="8"/>
    </row>
    <row r="329" spans="1:15" ht="14.25" customHeight="1" x14ac:dyDescent="0.25">
      <c r="A329" s="8"/>
      <c r="B329" s="9"/>
      <c r="C329" s="8"/>
      <c r="D329" s="8"/>
      <c r="E329" s="8"/>
      <c r="F329" s="9"/>
      <c r="G329" s="9"/>
      <c r="H329" s="8"/>
      <c r="I329" s="8"/>
      <c r="J329" s="15"/>
      <c r="K329" s="8"/>
      <c r="L329" s="8"/>
      <c r="M329" s="8"/>
      <c r="N329" s="8"/>
      <c r="O329" s="8"/>
    </row>
    <row r="330" spans="1:15" ht="14.25" customHeight="1" x14ac:dyDescent="0.25">
      <c r="A330" s="8"/>
      <c r="B330" s="9"/>
      <c r="C330" s="8"/>
      <c r="D330" s="8"/>
      <c r="E330" s="8"/>
      <c r="F330" s="9"/>
      <c r="G330" s="9"/>
      <c r="H330" s="8"/>
      <c r="I330" s="8"/>
      <c r="J330" s="15"/>
      <c r="K330" s="8"/>
      <c r="L330" s="8"/>
      <c r="M330" s="8"/>
      <c r="N330" s="8"/>
      <c r="O330" s="8"/>
    </row>
    <row r="331" spans="1:15" ht="14.25" customHeight="1" x14ac:dyDescent="0.25">
      <c r="A331" s="8"/>
      <c r="B331" s="9"/>
      <c r="C331" s="8"/>
      <c r="D331" s="8"/>
      <c r="E331" s="8"/>
      <c r="F331" s="9"/>
      <c r="G331" s="9"/>
      <c r="H331" s="8"/>
      <c r="I331" s="8"/>
      <c r="J331" s="15"/>
      <c r="K331" s="8"/>
      <c r="L331" s="8"/>
      <c r="M331" s="8"/>
      <c r="N331" s="8"/>
      <c r="O331" s="8"/>
    </row>
    <row r="332" spans="1:15" ht="14.25" customHeight="1" x14ac:dyDescent="0.25">
      <c r="A332" s="8"/>
      <c r="B332" s="9"/>
      <c r="C332" s="8"/>
      <c r="D332" s="8"/>
      <c r="E332" s="8"/>
      <c r="F332" s="9"/>
      <c r="G332" s="9"/>
      <c r="H332" s="8"/>
      <c r="I332" s="8"/>
      <c r="J332" s="15"/>
      <c r="K332" s="8"/>
      <c r="L332" s="8"/>
      <c r="M332" s="8"/>
      <c r="N332" s="8"/>
      <c r="O332" s="8"/>
    </row>
    <row r="333" spans="1:15" ht="14.25" customHeight="1" x14ac:dyDescent="0.25">
      <c r="A333" s="8"/>
      <c r="B333" s="9"/>
      <c r="C333" s="8"/>
      <c r="D333" s="8"/>
      <c r="E333" s="8"/>
      <c r="F333" s="9"/>
      <c r="G333" s="9"/>
      <c r="H333" s="8"/>
      <c r="I333" s="8"/>
      <c r="J333" s="15"/>
      <c r="K333" s="8"/>
      <c r="L333" s="8"/>
      <c r="M333" s="8"/>
      <c r="N333" s="8"/>
      <c r="O333" s="8"/>
    </row>
    <row r="334" spans="1:15" ht="14.25" customHeight="1" x14ac:dyDescent="0.25">
      <c r="A334" s="8"/>
      <c r="B334" s="9"/>
      <c r="C334" s="8"/>
      <c r="D334" s="8"/>
      <c r="E334" s="8"/>
      <c r="F334" s="9"/>
      <c r="G334" s="9"/>
      <c r="H334" s="8"/>
      <c r="I334" s="8"/>
      <c r="J334" s="15"/>
      <c r="K334" s="8"/>
      <c r="L334" s="8"/>
      <c r="M334" s="8"/>
      <c r="N334" s="8"/>
      <c r="O334" s="8"/>
    </row>
    <row r="335" spans="1:15" ht="14.25" customHeight="1" x14ac:dyDescent="0.25">
      <c r="A335" s="8"/>
      <c r="B335" s="9"/>
      <c r="C335" s="8"/>
      <c r="D335" s="8"/>
      <c r="E335" s="8"/>
      <c r="F335" s="9"/>
      <c r="G335" s="9"/>
      <c r="H335" s="8"/>
      <c r="I335" s="8"/>
      <c r="J335" s="15"/>
      <c r="K335" s="8"/>
      <c r="L335" s="8"/>
      <c r="M335" s="8"/>
      <c r="N335" s="8"/>
      <c r="O335" s="8"/>
    </row>
    <row r="336" spans="1:15" ht="14.25" customHeight="1" x14ac:dyDescent="0.25">
      <c r="A336" s="8"/>
      <c r="B336" s="9"/>
      <c r="C336" s="8"/>
      <c r="D336" s="8"/>
      <c r="E336" s="8"/>
      <c r="F336" s="9"/>
      <c r="G336" s="9"/>
      <c r="H336" s="8"/>
      <c r="I336" s="8"/>
      <c r="J336" s="15"/>
      <c r="K336" s="8"/>
      <c r="L336" s="8"/>
      <c r="M336" s="8"/>
      <c r="N336" s="8"/>
      <c r="O336" s="8"/>
    </row>
    <row r="337" spans="1:15" ht="14.25" customHeight="1" x14ac:dyDescent="0.25">
      <c r="A337" s="8"/>
      <c r="B337" s="9"/>
      <c r="C337" s="8"/>
      <c r="D337" s="8"/>
      <c r="E337" s="8"/>
      <c r="F337" s="9"/>
      <c r="G337" s="9"/>
      <c r="H337" s="8"/>
      <c r="I337" s="8"/>
      <c r="J337" s="15"/>
      <c r="K337" s="8"/>
      <c r="L337" s="8"/>
      <c r="M337" s="8"/>
      <c r="N337" s="8"/>
      <c r="O337" s="8"/>
    </row>
    <row r="338" spans="1:15" ht="14.25" customHeight="1" x14ac:dyDescent="0.25">
      <c r="A338" s="8"/>
      <c r="B338" s="9"/>
      <c r="C338" s="8"/>
      <c r="D338" s="8"/>
      <c r="E338" s="8"/>
      <c r="F338" s="9"/>
      <c r="G338" s="9"/>
      <c r="H338" s="8"/>
      <c r="I338" s="8"/>
      <c r="J338" s="15"/>
      <c r="K338" s="8"/>
      <c r="L338" s="8"/>
      <c r="M338" s="8"/>
      <c r="N338" s="8"/>
      <c r="O338" s="8"/>
    </row>
    <row r="339" spans="1:15" ht="14.25" customHeight="1" x14ac:dyDescent="0.25">
      <c r="A339" s="8"/>
      <c r="B339" s="9"/>
      <c r="C339" s="8"/>
      <c r="D339" s="8"/>
      <c r="E339" s="8"/>
      <c r="F339" s="9"/>
      <c r="G339" s="9"/>
      <c r="H339" s="8"/>
      <c r="I339" s="8"/>
      <c r="J339" s="15"/>
      <c r="K339" s="8"/>
      <c r="L339" s="8"/>
      <c r="M339" s="8"/>
      <c r="N339" s="8"/>
      <c r="O339" s="8"/>
    </row>
    <row r="340" spans="1:15" ht="14.25" customHeight="1" x14ac:dyDescent="0.25">
      <c r="A340" s="8"/>
      <c r="B340" s="9"/>
      <c r="C340" s="8"/>
      <c r="D340" s="8"/>
      <c r="E340" s="8"/>
      <c r="F340" s="9"/>
      <c r="G340" s="9"/>
      <c r="H340" s="8"/>
      <c r="I340" s="8"/>
      <c r="J340" s="15"/>
      <c r="K340" s="8"/>
      <c r="L340" s="8"/>
      <c r="M340" s="8"/>
      <c r="N340" s="8"/>
      <c r="O340" s="8"/>
    </row>
    <row r="341" spans="1:15" ht="14.25" customHeight="1" x14ac:dyDescent="0.25">
      <c r="A341" s="8"/>
      <c r="B341" s="9"/>
      <c r="C341" s="8"/>
      <c r="D341" s="8"/>
      <c r="E341" s="8"/>
      <c r="F341" s="9"/>
      <c r="G341" s="9"/>
      <c r="H341" s="8"/>
      <c r="I341" s="8"/>
      <c r="J341" s="15"/>
      <c r="K341" s="8"/>
      <c r="L341" s="8"/>
      <c r="M341" s="8"/>
      <c r="N341" s="8"/>
      <c r="O341" s="8"/>
    </row>
    <row r="342" spans="1:15" ht="14.25" customHeight="1" x14ac:dyDescent="0.25">
      <c r="A342" s="8"/>
      <c r="B342" s="9"/>
      <c r="C342" s="8"/>
      <c r="D342" s="8"/>
      <c r="E342" s="8"/>
      <c r="F342" s="9"/>
      <c r="G342" s="9"/>
      <c r="H342" s="8"/>
      <c r="I342" s="8"/>
      <c r="J342" s="15"/>
      <c r="K342" s="8"/>
      <c r="L342" s="8"/>
      <c r="M342" s="8"/>
      <c r="N342" s="8"/>
      <c r="O342" s="8"/>
    </row>
    <row r="343" spans="1:15" ht="14.25" customHeight="1" x14ac:dyDescent="0.25">
      <c r="A343" s="8"/>
      <c r="B343" s="9"/>
      <c r="C343" s="8"/>
      <c r="D343" s="8"/>
      <c r="E343" s="8"/>
      <c r="F343" s="9"/>
      <c r="G343" s="9"/>
      <c r="H343" s="8"/>
      <c r="I343" s="8"/>
      <c r="J343" s="15"/>
      <c r="K343" s="8"/>
      <c r="L343" s="8"/>
      <c r="M343" s="8"/>
      <c r="N343" s="8"/>
      <c r="O343" s="8"/>
    </row>
    <row r="344" spans="1:15" ht="14.25" customHeight="1" x14ac:dyDescent="0.25">
      <c r="A344" s="8"/>
      <c r="B344" s="9"/>
      <c r="C344" s="8"/>
      <c r="D344" s="8"/>
      <c r="E344" s="8"/>
      <c r="F344" s="9"/>
      <c r="G344" s="9"/>
      <c r="H344" s="8"/>
      <c r="I344" s="8"/>
      <c r="J344" s="15"/>
      <c r="K344" s="8"/>
      <c r="L344" s="8"/>
      <c r="M344" s="8"/>
      <c r="N344" s="8"/>
      <c r="O344" s="8"/>
    </row>
    <row r="345" spans="1:15" ht="14.25" customHeight="1" x14ac:dyDescent="0.25">
      <c r="A345" s="8"/>
      <c r="B345" s="9"/>
      <c r="C345" s="8"/>
      <c r="D345" s="8"/>
      <c r="E345" s="8"/>
      <c r="F345" s="9"/>
      <c r="G345" s="9"/>
      <c r="H345" s="8"/>
      <c r="I345" s="8"/>
      <c r="J345" s="15"/>
      <c r="K345" s="8"/>
      <c r="L345" s="8"/>
      <c r="M345" s="8"/>
      <c r="N345" s="8"/>
      <c r="O345" s="8"/>
    </row>
    <row r="346" spans="1:15" ht="14.25" customHeight="1" x14ac:dyDescent="0.25">
      <c r="A346" s="8"/>
      <c r="B346" s="9"/>
      <c r="C346" s="8"/>
      <c r="D346" s="8"/>
      <c r="E346" s="8"/>
      <c r="F346" s="9"/>
      <c r="G346" s="9"/>
      <c r="H346" s="8"/>
      <c r="I346" s="8"/>
      <c r="J346" s="15"/>
      <c r="K346" s="8"/>
      <c r="L346" s="8"/>
      <c r="M346" s="8"/>
      <c r="N346" s="8"/>
      <c r="O346" s="8"/>
    </row>
    <row r="347" spans="1:15" ht="14.25" customHeight="1" x14ac:dyDescent="0.25">
      <c r="A347" s="8"/>
      <c r="B347" s="9"/>
      <c r="C347" s="8"/>
      <c r="D347" s="8"/>
      <c r="E347" s="8"/>
      <c r="F347" s="9"/>
      <c r="G347" s="9"/>
      <c r="H347" s="8"/>
      <c r="I347" s="8"/>
      <c r="J347" s="15"/>
      <c r="K347" s="8"/>
      <c r="L347" s="8"/>
      <c r="M347" s="8"/>
      <c r="N347" s="8"/>
      <c r="O347" s="8"/>
    </row>
    <row r="348" spans="1:15" ht="14.25" customHeight="1" x14ac:dyDescent="0.25">
      <c r="A348" s="8"/>
      <c r="B348" s="9"/>
      <c r="C348" s="8"/>
      <c r="D348" s="8"/>
      <c r="E348" s="8"/>
      <c r="F348" s="9"/>
      <c r="G348" s="9"/>
      <c r="H348" s="8"/>
      <c r="I348" s="8"/>
      <c r="J348" s="15"/>
      <c r="K348" s="8"/>
      <c r="L348" s="8"/>
      <c r="M348" s="8"/>
      <c r="N348" s="8"/>
      <c r="O348" s="8"/>
    </row>
    <row r="349" spans="1:15" ht="14.25" customHeight="1" x14ac:dyDescent="0.25">
      <c r="A349" s="8"/>
      <c r="B349" s="9"/>
      <c r="C349" s="8"/>
      <c r="D349" s="8"/>
      <c r="E349" s="8"/>
      <c r="F349" s="9"/>
      <c r="G349" s="9"/>
      <c r="H349" s="8"/>
      <c r="I349" s="8"/>
      <c r="J349" s="15"/>
      <c r="K349" s="8"/>
      <c r="L349" s="8"/>
      <c r="M349" s="8"/>
      <c r="N349" s="8"/>
      <c r="O349" s="8"/>
    </row>
    <row r="350" spans="1:15" ht="14.25" customHeight="1" x14ac:dyDescent="0.25">
      <c r="A350" s="8"/>
      <c r="B350" s="9"/>
      <c r="C350" s="8"/>
      <c r="D350" s="8"/>
      <c r="E350" s="8"/>
      <c r="F350" s="9"/>
      <c r="G350" s="9"/>
      <c r="H350" s="8"/>
      <c r="I350" s="8"/>
      <c r="J350" s="15"/>
      <c r="K350" s="8"/>
      <c r="L350" s="8"/>
      <c r="M350" s="8"/>
      <c r="N350" s="8"/>
      <c r="O350" s="8"/>
    </row>
    <row r="351" spans="1:15" ht="14.25" customHeight="1" x14ac:dyDescent="0.25">
      <c r="A351" s="8"/>
      <c r="B351" s="9"/>
      <c r="C351" s="8"/>
      <c r="D351" s="8"/>
      <c r="E351" s="8"/>
      <c r="F351" s="9"/>
      <c r="G351" s="9"/>
      <c r="H351" s="8"/>
      <c r="I351" s="8"/>
      <c r="J351" s="15"/>
      <c r="K351" s="8"/>
      <c r="L351" s="8"/>
      <c r="M351" s="8"/>
      <c r="N351" s="8"/>
      <c r="O351" s="8"/>
    </row>
    <row r="352" spans="1:15" ht="14.25" customHeight="1" x14ac:dyDescent="0.25">
      <c r="A352" s="8"/>
      <c r="B352" s="9"/>
      <c r="C352" s="8"/>
      <c r="D352" s="8"/>
      <c r="E352" s="8"/>
      <c r="F352" s="9"/>
      <c r="G352" s="9"/>
      <c r="H352" s="8"/>
      <c r="I352" s="8"/>
      <c r="J352" s="15"/>
      <c r="K352" s="8"/>
      <c r="L352" s="8"/>
      <c r="M352" s="8"/>
      <c r="N352" s="8"/>
      <c r="O352" s="8"/>
    </row>
    <row r="353" spans="1:15" ht="14.25" customHeight="1" x14ac:dyDescent="0.25">
      <c r="A353" s="8"/>
      <c r="B353" s="9"/>
      <c r="C353" s="8"/>
      <c r="D353" s="8"/>
      <c r="E353" s="8"/>
      <c r="F353" s="9"/>
      <c r="G353" s="9"/>
      <c r="H353" s="8"/>
      <c r="I353" s="8"/>
      <c r="J353" s="15"/>
      <c r="K353" s="8"/>
      <c r="L353" s="8"/>
      <c r="M353" s="8"/>
      <c r="N353" s="8"/>
      <c r="O353" s="8"/>
    </row>
    <row r="354" spans="1:15" ht="14.25" customHeight="1" x14ac:dyDescent="0.25">
      <c r="A354" s="8"/>
      <c r="B354" s="9"/>
      <c r="C354" s="8"/>
      <c r="D354" s="8"/>
      <c r="E354" s="8"/>
      <c r="F354" s="9"/>
      <c r="G354" s="9"/>
      <c r="H354" s="8"/>
      <c r="I354" s="8"/>
      <c r="J354" s="15"/>
      <c r="K354" s="8"/>
      <c r="L354" s="8"/>
      <c r="M354" s="8"/>
      <c r="N354" s="8"/>
      <c r="O354" s="8"/>
    </row>
    <row r="355" spans="1:15" ht="14.25" customHeight="1" x14ac:dyDescent="0.25">
      <c r="A355" s="8"/>
      <c r="B355" s="9"/>
      <c r="C355" s="8"/>
      <c r="D355" s="8"/>
      <c r="E355" s="8"/>
      <c r="F355" s="9"/>
      <c r="G355" s="9"/>
      <c r="H355" s="8"/>
      <c r="I355" s="8"/>
      <c r="J355" s="15"/>
      <c r="K355" s="8"/>
      <c r="L355" s="8"/>
      <c r="M355" s="8"/>
      <c r="N355" s="8"/>
      <c r="O355" s="8"/>
    </row>
    <row r="356" spans="1:15" ht="14.25" customHeight="1" x14ac:dyDescent="0.25">
      <c r="A356" s="8"/>
      <c r="B356" s="9"/>
      <c r="C356" s="8"/>
      <c r="D356" s="8"/>
      <c r="E356" s="8"/>
      <c r="F356" s="9"/>
      <c r="G356" s="9"/>
      <c r="H356" s="8"/>
      <c r="I356" s="8"/>
      <c r="J356" s="15"/>
      <c r="K356" s="8"/>
      <c r="L356" s="8"/>
      <c r="M356" s="8"/>
      <c r="N356" s="8"/>
      <c r="O356" s="8"/>
    </row>
    <row r="357" spans="1:15" ht="14.25" customHeight="1" x14ac:dyDescent="0.25">
      <c r="A357" s="8"/>
      <c r="B357" s="9"/>
      <c r="C357" s="8"/>
      <c r="D357" s="8"/>
      <c r="E357" s="8"/>
      <c r="F357" s="9"/>
      <c r="G357" s="9"/>
      <c r="H357" s="8"/>
      <c r="I357" s="8"/>
      <c r="J357" s="15"/>
      <c r="K357" s="8"/>
      <c r="L357" s="8"/>
      <c r="M357" s="8"/>
      <c r="N357" s="8"/>
      <c r="O357" s="8"/>
    </row>
    <row r="358" spans="1:15" ht="14.25" customHeight="1" x14ac:dyDescent="0.25">
      <c r="A358" s="8"/>
      <c r="B358" s="9"/>
      <c r="C358" s="8"/>
      <c r="D358" s="8"/>
      <c r="E358" s="8"/>
      <c r="F358" s="9"/>
      <c r="G358" s="9"/>
      <c r="H358" s="8"/>
      <c r="I358" s="8"/>
      <c r="J358" s="15"/>
      <c r="K358" s="8"/>
      <c r="L358" s="8"/>
      <c r="M358" s="8"/>
      <c r="N358" s="8"/>
      <c r="O358" s="8"/>
    </row>
    <row r="359" spans="1:15" ht="14.25" customHeight="1" x14ac:dyDescent="0.25">
      <c r="A359" s="8"/>
      <c r="B359" s="9"/>
      <c r="C359" s="8"/>
      <c r="D359" s="8"/>
      <c r="E359" s="8"/>
      <c r="F359" s="9"/>
      <c r="G359" s="9"/>
      <c r="H359" s="8"/>
      <c r="I359" s="8"/>
      <c r="J359" s="15"/>
      <c r="K359" s="8"/>
      <c r="L359" s="8"/>
      <c r="M359" s="8"/>
      <c r="N359" s="8"/>
      <c r="O359" s="8"/>
    </row>
    <row r="360" spans="1:15" ht="14.25" customHeight="1" x14ac:dyDescent="0.25">
      <c r="A360" s="8"/>
      <c r="B360" s="9"/>
      <c r="C360" s="8"/>
      <c r="D360" s="8"/>
      <c r="E360" s="8"/>
      <c r="F360" s="9"/>
      <c r="G360" s="9"/>
      <c r="H360" s="8"/>
      <c r="I360" s="8"/>
      <c r="J360" s="15"/>
      <c r="K360" s="8"/>
      <c r="L360" s="8"/>
      <c r="M360" s="8"/>
      <c r="N360" s="8"/>
      <c r="O360" s="8"/>
    </row>
    <row r="361" spans="1:15" ht="14.25" customHeight="1" x14ac:dyDescent="0.25">
      <c r="A361" s="8"/>
      <c r="B361" s="9"/>
      <c r="C361" s="8"/>
      <c r="D361" s="8"/>
      <c r="E361" s="8"/>
      <c r="F361" s="9"/>
      <c r="G361" s="9"/>
      <c r="H361" s="8"/>
      <c r="I361" s="8"/>
      <c r="J361" s="15"/>
      <c r="K361" s="8"/>
      <c r="L361" s="8"/>
      <c r="M361" s="8"/>
      <c r="N361" s="8"/>
      <c r="O361" s="8"/>
    </row>
    <row r="362" spans="1:15" ht="14.25" customHeight="1" x14ac:dyDescent="0.25">
      <c r="A362" s="8"/>
      <c r="B362" s="9"/>
      <c r="C362" s="8"/>
      <c r="D362" s="8"/>
      <c r="E362" s="8"/>
      <c r="F362" s="9"/>
      <c r="G362" s="9"/>
      <c r="H362" s="8"/>
      <c r="I362" s="8"/>
      <c r="J362" s="15"/>
      <c r="K362" s="8"/>
      <c r="L362" s="8"/>
      <c r="M362" s="8"/>
      <c r="N362" s="8"/>
      <c r="O362" s="8"/>
    </row>
    <row r="363" spans="1:15" ht="14.25" customHeight="1" x14ac:dyDescent="0.25">
      <c r="A363" s="8"/>
      <c r="B363" s="9"/>
      <c r="C363" s="8"/>
      <c r="D363" s="8"/>
      <c r="E363" s="8"/>
      <c r="F363" s="9"/>
      <c r="G363" s="9"/>
      <c r="H363" s="8"/>
      <c r="I363" s="8"/>
      <c r="J363" s="15"/>
      <c r="K363" s="8"/>
      <c r="L363" s="8"/>
      <c r="M363" s="8"/>
      <c r="N363" s="8"/>
      <c r="O363" s="8"/>
    </row>
    <row r="364" spans="1:15" ht="14.25" customHeight="1" x14ac:dyDescent="0.25">
      <c r="A364" s="8"/>
      <c r="B364" s="9"/>
      <c r="C364" s="8"/>
      <c r="D364" s="8"/>
      <c r="E364" s="8"/>
      <c r="F364" s="9"/>
      <c r="G364" s="9"/>
      <c r="H364" s="8"/>
      <c r="I364" s="8"/>
      <c r="J364" s="15"/>
      <c r="K364" s="8"/>
      <c r="L364" s="8"/>
      <c r="M364" s="8"/>
      <c r="N364" s="8"/>
      <c r="O364" s="8"/>
    </row>
    <row r="365" spans="1:15" ht="14.25" customHeight="1" x14ac:dyDescent="0.25">
      <c r="A365" s="8"/>
      <c r="B365" s="9"/>
      <c r="C365" s="8"/>
      <c r="D365" s="8"/>
      <c r="E365" s="8"/>
      <c r="F365" s="9"/>
      <c r="G365" s="9"/>
      <c r="H365" s="8"/>
      <c r="I365" s="8"/>
      <c r="J365" s="15"/>
      <c r="K365" s="8"/>
      <c r="L365" s="8"/>
      <c r="M365" s="8"/>
      <c r="N365" s="8"/>
      <c r="O365" s="8"/>
    </row>
    <row r="366" spans="1:15" ht="14.25" customHeight="1" x14ac:dyDescent="0.25">
      <c r="A366" s="8"/>
      <c r="B366" s="9"/>
      <c r="C366" s="8"/>
      <c r="D366" s="8"/>
      <c r="E366" s="8"/>
      <c r="F366" s="9"/>
      <c r="G366" s="9"/>
      <c r="H366" s="8"/>
      <c r="I366" s="8"/>
      <c r="J366" s="15"/>
      <c r="K366" s="8"/>
      <c r="L366" s="8"/>
      <c r="M366" s="8"/>
      <c r="N366" s="8"/>
      <c r="O366" s="8"/>
    </row>
    <row r="367" spans="1:15" ht="14.25" customHeight="1" x14ac:dyDescent="0.25">
      <c r="A367" s="8"/>
      <c r="B367" s="9"/>
      <c r="C367" s="8"/>
      <c r="D367" s="8"/>
      <c r="E367" s="8"/>
      <c r="F367" s="9"/>
      <c r="G367" s="9"/>
      <c r="H367" s="8"/>
      <c r="I367" s="8"/>
      <c r="J367" s="15"/>
      <c r="K367" s="8"/>
      <c r="L367" s="8"/>
      <c r="M367" s="8"/>
      <c r="N367" s="8"/>
      <c r="O367" s="8"/>
    </row>
    <row r="368" spans="1:15" ht="14.25" customHeight="1" x14ac:dyDescent="0.25">
      <c r="A368" s="8"/>
      <c r="B368" s="9"/>
      <c r="C368" s="8"/>
      <c r="D368" s="8"/>
      <c r="E368" s="8"/>
      <c r="F368" s="9"/>
      <c r="G368" s="9"/>
      <c r="H368" s="8"/>
      <c r="I368" s="8"/>
      <c r="J368" s="15"/>
      <c r="K368" s="8"/>
      <c r="L368" s="8"/>
      <c r="M368" s="8"/>
      <c r="N368" s="8"/>
      <c r="O368" s="8"/>
    </row>
    <row r="369" spans="1:15" ht="14.25" customHeight="1" x14ac:dyDescent="0.25">
      <c r="A369" s="8"/>
      <c r="B369" s="9"/>
      <c r="C369" s="8"/>
      <c r="D369" s="8"/>
      <c r="E369" s="8"/>
      <c r="F369" s="9"/>
      <c r="G369" s="9"/>
      <c r="H369" s="8"/>
      <c r="I369" s="8"/>
      <c r="J369" s="15"/>
      <c r="K369" s="8"/>
      <c r="L369" s="8"/>
      <c r="M369" s="8"/>
      <c r="N369" s="8"/>
      <c r="O369" s="8"/>
    </row>
    <row r="370" spans="1:15" ht="14.25" customHeight="1" x14ac:dyDescent="0.25">
      <c r="A370" s="8"/>
      <c r="B370" s="9"/>
      <c r="C370" s="8"/>
      <c r="D370" s="8"/>
      <c r="E370" s="8"/>
      <c r="F370" s="9"/>
      <c r="G370" s="9"/>
      <c r="H370" s="8"/>
      <c r="I370" s="8"/>
      <c r="J370" s="15"/>
      <c r="K370" s="8"/>
      <c r="L370" s="8"/>
      <c r="M370" s="8"/>
      <c r="N370" s="8"/>
      <c r="O370" s="8"/>
    </row>
    <row r="371" spans="1:15" ht="14.25" customHeight="1" x14ac:dyDescent="0.25">
      <c r="A371" s="8"/>
      <c r="B371" s="9"/>
      <c r="C371" s="8"/>
      <c r="D371" s="8"/>
      <c r="E371" s="8"/>
      <c r="F371" s="9"/>
      <c r="G371" s="9"/>
      <c r="H371" s="8"/>
      <c r="I371" s="8"/>
      <c r="J371" s="15"/>
      <c r="K371" s="8"/>
      <c r="L371" s="8"/>
      <c r="M371" s="8"/>
      <c r="N371" s="8"/>
      <c r="O371" s="8"/>
    </row>
    <row r="372" spans="1:15" ht="14.25" customHeight="1" x14ac:dyDescent="0.25">
      <c r="A372" s="8"/>
      <c r="B372" s="9"/>
      <c r="C372" s="8"/>
      <c r="D372" s="8"/>
      <c r="E372" s="8"/>
      <c r="F372" s="9"/>
      <c r="G372" s="9"/>
      <c r="H372" s="8"/>
      <c r="I372" s="8"/>
      <c r="J372" s="15"/>
      <c r="K372" s="8"/>
      <c r="L372" s="8"/>
      <c r="M372" s="8"/>
      <c r="N372" s="8"/>
      <c r="O372" s="8"/>
    </row>
    <row r="373" spans="1:15" ht="14.25" customHeight="1" x14ac:dyDescent="0.25">
      <c r="A373" s="8"/>
      <c r="B373" s="9"/>
      <c r="C373" s="8"/>
      <c r="D373" s="8"/>
      <c r="E373" s="8"/>
      <c r="F373" s="9"/>
      <c r="G373" s="9"/>
      <c r="H373" s="8"/>
      <c r="I373" s="8"/>
      <c r="J373" s="15"/>
      <c r="K373" s="8"/>
      <c r="L373" s="8"/>
      <c r="M373" s="8"/>
      <c r="N373" s="8"/>
      <c r="O373" s="8"/>
    </row>
    <row r="374" spans="1:15" ht="14.25" customHeight="1" x14ac:dyDescent="0.25">
      <c r="A374" s="8"/>
      <c r="B374" s="9"/>
      <c r="C374" s="8"/>
      <c r="D374" s="8"/>
      <c r="E374" s="8"/>
      <c r="F374" s="9"/>
      <c r="G374" s="9"/>
      <c r="H374" s="8"/>
      <c r="I374" s="8"/>
      <c r="J374" s="15"/>
      <c r="K374" s="8"/>
      <c r="L374" s="8"/>
      <c r="M374" s="8"/>
      <c r="N374" s="8"/>
      <c r="O374" s="8"/>
    </row>
    <row r="375" spans="1:15" ht="14.25" customHeight="1" x14ac:dyDescent="0.25">
      <c r="A375" s="8"/>
      <c r="B375" s="9"/>
      <c r="C375" s="8"/>
      <c r="D375" s="8"/>
      <c r="E375" s="8"/>
      <c r="F375" s="9"/>
      <c r="G375" s="9"/>
      <c r="H375" s="8"/>
      <c r="I375" s="8"/>
      <c r="J375" s="15"/>
      <c r="K375" s="8"/>
      <c r="L375" s="8"/>
      <c r="M375" s="8"/>
      <c r="N375" s="8"/>
      <c r="O375" s="8"/>
    </row>
    <row r="376" spans="1:15" ht="14.25" customHeight="1" x14ac:dyDescent="0.25">
      <c r="A376" s="8"/>
      <c r="B376" s="9"/>
      <c r="C376" s="8"/>
      <c r="D376" s="8"/>
      <c r="E376" s="8"/>
      <c r="F376" s="9"/>
      <c r="G376" s="9"/>
      <c r="H376" s="8"/>
      <c r="I376" s="8"/>
      <c r="J376" s="15"/>
      <c r="K376" s="8"/>
      <c r="L376" s="8"/>
      <c r="M376" s="8"/>
      <c r="N376" s="8"/>
      <c r="O376" s="8"/>
    </row>
    <row r="377" spans="1:15" ht="14.25" customHeight="1" x14ac:dyDescent="0.25">
      <c r="A377" s="8"/>
      <c r="B377" s="9"/>
      <c r="C377" s="8"/>
      <c r="D377" s="8"/>
      <c r="E377" s="8"/>
      <c r="F377" s="9"/>
      <c r="G377" s="9"/>
      <c r="H377" s="8"/>
      <c r="I377" s="8"/>
      <c r="J377" s="15"/>
      <c r="K377" s="8"/>
      <c r="L377" s="8"/>
      <c r="M377" s="8"/>
      <c r="N377" s="8"/>
      <c r="O377" s="8"/>
    </row>
    <row r="378" spans="1:15" ht="14.25" customHeight="1" x14ac:dyDescent="0.25">
      <c r="A378" s="8"/>
      <c r="B378" s="9"/>
      <c r="C378" s="8"/>
      <c r="D378" s="8"/>
      <c r="E378" s="8"/>
      <c r="F378" s="9"/>
      <c r="G378" s="9"/>
      <c r="H378" s="8"/>
      <c r="I378" s="8"/>
      <c r="J378" s="15"/>
      <c r="K378" s="8"/>
      <c r="L378" s="8"/>
      <c r="M378" s="8"/>
      <c r="N378" s="8"/>
      <c r="O378" s="8"/>
    </row>
    <row r="379" spans="1:15" ht="14.25" customHeight="1" x14ac:dyDescent="0.25">
      <c r="A379" s="8"/>
      <c r="B379" s="9"/>
      <c r="C379" s="8"/>
      <c r="D379" s="8"/>
      <c r="E379" s="8"/>
      <c r="F379" s="9"/>
      <c r="G379" s="9"/>
      <c r="H379" s="8"/>
      <c r="I379" s="8"/>
      <c r="J379" s="15"/>
      <c r="K379" s="8"/>
      <c r="L379" s="8"/>
      <c r="M379" s="8"/>
      <c r="N379" s="8"/>
      <c r="O379" s="8"/>
    </row>
    <row r="380" spans="1:15" ht="14.25" customHeight="1" x14ac:dyDescent="0.25">
      <c r="A380" s="8"/>
      <c r="B380" s="9"/>
      <c r="C380" s="8"/>
      <c r="D380" s="8"/>
      <c r="E380" s="8"/>
      <c r="F380" s="9"/>
      <c r="G380" s="9"/>
      <c r="H380" s="8"/>
      <c r="I380" s="8"/>
      <c r="J380" s="15"/>
      <c r="K380" s="8"/>
      <c r="L380" s="8"/>
      <c r="M380" s="8"/>
      <c r="N380" s="8"/>
      <c r="O380" s="8"/>
    </row>
    <row r="381" spans="1:15" ht="14.25" customHeight="1" x14ac:dyDescent="0.25">
      <c r="A381" s="8"/>
      <c r="B381" s="9"/>
      <c r="C381" s="8"/>
      <c r="D381" s="8"/>
      <c r="E381" s="8"/>
      <c r="F381" s="9"/>
      <c r="G381" s="9"/>
      <c r="H381" s="8"/>
      <c r="I381" s="8"/>
      <c r="J381" s="15"/>
      <c r="K381" s="8"/>
      <c r="L381" s="8"/>
      <c r="M381" s="8"/>
      <c r="N381" s="8"/>
      <c r="O381" s="8"/>
    </row>
    <row r="382" spans="1:15" ht="14.25" customHeight="1" x14ac:dyDescent="0.25">
      <c r="A382" s="8"/>
      <c r="B382" s="9"/>
      <c r="C382" s="8"/>
      <c r="D382" s="8"/>
      <c r="E382" s="8"/>
      <c r="F382" s="9"/>
      <c r="G382" s="9"/>
      <c r="H382" s="8"/>
      <c r="I382" s="8"/>
      <c r="J382" s="15"/>
      <c r="K382" s="8"/>
      <c r="L382" s="8"/>
      <c r="M382" s="8"/>
      <c r="N382" s="8"/>
      <c r="O382" s="8"/>
    </row>
    <row r="383" spans="1:15" ht="14.25" customHeight="1" x14ac:dyDescent="0.25">
      <c r="A383" s="8"/>
      <c r="B383" s="9"/>
      <c r="C383" s="8"/>
      <c r="D383" s="8"/>
      <c r="E383" s="8"/>
      <c r="F383" s="9"/>
      <c r="G383" s="9"/>
      <c r="H383" s="8"/>
      <c r="I383" s="8"/>
      <c r="J383" s="15"/>
      <c r="K383" s="8"/>
      <c r="L383" s="8"/>
      <c r="M383" s="8"/>
      <c r="N383" s="8"/>
      <c r="O383" s="8"/>
    </row>
    <row r="384" spans="1:15" ht="14.25" customHeight="1" x14ac:dyDescent="0.25">
      <c r="A384" s="8"/>
      <c r="B384" s="9"/>
      <c r="C384" s="8"/>
      <c r="D384" s="8"/>
      <c r="E384" s="8"/>
      <c r="F384" s="9"/>
      <c r="G384" s="9"/>
      <c r="H384" s="8"/>
      <c r="I384" s="8"/>
      <c r="J384" s="15"/>
      <c r="K384" s="8"/>
      <c r="L384" s="8"/>
      <c r="M384" s="8"/>
      <c r="N384" s="8"/>
      <c r="O384" s="8"/>
    </row>
    <row r="385" spans="1:15" ht="14.25" customHeight="1" x14ac:dyDescent="0.25">
      <c r="A385" s="8"/>
      <c r="B385" s="9"/>
      <c r="C385" s="8"/>
      <c r="D385" s="8"/>
      <c r="E385" s="8"/>
      <c r="F385" s="9"/>
      <c r="G385" s="9"/>
      <c r="H385" s="8"/>
      <c r="I385" s="8"/>
      <c r="J385" s="15"/>
      <c r="K385" s="8"/>
      <c r="L385" s="8"/>
      <c r="M385" s="8"/>
      <c r="N385" s="8"/>
      <c r="O385" s="8"/>
    </row>
    <row r="386" spans="1:15" ht="14.25" customHeight="1" x14ac:dyDescent="0.25">
      <c r="A386" s="8"/>
      <c r="B386" s="9"/>
      <c r="C386" s="8"/>
      <c r="D386" s="8"/>
      <c r="E386" s="8"/>
      <c r="F386" s="9"/>
      <c r="G386" s="9"/>
      <c r="H386" s="8"/>
      <c r="I386" s="8"/>
      <c r="J386" s="15"/>
      <c r="K386" s="8"/>
      <c r="L386" s="8"/>
      <c r="M386" s="8"/>
      <c r="N386" s="8"/>
      <c r="O386" s="8"/>
    </row>
    <row r="387" spans="1:15" ht="14.25" customHeight="1" x14ac:dyDescent="0.25">
      <c r="A387" s="8"/>
      <c r="B387" s="9"/>
      <c r="C387" s="8"/>
      <c r="D387" s="8"/>
      <c r="E387" s="8"/>
      <c r="F387" s="9"/>
      <c r="G387" s="9"/>
      <c r="H387" s="8"/>
      <c r="I387" s="8"/>
      <c r="J387" s="15"/>
      <c r="K387" s="8"/>
      <c r="L387" s="8"/>
      <c r="M387" s="8"/>
      <c r="N387" s="8"/>
      <c r="O387" s="8"/>
    </row>
    <row r="388" spans="1:15" ht="14.25" customHeight="1" x14ac:dyDescent="0.25">
      <c r="A388" s="8"/>
      <c r="B388" s="9"/>
      <c r="C388" s="8"/>
      <c r="D388" s="8"/>
      <c r="E388" s="8"/>
      <c r="F388" s="9"/>
      <c r="G388" s="9"/>
      <c r="H388" s="8"/>
      <c r="I388" s="8"/>
      <c r="J388" s="15"/>
      <c r="K388" s="8"/>
      <c r="L388" s="8"/>
      <c r="M388" s="8"/>
      <c r="N388" s="8"/>
      <c r="O388" s="8"/>
    </row>
    <row r="389" spans="1:15" ht="14.25" customHeight="1" x14ac:dyDescent="0.25">
      <c r="A389" s="8"/>
      <c r="B389" s="9"/>
      <c r="C389" s="8"/>
      <c r="D389" s="8"/>
      <c r="E389" s="8"/>
      <c r="F389" s="9"/>
      <c r="G389" s="9"/>
      <c r="H389" s="8"/>
      <c r="I389" s="8"/>
      <c r="J389" s="15"/>
      <c r="K389" s="8"/>
      <c r="L389" s="8"/>
      <c r="M389" s="8"/>
      <c r="N389" s="8"/>
      <c r="O389" s="8"/>
    </row>
    <row r="390" spans="1:15" ht="14.25" customHeight="1" x14ac:dyDescent="0.25">
      <c r="A390" s="8"/>
      <c r="B390" s="9"/>
      <c r="C390" s="8"/>
      <c r="D390" s="8"/>
      <c r="E390" s="8"/>
      <c r="F390" s="9"/>
      <c r="G390" s="9"/>
      <c r="H390" s="8"/>
      <c r="I390" s="8"/>
      <c r="J390" s="15"/>
      <c r="K390" s="8"/>
      <c r="L390" s="8"/>
      <c r="M390" s="8"/>
      <c r="N390" s="8"/>
      <c r="O390" s="8"/>
    </row>
    <row r="391" spans="1:15" ht="14.25" customHeight="1" x14ac:dyDescent="0.25">
      <c r="A391" s="8"/>
      <c r="B391" s="9"/>
      <c r="C391" s="8"/>
      <c r="D391" s="8"/>
      <c r="E391" s="8"/>
      <c r="F391" s="9"/>
      <c r="G391" s="9"/>
      <c r="H391" s="8"/>
      <c r="I391" s="8"/>
      <c r="J391" s="15"/>
      <c r="K391" s="8"/>
      <c r="L391" s="8"/>
      <c r="M391" s="8"/>
      <c r="N391" s="8"/>
      <c r="O391" s="8"/>
    </row>
    <row r="392" spans="1:15" ht="14.25" customHeight="1" x14ac:dyDescent="0.25">
      <c r="A392" s="8"/>
      <c r="B392" s="9"/>
      <c r="C392" s="8"/>
      <c r="D392" s="8"/>
      <c r="E392" s="8"/>
      <c r="F392" s="9"/>
      <c r="G392" s="9"/>
      <c r="H392" s="8"/>
      <c r="I392" s="8"/>
      <c r="J392" s="15"/>
      <c r="K392" s="8"/>
      <c r="L392" s="8"/>
      <c r="M392" s="8"/>
      <c r="N392" s="8"/>
      <c r="O392" s="8"/>
    </row>
    <row r="393" spans="1:15" ht="14.25" customHeight="1" x14ac:dyDescent="0.25">
      <c r="A393" s="8"/>
      <c r="B393" s="9"/>
      <c r="C393" s="8"/>
      <c r="D393" s="8"/>
      <c r="E393" s="8"/>
      <c r="F393" s="9"/>
      <c r="G393" s="9"/>
      <c r="H393" s="8"/>
      <c r="I393" s="8"/>
      <c r="J393" s="15"/>
      <c r="K393" s="8"/>
      <c r="L393" s="8"/>
      <c r="M393" s="8"/>
      <c r="N393" s="8"/>
      <c r="O393" s="8"/>
    </row>
    <row r="394" spans="1:15" ht="14.25" customHeight="1" x14ac:dyDescent="0.25">
      <c r="A394" s="8"/>
      <c r="B394" s="9"/>
      <c r="C394" s="8"/>
      <c r="D394" s="8"/>
      <c r="E394" s="8"/>
      <c r="F394" s="9"/>
      <c r="G394" s="9"/>
      <c r="H394" s="8"/>
      <c r="I394" s="8"/>
      <c r="J394" s="15"/>
      <c r="K394" s="8"/>
      <c r="L394" s="8"/>
      <c r="M394" s="8"/>
      <c r="N394" s="8"/>
      <c r="O394" s="8"/>
    </row>
    <row r="395" spans="1:15" ht="14.25" customHeight="1" x14ac:dyDescent="0.25">
      <c r="A395" s="8"/>
      <c r="B395" s="9"/>
      <c r="C395" s="8"/>
      <c r="D395" s="8"/>
      <c r="E395" s="8"/>
      <c r="F395" s="9"/>
      <c r="G395" s="9"/>
      <c r="H395" s="8"/>
      <c r="I395" s="8"/>
      <c r="J395" s="15"/>
      <c r="K395" s="8"/>
      <c r="L395" s="8"/>
      <c r="M395" s="8"/>
      <c r="N395" s="8"/>
      <c r="O395" s="8"/>
    </row>
    <row r="396" spans="1:15" ht="14.25" customHeight="1" x14ac:dyDescent="0.25">
      <c r="A396" s="8"/>
      <c r="B396" s="9"/>
      <c r="C396" s="8"/>
      <c r="D396" s="8"/>
      <c r="E396" s="8"/>
      <c r="F396" s="9"/>
      <c r="G396" s="9"/>
      <c r="H396" s="8"/>
      <c r="I396" s="8"/>
      <c r="J396" s="15"/>
      <c r="K396" s="8"/>
      <c r="L396" s="8"/>
      <c r="M396" s="8"/>
      <c r="N396" s="8"/>
      <c r="O396" s="8"/>
    </row>
    <row r="397" spans="1:15" ht="14.25" customHeight="1" x14ac:dyDescent="0.25">
      <c r="A397" s="8"/>
      <c r="B397" s="9"/>
      <c r="C397" s="8"/>
      <c r="D397" s="8"/>
      <c r="E397" s="8"/>
      <c r="F397" s="9"/>
      <c r="G397" s="9"/>
      <c r="H397" s="8"/>
      <c r="I397" s="8"/>
      <c r="J397" s="15"/>
      <c r="K397" s="8"/>
      <c r="L397" s="8"/>
      <c r="M397" s="8"/>
      <c r="N397" s="8"/>
      <c r="O397" s="8"/>
    </row>
    <row r="398" spans="1:15" ht="14.25" customHeight="1" x14ac:dyDescent="0.25">
      <c r="A398" s="8"/>
      <c r="B398" s="9"/>
      <c r="C398" s="8"/>
      <c r="D398" s="8"/>
      <c r="E398" s="8"/>
      <c r="F398" s="9"/>
      <c r="G398" s="9"/>
      <c r="H398" s="8"/>
      <c r="I398" s="8"/>
      <c r="J398" s="15"/>
      <c r="K398" s="8"/>
      <c r="L398" s="8"/>
      <c r="M398" s="8"/>
      <c r="N398" s="8"/>
      <c r="O398" s="8"/>
    </row>
    <row r="399" spans="1:15" ht="14.25" customHeight="1" x14ac:dyDescent="0.25">
      <c r="A399" s="8"/>
      <c r="B399" s="9"/>
      <c r="C399" s="8"/>
      <c r="D399" s="8"/>
      <c r="E399" s="8"/>
      <c r="F399" s="9"/>
      <c r="G399" s="9"/>
      <c r="H399" s="8"/>
      <c r="I399" s="8"/>
      <c r="J399" s="15"/>
      <c r="K399" s="8"/>
      <c r="L399" s="8"/>
      <c r="M399" s="8"/>
      <c r="N399" s="8"/>
      <c r="O399" s="8"/>
    </row>
    <row r="400" spans="1:15" ht="14.25" customHeight="1" x14ac:dyDescent="0.25">
      <c r="A400" s="8"/>
      <c r="B400" s="9"/>
      <c r="C400" s="8"/>
      <c r="D400" s="8"/>
      <c r="E400" s="8"/>
      <c r="F400" s="9"/>
      <c r="G400" s="9"/>
      <c r="H400" s="8"/>
      <c r="I400" s="8"/>
      <c r="J400" s="15"/>
      <c r="K400" s="8"/>
      <c r="L400" s="8"/>
      <c r="M400" s="8"/>
      <c r="N400" s="8"/>
      <c r="O400" s="8"/>
    </row>
    <row r="401" spans="1:15" ht="14.25" customHeight="1" x14ac:dyDescent="0.25">
      <c r="A401" s="8"/>
      <c r="B401" s="9"/>
      <c r="C401" s="8"/>
      <c r="D401" s="8"/>
      <c r="E401" s="8"/>
      <c r="F401" s="9"/>
      <c r="G401" s="9"/>
      <c r="H401" s="8"/>
      <c r="I401" s="8"/>
      <c r="J401" s="15"/>
      <c r="K401" s="8"/>
      <c r="L401" s="8"/>
      <c r="M401" s="8"/>
      <c r="N401" s="8"/>
      <c r="O401" s="8"/>
    </row>
    <row r="402" spans="1:15" ht="14.25" customHeight="1" x14ac:dyDescent="0.25">
      <c r="A402" s="8"/>
      <c r="B402" s="9"/>
      <c r="C402" s="8"/>
      <c r="D402" s="8"/>
      <c r="E402" s="8"/>
      <c r="F402" s="9"/>
      <c r="G402" s="9"/>
      <c r="H402" s="8"/>
      <c r="I402" s="8"/>
      <c r="J402" s="15"/>
      <c r="K402" s="8"/>
      <c r="L402" s="8"/>
      <c r="M402" s="8"/>
      <c r="N402" s="8"/>
      <c r="O402" s="8"/>
    </row>
    <row r="403" spans="1:15" ht="14.25" customHeight="1" x14ac:dyDescent="0.25">
      <c r="A403" s="8"/>
      <c r="B403" s="9"/>
      <c r="C403" s="8"/>
      <c r="D403" s="8"/>
      <c r="E403" s="8"/>
      <c r="F403" s="9"/>
      <c r="G403" s="9"/>
      <c r="H403" s="8"/>
      <c r="I403" s="8"/>
      <c r="J403" s="15"/>
      <c r="K403" s="8"/>
      <c r="L403" s="8"/>
      <c r="M403" s="8"/>
      <c r="N403" s="8"/>
      <c r="O403" s="8"/>
    </row>
    <row r="404" spans="1:15" ht="14.25" customHeight="1" x14ac:dyDescent="0.25">
      <c r="A404" s="8"/>
      <c r="B404" s="9"/>
      <c r="C404" s="8"/>
      <c r="D404" s="8"/>
      <c r="E404" s="8"/>
      <c r="F404" s="9"/>
      <c r="G404" s="9"/>
      <c r="H404" s="8"/>
      <c r="I404" s="8"/>
      <c r="J404" s="15"/>
      <c r="K404" s="8"/>
      <c r="L404" s="8"/>
      <c r="M404" s="8"/>
      <c r="N404" s="8"/>
      <c r="O404" s="8"/>
    </row>
    <row r="405" spans="1:15" ht="14.25" customHeight="1" x14ac:dyDescent="0.25">
      <c r="A405" s="8"/>
      <c r="B405" s="9"/>
      <c r="C405" s="8"/>
      <c r="D405" s="8"/>
      <c r="E405" s="8"/>
      <c r="F405" s="9"/>
      <c r="G405" s="9"/>
      <c r="H405" s="8"/>
      <c r="I405" s="8"/>
      <c r="J405" s="15"/>
      <c r="K405" s="8"/>
      <c r="L405" s="8"/>
      <c r="M405" s="8"/>
      <c r="N405" s="8"/>
      <c r="O405" s="8"/>
    </row>
    <row r="406" spans="1:15" ht="14.25" customHeight="1" x14ac:dyDescent="0.25">
      <c r="A406" s="8"/>
      <c r="B406" s="9"/>
      <c r="C406" s="8"/>
      <c r="D406" s="8"/>
      <c r="E406" s="8"/>
      <c r="F406" s="9"/>
      <c r="G406" s="9"/>
      <c r="H406" s="8"/>
      <c r="I406" s="8"/>
      <c r="J406" s="15"/>
      <c r="K406" s="8"/>
      <c r="L406" s="8"/>
      <c r="M406" s="8"/>
      <c r="N406" s="8"/>
      <c r="O406" s="8"/>
    </row>
    <row r="407" spans="1:15" ht="14.25" customHeight="1" x14ac:dyDescent="0.25">
      <c r="A407" s="8"/>
      <c r="B407" s="9"/>
      <c r="C407" s="8"/>
      <c r="D407" s="8"/>
      <c r="E407" s="8"/>
      <c r="F407" s="9"/>
      <c r="G407" s="9"/>
      <c r="H407" s="8"/>
      <c r="I407" s="8"/>
      <c r="J407" s="15"/>
      <c r="K407" s="8"/>
      <c r="L407" s="8"/>
      <c r="M407" s="8"/>
      <c r="N407" s="8"/>
      <c r="O407" s="8"/>
    </row>
    <row r="408" spans="1:15" ht="14.25" customHeight="1" x14ac:dyDescent="0.25">
      <c r="A408" s="8"/>
      <c r="B408" s="9"/>
      <c r="C408" s="8"/>
      <c r="D408" s="8"/>
      <c r="E408" s="8"/>
      <c r="F408" s="9"/>
      <c r="G408" s="9"/>
      <c r="H408" s="8"/>
      <c r="I408" s="8"/>
      <c r="J408" s="15"/>
      <c r="K408" s="8"/>
      <c r="L408" s="8"/>
      <c r="M408" s="8"/>
      <c r="N408" s="8"/>
      <c r="O408" s="8"/>
    </row>
    <row r="409" spans="1:15" ht="14.25" customHeight="1" x14ac:dyDescent="0.25">
      <c r="A409" s="8"/>
      <c r="B409" s="9"/>
      <c r="C409" s="8"/>
      <c r="D409" s="8"/>
      <c r="E409" s="8"/>
      <c r="F409" s="9"/>
      <c r="G409" s="9"/>
      <c r="H409" s="8"/>
      <c r="I409" s="8"/>
      <c r="J409" s="15"/>
      <c r="K409" s="8"/>
      <c r="L409" s="8"/>
      <c r="M409" s="8"/>
      <c r="N409" s="8"/>
      <c r="O409" s="8"/>
    </row>
    <row r="410" spans="1:15" ht="14.25" customHeight="1" x14ac:dyDescent="0.25">
      <c r="A410" s="8"/>
      <c r="B410" s="9"/>
      <c r="C410" s="8"/>
      <c r="D410" s="8"/>
      <c r="E410" s="8"/>
      <c r="F410" s="9"/>
      <c r="G410" s="9"/>
      <c r="H410" s="8"/>
      <c r="I410" s="8"/>
      <c r="J410" s="15"/>
      <c r="K410" s="8"/>
      <c r="L410" s="8"/>
      <c r="M410" s="8"/>
      <c r="N410" s="8"/>
      <c r="O410" s="8"/>
    </row>
    <row r="411" spans="1:15" ht="14.25" customHeight="1" x14ac:dyDescent="0.25">
      <c r="A411" s="8"/>
      <c r="B411" s="9"/>
      <c r="C411" s="8"/>
      <c r="D411" s="8"/>
      <c r="E411" s="8"/>
      <c r="F411" s="9"/>
      <c r="G411" s="9"/>
      <c r="H411" s="8"/>
      <c r="I411" s="8"/>
      <c r="J411" s="15"/>
      <c r="K411" s="8"/>
      <c r="L411" s="8"/>
      <c r="M411" s="8"/>
      <c r="N411" s="8"/>
      <c r="O411" s="8"/>
    </row>
    <row r="412" spans="1:15" ht="14.25" customHeight="1" x14ac:dyDescent="0.25">
      <c r="A412" s="8"/>
      <c r="B412" s="9"/>
      <c r="C412" s="8"/>
      <c r="D412" s="8"/>
      <c r="E412" s="8"/>
      <c r="F412" s="9"/>
      <c r="G412" s="9"/>
      <c r="H412" s="8"/>
      <c r="I412" s="8"/>
      <c r="J412" s="15"/>
      <c r="K412" s="8"/>
      <c r="L412" s="8"/>
      <c r="M412" s="8"/>
      <c r="N412" s="8"/>
      <c r="O412" s="8"/>
    </row>
    <row r="413" spans="1:15" ht="14.25" customHeight="1" x14ac:dyDescent="0.25">
      <c r="A413" s="8"/>
      <c r="B413" s="9"/>
      <c r="C413" s="8"/>
      <c r="D413" s="8"/>
      <c r="E413" s="8"/>
      <c r="F413" s="9"/>
      <c r="G413" s="9"/>
      <c r="H413" s="8"/>
      <c r="I413" s="8"/>
      <c r="J413" s="15"/>
      <c r="K413" s="8"/>
      <c r="L413" s="8"/>
      <c r="M413" s="8"/>
      <c r="N413" s="8"/>
      <c r="O413" s="8"/>
    </row>
    <row r="414" spans="1:15" ht="14.25" customHeight="1" x14ac:dyDescent="0.25">
      <c r="A414" s="8"/>
      <c r="B414" s="9"/>
      <c r="C414" s="8"/>
      <c r="D414" s="8"/>
      <c r="E414" s="8"/>
      <c r="F414" s="9"/>
      <c r="G414" s="9"/>
      <c r="H414" s="8"/>
      <c r="I414" s="8"/>
      <c r="J414" s="15"/>
      <c r="K414" s="8"/>
      <c r="L414" s="8"/>
      <c r="M414" s="8"/>
      <c r="N414" s="8"/>
      <c r="O414" s="8"/>
    </row>
    <row r="415" spans="1:15" ht="14.25" customHeight="1" x14ac:dyDescent="0.25">
      <c r="A415" s="8"/>
      <c r="B415" s="9"/>
      <c r="C415" s="8"/>
      <c r="D415" s="8"/>
      <c r="E415" s="8"/>
      <c r="F415" s="9"/>
      <c r="G415" s="9"/>
      <c r="H415" s="8"/>
      <c r="I415" s="8"/>
      <c r="J415" s="15"/>
      <c r="K415" s="8"/>
      <c r="L415" s="8"/>
      <c r="M415" s="8"/>
      <c r="N415" s="8"/>
      <c r="O415" s="8"/>
    </row>
    <row r="416" spans="1:15" ht="14.25" customHeight="1" x14ac:dyDescent="0.25">
      <c r="A416" s="8"/>
      <c r="B416" s="9"/>
      <c r="C416" s="8"/>
      <c r="D416" s="8"/>
      <c r="E416" s="8"/>
      <c r="F416" s="9"/>
      <c r="G416" s="9"/>
      <c r="H416" s="8"/>
      <c r="I416" s="8"/>
      <c r="J416" s="15"/>
      <c r="K416" s="8"/>
      <c r="L416" s="8"/>
      <c r="M416" s="8"/>
      <c r="N416" s="8"/>
      <c r="O416" s="8"/>
    </row>
    <row r="417" spans="1:15" ht="14.25" customHeight="1" x14ac:dyDescent="0.25">
      <c r="A417" s="8"/>
      <c r="B417" s="9"/>
      <c r="C417" s="8"/>
      <c r="D417" s="8"/>
      <c r="E417" s="8"/>
      <c r="F417" s="9"/>
      <c r="G417" s="9"/>
      <c r="H417" s="8"/>
      <c r="I417" s="8"/>
      <c r="J417" s="15"/>
      <c r="K417" s="8"/>
      <c r="L417" s="8"/>
      <c r="M417" s="8"/>
      <c r="N417" s="8"/>
      <c r="O417" s="8"/>
    </row>
    <row r="418" spans="1:15" ht="14.25" customHeight="1" x14ac:dyDescent="0.25">
      <c r="A418" s="8"/>
      <c r="B418" s="9"/>
      <c r="C418" s="8"/>
      <c r="D418" s="8"/>
      <c r="E418" s="8"/>
      <c r="F418" s="9"/>
      <c r="G418" s="9"/>
      <c r="H418" s="8"/>
      <c r="I418" s="8"/>
      <c r="J418" s="15"/>
      <c r="K418" s="8"/>
      <c r="L418" s="8"/>
      <c r="M418" s="8"/>
      <c r="N418" s="8"/>
      <c r="O418" s="8"/>
    </row>
    <row r="419" spans="1:15" ht="14.25" customHeight="1" x14ac:dyDescent="0.25">
      <c r="A419" s="8"/>
      <c r="B419" s="9"/>
      <c r="C419" s="8"/>
      <c r="D419" s="8"/>
      <c r="E419" s="8"/>
      <c r="F419" s="9"/>
      <c r="G419" s="9"/>
      <c r="H419" s="8"/>
      <c r="I419" s="8"/>
      <c r="J419" s="15"/>
      <c r="K419" s="8"/>
      <c r="L419" s="8"/>
      <c r="M419" s="8"/>
      <c r="N419" s="8"/>
      <c r="O419" s="8"/>
    </row>
    <row r="420" spans="1:15" ht="14.25" customHeight="1" x14ac:dyDescent="0.25">
      <c r="A420" s="8"/>
      <c r="B420" s="9"/>
      <c r="C420" s="8"/>
      <c r="D420" s="8"/>
      <c r="E420" s="8"/>
      <c r="F420" s="9"/>
      <c r="G420" s="9"/>
      <c r="H420" s="8"/>
      <c r="I420" s="8"/>
      <c r="J420" s="15"/>
      <c r="K420" s="8"/>
      <c r="L420" s="8"/>
      <c r="M420" s="8"/>
      <c r="N420" s="8"/>
      <c r="O420" s="8"/>
    </row>
    <row r="421" spans="1:15" ht="14.25" customHeight="1" x14ac:dyDescent="0.25">
      <c r="A421" s="8"/>
      <c r="B421" s="9"/>
      <c r="C421" s="8"/>
      <c r="D421" s="8"/>
      <c r="E421" s="8"/>
      <c r="F421" s="9"/>
      <c r="G421" s="9"/>
      <c r="H421" s="8"/>
      <c r="I421" s="8"/>
      <c r="J421" s="15"/>
      <c r="K421" s="8"/>
      <c r="L421" s="8"/>
      <c r="M421" s="8"/>
      <c r="N421" s="8"/>
      <c r="O421" s="8"/>
    </row>
    <row r="422" spans="1:15" ht="14.25" customHeight="1" x14ac:dyDescent="0.25">
      <c r="A422" s="8"/>
      <c r="B422" s="9"/>
      <c r="C422" s="8"/>
      <c r="D422" s="8"/>
      <c r="E422" s="8"/>
      <c r="F422" s="9"/>
      <c r="G422" s="9"/>
      <c r="H422" s="8"/>
      <c r="I422" s="8"/>
      <c r="J422" s="15"/>
      <c r="K422" s="8"/>
      <c r="L422" s="8"/>
      <c r="M422" s="8"/>
      <c r="N422" s="8"/>
      <c r="O422" s="8"/>
    </row>
    <row r="423" spans="1:15" ht="14.25" customHeight="1" x14ac:dyDescent="0.25">
      <c r="A423" s="8"/>
      <c r="B423" s="9"/>
      <c r="C423" s="8"/>
      <c r="D423" s="8"/>
      <c r="E423" s="8"/>
      <c r="F423" s="9"/>
      <c r="G423" s="9"/>
      <c r="H423" s="8"/>
      <c r="I423" s="8"/>
      <c r="J423" s="15"/>
      <c r="K423" s="8"/>
      <c r="L423" s="8"/>
      <c r="M423" s="8"/>
      <c r="N423" s="8"/>
      <c r="O423" s="8"/>
    </row>
    <row r="424" spans="1:15" ht="14.25" customHeight="1" x14ac:dyDescent="0.25">
      <c r="A424" s="8"/>
      <c r="B424" s="9"/>
      <c r="C424" s="8"/>
      <c r="D424" s="8"/>
      <c r="E424" s="8"/>
      <c r="F424" s="9"/>
      <c r="G424" s="9"/>
      <c r="H424" s="8"/>
      <c r="I424" s="8"/>
      <c r="J424" s="15"/>
      <c r="K424" s="8"/>
      <c r="L424" s="8"/>
      <c r="M424" s="8"/>
      <c r="N424" s="8"/>
      <c r="O424" s="8"/>
    </row>
    <row r="425" spans="1:15" ht="14.25" customHeight="1" x14ac:dyDescent="0.25">
      <c r="A425" s="8"/>
      <c r="B425" s="9"/>
      <c r="C425" s="8"/>
      <c r="D425" s="8"/>
      <c r="E425" s="8"/>
      <c r="F425" s="9"/>
      <c r="G425" s="9"/>
      <c r="H425" s="8"/>
      <c r="I425" s="8"/>
      <c r="J425" s="15"/>
      <c r="K425" s="8"/>
      <c r="L425" s="8"/>
      <c r="M425" s="8"/>
      <c r="N425" s="8"/>
      <c r="O425" s="8"/>
    </row>
    <row r="426" spans="1:15" ht="14.25" customHeight="1" x14ac:dyDescent="0.25">
      <c r="A426" s="8"/>
      <c r="B426" s="9"/>
      <c r="C426" s="8"/>
      <c r="D426" s="8"/>
      <c r="E426" s="8"/>
      <c r="F426" s="9"/>
      <c r="G426" s="9"/>
      <c r="H426" s="8"/>
      <c r="I426" s="8"/>
      <c r="J426" s="15"/>
      <c r="K426" s="8"/>
      <c r="L426" s="8"/>
      <c r="M426" s="8"/>
      <c r="N426" s="8"/>
      <c r="O426" s="8"/>
    </row>
    <row r="427" spans="1:15" ht="14.25" customHeight="1" x14ac:dyDescent="0.25">
      <c r="A427" s="8"/>
      <c r="B427" s="9"/>
      <c r="C427" s="8"/>
      <c r="D427" s="8"/>
      <c r="E427" s="8"/>
      <c r="F427" s="9"/>
      <c r="G427" s="9"/>
      <c r="H427" s="8"/>
      <c r="I427" s="8"/>
      <c r="J427" s="15"/>
      <c r="K427" s="8"/>
      <c r="L427" s="8"/>
      <c r="M427" s="8"/>
      <c r="N427" s="8"/>
      <c r="O427" s="8"/>
    </row>
    <row r="428" spans="1:15" ht="14.25" customHeight="1" x14ac:dyDescent="0.25">
      <c r="A428" s="8"/>
      <c r="B428" s="9"/>
      <c r="C428" s="8"/>
      <c r="D428" s="8"/>
      <c r="E428" s="8"/>
      <c r="F428" s="9"/>
      <c r="G428" s="9"/>
      <c r="H428" s="8"/>
      <c r="I428" s="8"/>
      <c r="J428" s="15"/>
      <c r="K428" s="8"/>
      <c r="L428" s="8"/>
      <c r="M428" s="8"/>
      <c r="N428" s="8"/>
      <c r="O428" s="8"/>
    </row>
    <row r="429" spans="1:15" ht="14.25" customHeight="1" x14ac:dyDescent="0.25">
      <c r="A429" s="8"/>
      <c r="B429" s="9"/>
      <c r="C429" s="8"/>
      <c r="D429" s="8"/>
      <c r="E429" s="8"/>
      <c r="F429" s="9"/>
      <c r="G429" s="9"/>
      <c r="H429" s="8"/>
      <c r="I429" s="8"/>
      <c r="J429" s="15"/>
      <c r="K429" s="8"/>
      <c r="L429" s="8"/>
      <c r="M429" s="8"/>
      <c r="N429" s="8"/>
      <c r="O429" s="8"/>
    </row>
    <row r="430" spans="1:15" ht="14.25" customHeight="1" x14ac:dyDescent="0.25">
      <c r="A430" s="8"/>
      <c r="B430" s="9"/>
      <c r="C430" s="8"/>
      <c r="D430" s="8"/>
      <c r="E430" s="8"/>
      <c r="F430" s="9"/>
      <c r="G430" s="9"/>
      <c r="H430" s="8"/>
      <c r="I430" s="8"/>
      <c r="J430" s="15"/>
      <c r="K430" s="8"/>
      <c r="L430" s="8"/>
      <c r="M430" s="8"/>
      <c r="N430" s="8"/>
      <c r="O430" s="8"/>
    </row>
    <row r="431" spans="1:15" ht="14.25" customHeight="1" x14ac:dyDescent="0.25">
      <c r="A431" s="8"/>
      <c r="B431" s="9"/>
      <c r="C431" s="8"/>
      <c r="D431" s="8"/>
      <c r="E431" s="8"/>
      <c r="F431" s="9"/>
      <c r="G431" s="9"/>
      <c r="H431" s="8"/>
      <c r="I431" s="8"/>
      <c r="J431" s="15"/>
      <c r="K431" s="8"/>
      <c r="L431" s="8"/>
      <c r="M431" s="8"/>
      <c r="N431" s="8"/>
      <c r="O431" s="8"/>
    </row>
    <row r="432" spans="1:15" ht="14.25" customHeight="1" x14ac:dyDescent="0.25">
      <c r="A432" s="8"/>
      <c r="B432" s="9"/>
      <c r="C432" s="8"/>
      <c r="D432" s="8"/>
      <c r="E432" s="8"/>
      <c r="F432" s="9"/>
      <c r="G432" s="9"/>
      <c r="H432" s="8"/>
      <c r="I432" s="8"/>
      <c r="J432" s="15"/>
      <c r="K432" s="8"/>
      <c r="L432" s="8"/>
      <c r="M432" s="8"/>
      <c r="N432" s="8"/>
      <c r="O432" s="8"/>
    </row>
    <row r="433" spans="1:15" ht="14.25" customHeight="1" x14ac:dyDescent="0.25">
      <c r="A433" s="8"/>
      <c r="B433" s="9"/>
      <c r="C433" s="8"/>
      <c r="D433" s="8"/>
      <c r="E433" s="8"/>
      <c r="F433" s="9"/>
      <c r="G433" s="9"/>
      <c r="H433" s="8"/>
      <c r="I433" s="8"/>
      <c r="J433" s="15"/>
      <c r="K433" s="8"/>
      <c r="L433" s="8"/>
      <c r="M433" s="8"/>
      <c r="N433" s="8"/>
      <c r="O433" s="8"/>
    </row>
    <row r="434" spans="1:15" ht="14.25" customHeight="1" x14ac:dyDescent="0.25">
      <c r="A434" s="8"/>
      <c r="B434" s="9"/>
      <c r="C434" s="8"/>
      <c r="D434" s="8"/>
      <c r="E434" s="8"/>
      <c r="F434" s="9"/>
      <c r="G434" s="9"/>
      <c r="H434" s="8"/>
      <c r="I434" s="8"/>
      <c r="J434" s="15"/>
      <c r="K434" s="8"/>
      <c r="L434" s="8"/>
      <c r="M434" s="8"/>
      <c r="N434" s="8"/>
      <c r="O434" s="8"/>
    </row>
    <row r="435" spans="1:15" ht="14.25" customHeight="1" x14ac:dyDescent="0.25">
      <c r="A435" s="8"/>
      <c r="B435" s="9"/>
      <c r="C435" s="8"/>
      <c r="D435" s="8"/>
      <c r="E435" s="8"/>
      <c r="F435" s="9"/>
      <c r="G435" s="9"/>
      <c r="H435" s="8"/>
      <c r="I435" s="8"/>
      <c r="J435" s="15"/>
      <c r="K435" s="8"/>
      <c r="L435" s="8"/>
      <c r="M435" s="8"/>
      <c r="N435" s="8"/>
      <c r="O435" s="8"/>
    </row>
    <row r="436" spans="1:15" ht="14.25" customHeight="1" x14ac:dyDescent="0.25">
      <c r="A436" s="8"/>
      <c r="B436" s="9"/>
      <c r="C436" s="8"/>
      <c r="D436" s="8"/>
      <c r="E436" s="8"/>
      <c r="F436" s="9"/>
      <c r="G436" s="9"/>
      <c r="H436" s="8"/>
      <c r="I436" s="8"/>
      <c r="J436" s="15"/>
      <c r="K436" s="8"/>
      <c r="L436" s="8"/>
      <c r="M436" s="8"/>
      <c r="N436" s="8"/>
      <c r="O436" s="8"/>
    </row>
    <row r="437" spans="1:15" ht="14.25" customHeight="1" x14ac:dyDescent="0.25">
      <c r="A437" s="8"/>
      <c r="B437" s="9"/>
      <c r="C437" s="8"/>
      <c r="D437" s="8"/>
      <c r="E437" s="8"/>
      <c r="F437" s="9"/>
      <c r="G437" s="9"/>
      <c r="H437" s="8"/>
      <c r="I437" s="8"/>
      <c r="J437" s="15"/>
      <c r="K437" s="8"/>
      <c r="L437" s="8"/>
      <c r="M437" s="8"/>
      <c r="N437" s="8"/>
      <c r="O437" s="8"/>
    </row>
    <row r="438" spans="1:15" ht="14.25" customHeight="1" x14ac:dyDescent="0.25">
      <c r="A438" s="8"/>
      <c r="B438" s="9"/>
      <c r="C438" s="8"/>
      <c r="D438" s="8"/>
      <c r="E438" s="8"/>
      <c r="F438" s="9"/>
      <c r="G438" s="9"/>
      <c r="H438" s="8"/>
      <c r="I438" s="8"/>
      <c r="J438" s="15"/>
      <c r="K438" s="8"/>
      <c r="L438" s="8"/>
      <c r="M438" s="8"/>
      <c r="N438" s="8"/>
      <c r="O438" s="8"/>
    </row>
    <row r="439" spans="1:15" ht="14.25" customHeight="1" x14ac:dyDescent="0.25">
      <c r="A439" s="8"/>
      <c r="B439" s="9"/>
      <c r="C439" s="8"/>
      <c r="D439" s="8"/>
      <c r="E439" s="8"/>
      <c r="F439" s="9"/>
      <c r="G439" s="9"/>
      <c r="H439" s="8"/>
      <c r="I439" s="8"/>
      <c r="J439" s="15"/>
      <c r="K439" s="8"/>
      <c r="L439" s="8"/>
      <c r="M439" s="8"/>
      <c r="N439" s="8"/>
      <c r="O439" s="8"/>
    </row>
    <row r="440" spans="1:15" ht="14.25" customHeight="1" x14ac:dyDescent="0.25">
      <c r="A440" s="8"/>
      <c r="B440" s="9"/>
      <c r="C440" s="8"/>
      <c r="D440" s="8"/>
      <c r="E440" s="8"/>
      <c r="F440" s="9"/>
      <c r="G440" s="9"/>
      <c r="H440" s="8"/>
      <c r="I440" s="8"/>
      <c r="J440" s="15"/>
      <c r="K440" s="8"/>
      <c r="L440" s="8"/>
      <c r="M440" s="8"/>
      <c r="N440" s="8"/>
      <c r="O440" s="8"/>
    </row>
    <row r="441" spans="1:15" ht="14.25" customHeight="1" x14ac:dyDescent="0.25">
      <c r="A441" s="8"/>
      <c r="B441" s="9"/>
      <c r="C441" s="8"/>
      <c r="D441" s="8"/>
      <c r="E441" s="8"/>
      <c r="F441" s="9"/>
      <c r="G441" s="9"/>
      <c r="H441" s="8"/>
      <c r="I441" s="8"/>
      <c r="J441" s="15"/>
      <c r="K441" s="8"/>
      <c r="L441" s="8"/>
      <c r="M441" s="8"/>
      <c r="N441" s="8"/>
      <c r="O441" s="8"/>
    </row>
    <row r="442" spans="1:15" ht="14.25" customHeight="1" x14ac:dyDescent="0.25">
      <c r="A442" s="8"/>
      <c r="B442" s="9"/>
      <c r="C442" s="8"/>
      <c r="D442" s="8"/>
      <c r="E442" s="8"/>
      <c r="F442" s="9"/>
      <c r="G442" s="9"/>
      <c r="H442" s="8"/>
      <c r="I442" s="8"/>
      <c r="J442" s="15"/>
      <c r="K442" s="8"/>
      <c r="L442" s="8"/>
      <c r="M442" s="8"/>
      <c r="N442" s="8"/>
      <c r="O442" s="8"/>
    </row>
    <row r="443" spans="1:15" ht="14.25" customHeight="1" x14ac:dyDescent="0.25">
      <c r="A443" s="8"/>
      <c r="B443" s="9"/>
      <c r="C443" s="8"/>
      <c r="D443" s="8"/>
      <c r="E443" s="8"/>
      <c r="F443" s="9"/>
      <c r="G443" s="9"/>
      <c r="H443" s="8"/>
      <c r="I443" s="8"/>
      <c r="J443" s="15"/>
      <c r="K443" s="8"/>
      <c r="L443" s="8"/>
      <c r="M443" s="8"/>
      <c r="N443" s="8"/>
      <c r="O443" s="8"/>
    </row>
    <row r="444" spans="1:15" ht="14.25" customHeight="1" x14ac:dyDescent="0.25">
      <c r="A444" s="8"/>
      <c r="B444" s="9"/>
      <c r="C444" s="8"/>
      <c r="D444" s="8"/>
      <c r="E444" s="8"/>
      <c r="F444" s="9"/>
      <c r="G444" s="9"/>
      <c r="H444" s="8"/>
      <c r="I444" s="8"/>
      <c r="J444" s="15"/>
      <c r="K444" s="8"/>
      <c r="L444" s="8"/>
      <c r="M444" s="8"/>
      <c r="N444" s="8"/>
      <c r="O444" s="8"/>
    </row>
    <row r="445" spans="1:15" ht="14.25" customHeight="1" x14ac:dyDescent="0.25">
      <c r="A445" s="8"/>
      <c r="B445" s="9"/>
      <c r="C445" s="8"/>
      <c r="D445" s="8"/>
      <c r="E445" s="8"/>
      <c r="F445" s="9"/>
      <c r="G445" s="9"/>
      <c r="H445" s="8"/>
      <c r="I445" s="8"/>
      <c r="J445" s="15"/>
      <c r="K445" s="8"/>
      <c r="L445" s="8"/>
      <c r="M445" s="8"/>
      <c r="N445" s="8"/>
      <c r="O445" s="8"/>
    </row>
    <row r="446" spans="1:15" ht="14.25" customHeight="1" x14ac:dyDescent="0.25">
      <c r="A446" s="8"/>
      <c r="B446" s="9"/>
      <c r="C446" s="8"/>
      <c r="D446" s="8"/>
      <c r="E446" s="8"/>
      <c r="F446" s="9"/>
      <c r="G446" s="9"/>
      <c r="H446" s="8"/>
      <c r="I446" s="8"/>
      <c r="J446" s="15"/>
      <c r="K446" s="8"/>
      <c r="L446" s="8"/>
      <c r="M446" s="8"/>
      <c r="N446" s="8"/>
      <c r="O446" s="8"/>
    </row>
    <row r="447" spans="1:15" ht="14.25" customHeight="1" x14ac:dyDescent="0.25">
      <c r="A447" s="8"/>
      <c r="B447" s="9"/>
      <c r="C447" s="8"/>
      <c r="D447" s="8"/>
      <c r="E447" s="8"/>
      <c r="F447" s="9"/>
      <c r="G447" s="9"/>
      <c r="H447" s="8"/>
      <c r="I447" s="8"/>
      <c r="J447" s="15"/>
      <c r="K447" s="8"/>
      <c r="L447" s="8"/>
      <c r="M447" s="8"/>
      <c r="N447" s="8"/>
      <c r="O447" s="8"/>
    </row>
    <row r="448" spans="1:15" ht="14.25" customHeight="1" x14ac:dyDescent="0.25">
      <c r="A448" s="8"/>
      <c r="B448" s="9"/>
      <c r="C448" s="8"/>
      <c r="D448" s="8"/>
      <c r="E448" s="8"/>
      <c r="F448" s="9"/>
      <c r="G448" s="9"/>
      <c r="H448" s="8"/>
      <c r="I448" s="8"/>
      <c r="J448" s="15"/>
      <c r="K448" s="8"/>
      <c r="L448" s="8"/>
      <c r="M448" s="8"/>
      <c r="N448" s="8"/>
      <c r="O448" s="8"/>
    </row>
    <row r="449" spans="1:15" ht="14.25" customHeight="1" x14ac:dyDescent="0.25">
      <c r="A449" s="8"/>
      <c r="B449" s="9"/>
      <c r="C449" s="8"/>
      <c r="D449" s="8"/>
      <c r="E449" s="8"/>
      <c r="F449" s="9"/>
      <c r="G449" s="9"/>
      <c r="H449" s="8"/>
      <c r="I449" s="8"/>
      <c r="J449" s="15"/>
      <c r="K449" s="8"/>
      <c r="L449" s="8"/>
      <c r="M449" s="8"/>
      <c r="N449" s="8"/>
      <c r="O449" s="8"/>
    </row>
    <row r="450" spans="1:15" ht="14.25" customHeight="1" x14ac:dyDescent="0.25">
      <c r="A450" s="8"/>
      <c r="B450" s="9"/>
      <c r="C450" s="8"/>
      <c r="D450" s="8"/>
      <c r="E450" s="8"/>
      <c r="F450" s="9"/>
      <c r="G450" s="9"/>
      <c r="H450" s="8"/>
      <c r="I450" s="8"/>
      <c r="J450" s="15"/>
      <c r="K450" s="8"/>
      <c r="L450" s="8"/>
      <c r="M450" s="8"/>
      <c r="N450" s="8"/>
      <c r="O450" s="8"/>
    </row>
    <row r="451" spans="1:15" ht="14.25" customHeight="1" x14ac:dyDescent="0.25">
      <c r="A451" s="8"/>
      <c r="B451" s="9"/>
      <c r="C451" s="8"/>
      <c r="D451" s="8"/>
      <c r="E451" s="8"/>
      <c r="F451" s="9"/>
      <c r="G451" s="9"/>
      <c r="H451" s="8"/>
      <c r="I451" s="8"/>
      <c r="J451" s="15"/>
      <c r="K451" s="8"/>
      <c r="L451" s="8"/>
      <c r="M451" s="8"/>
      <c r="N451" s="8"/>
      <c r="O451" s="8"/>
    </row>
    <row r="452" spans="1:15" ht="14.25" customHeight="1" x14ac:dyDescent="0.25">
      <c r="A452" s="8"/>
      <c r="B452" s="9"/>
      <c r="C452" s="8"/>
      <c r="D452" s="8"/>
      <c r="E452" s="8"/>
      <c r="F452" s="9"/>
      <c r="G452" s="9"/>
      <c r="H452" s="8"/>
      <c r="I452" s="8"/>
      <c r="J452" s="15"/>
      <c r="K452" s="8"/>
      <c r="L452" s="8"/>
      <c r="M452" s="8"/>
      <c r="N452" s="8"/>
      <c r="O452" s="8"/>
    </row>
    <row r="453" spans="1:15" ht="14.25" customHeight="1" x14ac:dyDescent="0.25">
      <c r="A453" s="8"/>
      <c r="B453" s="9"/>
      <c r="C453" s="8"/>
      <c r="D453" s="8"/>
      <c r="E453" s="8"/>
      <c r="F453" s="9"/>
      <c r="G453" s="9"/>
      <c r="H453" s="8"/>
      <c r="I453" s="8"/>
      <c r="J453" s="15"/>
      <c r="K453" s="8"/>
      <c r="L453" s="8"/>
      <c r="M453" s="8"/>
      <c r="N453" s="8"/>
      <c r="O453" s="8"/>
    </row>
    <row r="454" spans="1:15" ht="14.25" customHeight="1" x14ac:dyDescent="0.25">
      <c r="A454" s="8"/>
      <c r="B454" s="9"/>
      <c r="C454" s="8"/>
      <c r="D454" s="8"/>
      <c r="E454" s="8"/>
      <c r="F454" s="9"/>
      <c r="G454" s="9"/>
      <c r="H454" s="8"/>
      <c r="I454" s="8"/>
      <c r="J454" s="15"/>
      <c r="K454" s="8"/>
      <c r="L454" s="8"/>
      <c r="M454" s="8"/>
      <c r="N454" s="8"/>
      <c r="O454" s="8"/>
    </row>
    <row r="455" spans="1:15" ht="14.25" customHeight="1" x14ac:dyDescent="0.25">
      <c r="A455" s="8"/>
      <c r="B455" s="9"/>
      <c r="C455" s="8"/>
      <c r="D455" s="8"/>
      <c r="E455" s="8"/>
      <c r="F455" s="9"/>
      <c r="G455" s="9"/>
      <c r="H455" s="8"/>
      <c r="I455" s="8"/>
      <c r="J455" s="15"/>
      <c r="K455" s="8"/>
      <c r="L455" s="8"/>
      <c r="M455" s="8"/>
      <c r="N455" s="8"/>
      <c r="O455" s="8"/>
    </row>
    <row r="456" spans="1:15" ht="14.25" customHeight="1" x14ac:dyDescent="0.25">
      <c r="A456" s="8"/>
      <c r="B456" s="9"/>
      <c r="C456" s="8"/>
      <c r="D456" s="8"/>
      <c r="E456" s="8"/>
      <c r="F456" s="9"/>
      <c r="G456" s="9"/>
      <c r="H456" s="8"/>
      <c r="I456" s="8"/>
      <c r="J456" s="15"/>
      <c r="K456" s="8"/>
      <c r="L456" s="8"/>
      <c r="M456" s="8"/>
      <c r="N456" s="8"/>
      <c r="O456" s="8"/>
    </row>
    <row r="457" spans="1:15" ht="14.25" customHeight="1" x14ac:dyDescent="0.25">
      <c r="A457" s="8"/>
      <c r="B457" s="9"/>
      <c r="C457" s="8"/>
      <c r="D457" s="8"/>
      <c r="E457" s="8"/>
      <c r="F457" s="9"/>
      <c r="G457" s="9"/>
      <c r="H457" s="8"/>
      <c r="I457" s="8"/>
      <c r="J457" s="15"/>
      <c r="K457" s="8"/>
      <c r="L457" s="8"/>
      <c r="M457" s="8"/>
      <c r="N457" s="8"/>
      <c r="O457" s="8"/>
    </row>
    <row r="458" spans="1:15" ht="14.25" customHeight="1" x14ac:dyDescent="0.25">
      <c r="A458" s="8"/>
      <c r="B458" s="9"/>
      <c r="C458" s="8"/>
      <c r="D458" s="8"/>
      <c r="E458" s="8"/>
      <c r="F458" s="9"/>
      <c r="G458" s="9"/>
      <c r="H458" s="8"/>
      <c r="I458" s="8"/>
      <c r="J458" s="15"/>
      <c r="K458" s="8"/>
      <c r="L458" s="8"/>
      <c r="M458" s="8"/>
      <c r="N458" s="8"/>
      <c r="O458" s="8"/>
    </row>
    <row r="459" spans="1:15" ht="14.25" customHeight="1" x14ac:dyDescent="0.25">
      <c r="A459" s="8"/>
      <c r="B459" s="9"/>
      <c r="C459" s="8"/>
      <c r="D459" s="8"/>
      <c r="E459" s="8"/>
      <c r="F459" s="9"/>
      <c r="G459" s="9"/>
      <c r="H459" s="8"/>
      <c r="I459" s="8"/>
      <c r="J459" s="15"/>
      <c r="K459" s="8"/>
      <c r="L459" s="8"/>
      <c r="M459" s="8"/>
      <c r="N459" s="8"/>
      <c r="O459" s="8"/>
    </row>
    <row r="460" spans="1:15" ht="14.25" customHeight="1" x14ac:dyDescent="0.25">
      <c r="A460" s="8"/>
      <c r="B460" s="9"/>
      <c r="C460" s="8"/>
      <c r="D460" s="8"/>
      <c r="E460" s="8"/>
      <c r="F460" s="9"/>
      <c r="G460" s="9"/>
      <c r="H460" s="8"/>
      <c r="I460" s="8"/>
      <c r="J460" s="15"/>
      <c r="K460" s="8"/>
      <c r="L460" s="8"/>
      <c r="M460" s="8"/>
      <c r="N460" s="8"/>
      <c r="O460" s="8"/>
    </row>
    <row r="461" spans="1:15" ht="14.25" customHeight="1" x14ac:dyDescent="0.25">
      <c r="A461" s="8"/>
      <c r="B461" s="9"/>
      <c r="C461" s="8"/>
      <c r="D461" s="8"/>
      <c r="E461" s="8"/>
      <c r="F461" s="9"/>
      <c r="G461" s="9"/>
      <c r="H461" s="8"/>
      <c r="I461" s="8"/>
      <c r="J461" s="15"/>
      <c r="K461" s="8"/>
      <c r="L461" s="8"/>
      <c r="M461" s="8"/>
      <c r="N461" s="8"/>
      <c r="O461" s="8"/>
    </row>
    <row r="462" spans="1:15" ht="14.25" customHeight="1" x14ac:dyDescent="0.25">
      <c r="A462" s="8"/>
      <c r="B462" s="9"/>
      <c r="C462" s="8"/>
      <c r="D462" s="8"/>
      <c r="E462" s="8"/>
      <c r="F462" s="9"/>
      <c r="G462" s="9"/>
      <c r="H462" s="8"/>
      <c r="I462" s="8"/>
      <c r="J462" s="15"/>
      <c r="K462" s="8"/>
      <c r="L462" s="8"/>
      <c r="M462" s="8"/>
      <c r="N462" s="8"/>
      <c r="O462" s="8"/>
    </row>
    <row r="463" spans="1:15" ht="14.25" customHeight="1" x14ac:dyDescent="0.25">
      <c r="A463" s="8"/>
      <c r="B463" s="9"/>
      <c r="C463" s="8"/>
      <c r="D463" s="8"/>
      <c r="E463" s="8"/>
      <c r="F463" s="9"/>
      <c r="G463" s="9"/>
      <c r="H463" s="8"/>
      <c r="I463" s="8"/>
      <c r="J463" s="15"/>
      <c r="K463" s="8"/>
      <c r="L463" s="8"/>
      <c r="M463" s="8"/>
      <c r="N463" s="8"/>
      <c r="O463" s="8"/>
    </row>
    <row r="464" spans="1:15" ht="14.25" customHeight="1" x14ac:dyDescent="0.25">
      <c r="A464" s="8"/>
      <c r="B464" s="9"/>
      <c r="C464" s="8"/>
      <c r="D464" s="8"/>
      <c r="E464" s="8"/>
      <c r="F464" s="9"/>
      <c r="G464" s="9"/>
      <c r="H464" s="8"/>
      <c r="I464" s="8"/>
      <c r="J464" s="15"/>
      <c r="K464" s="8"/>
      <c r="L464" s="8"/>
      <c r="M464" s="8"/>
      <c r="N464" s="8"/>
      <c r="O464" s="8"/>
    </row>
    <row r="465" spans="1:15" ht="14.25" customHeight="1" x14ac:dyDescent="0.25">
      <c r="A465" s="8"/>
      <c r="B465" s="9"/>
      <c r="C465" s="8"/>
      <c r="D465" s="8"/>
      <c r="E465" s="8"/>
      <c r="F465" s="9"/>
      <c r="G465" s="9"/>
      <c r="H465" s="8"/>
      <c r="I465" s="8"/>
      <c r="J465" s="15"/>
      <c r="K465" s="8"/>
      <c r="L465" s="8"/>
      <c r="M465" s="8"/>
      <c r="N465" s="8"/>
      <c r="O465" s="8"/>
    </row>
    <row r="466" spans="1:15" ht="14.25" customHeight="1" x14ac:dyDescent="0.25">
      <c r="A466" s="8"/>
      <c r="B466" s="9"/>
      <c r="C466" s="8"/>
      <c r="D466" s="8"/>
      <c r="E466" s="8"/>
      <c r="F466" s="9"/>
      <c r="G466" s="9"/>
      <c r="H466" s="8"/>
      <c r="I466" s="8"/>
      <c r="J466" s="15"/>
      <c r="K466" s="8"/>
      <c r="L466" s="8"/>
      <c r="M466" s="8"/>
      <c r="N466" s="8"/>
      <c r="O466" s="8"/>
    </row>
    <row r="467" spans="1:15" ht="14.25" customHeight="1" x14ac:dyDescent="0.25">
      <c r="A467" s="8"/>
      <c r="B467" s="9"/>
      <c r="C467" s="8"/>
      <c r="D467" s="8"/>
      <c r="E467" s="8"/>
      <c r="F467" s="9"/>
      <c r="G467" s="9"/>
      <c r="H467" s="8"/>
      <c r="I467" s="8"/>
      <c r="J467" s="15"/>
      <c r="K467" s="8"/>
      <c r="L467" s="8"/>
      <c r="M467" s="8"/>
      <c r="N467" s="8"/>
      <c r="O467" s="8"/>
    </row>
    <row r="468" spans="1:15" ht="14.25" customHeight="1" x14ac:dyDescent="0.25">
      <c r="A468" s="8"/>
      <c r="B468" s="9"/>
      <c r="C468" s="8"/>
      <c r="D468" s="8"/>
      <c r="E468" s="8"/>
      <c r="F468" s="9"/>
      <c r="G468" s="9"/>
      <c r="H468" s="8"/>
      <c r="I468" s="8"/>
      <c r="J468" s="15"/>
      <c r="K468" s="8"/>
      <c r="L468" s="8"/>
      <c r="M468" s="8"/>
      <c r="N468" s="8"/>
      <c r="O468" s="8"/>
    </row>
    <row r="469" spans="1:15" ht="14.25" customHeight="1" x14ac:dyDescent="0.25">
      <c r="A469" s="8"/>
      <c r="B469" s="9"/>
      <c r="C469" s="8"/>
      <c r="D469" s="8"/>
      <c r="E469" s="8"/>
      <c r="F469" s="9"/>
      <c r="G469" s="9"/>
      <c r="H469" s="8"/>
      <c r="I469" s="8"/>
      <c r="J469" s="15"/>
      <c r="K469" s="8"/>
      <c r="L469" s="8"/>
      <c r="M469" s="8"/>
      <c r="N469" s="8"/>
      <c r="O469" s="8"/>
    </row>
    <row r="470" spans="1:15" ht="14.25" customHeight="1" x14ac:dyDescent="0.25">
      <c r="A470" s="8"/>
      <c r="B470" s="9"/>
      <c r="C470" s="8"/>
      <c r="D470" s="8"/>
      <c r="E470" s="8"/>
      <c r="F470" s="9"/>
      <c r="G470" s="9"/>
      <c r="H470" s="8"/>
      <c r="I470" s="8"/>
      <c r="J470" s="15"/>
      <c r="K470" s="8"/>
      <c r="L470" s="8"/>
      <c r="M470" s="8"/>
      <c r="N470" s="8"/>
      <c r="O470" s="8"/>
    </row>
    <row r="471" spans="1:15" ht="14.25" customHeight="1" x14ac:dyDescent="0.25">
      <c r="A471" s="8"/>
      <c r="B471" s="9"/>
      <c r="C471" s="8"/>
      <c r="D471" s="8"/>
      <c r="E471" s="8"/>
      <c r="F471" s="9"/>
      <c r="G471" s="9"/>
      <c r="H471" s="8"/>
      <c r="I471" s="8"/>
      <c r="J471" s="15"/>
      <c r="K471" s="8"/>
      <c r="L471" s="8"/>
      <c r="M471" s="8"/>
      <c r="N471" s="8"/>
      <c r="O471" s="8"/>
    </row>
    <row r="472" spans="1:15" ht="14.25" customHeight="1" x14ac:dyDescent="0.25">
      <c r="A472" s="8"/>
      <c r="B472" s="9"/>
      <c r="C472" s="8"/>
      <c r="D472" s="8"/>
      <c r="E472" s="8"/>
      <c r="F472" s="9"/>
      <c r="G472" s="9"/>
      <c r="H472" s="8"/>
      <c r="I472" s="8"/>
      <c r="J472" s="15"/>
      <c r="K472" s="8"/>
      <c r="L472" s="8"/>
      <c r="M472" s="8"/>
      <c r="N472" s="8"/>
      <c r="O472" s="8"/>
    </row>
    <row r="473" spans="1:15" ht="14.25" customHeight="1" x14ac:dyDescent="0.25">
      <c r="A473" s="8"/>
      <c r="B473" s="9"/>
      <c r="C473" s="8"/>
      <c r="D473" s="8"/>
      <c r="E473" s="8"/>
      <c r="F473" s="9"/>
      <c r="G473" s="9"/>
      <c r="H473" s="8"/>
      <c r="I473" s="8"/>
      <c r="J473" s="15"/>
      <c r="K473" s="8"/>
      <c r="L473" s="8"/>
      <c r="M473" s="8"/>
      <c r="N473" s="8"/>
      <c r="O473" s="8"/>
    </row>
    <row r="474" spans="1:15" ht="14.25" customHeight="1" x14ac:dyDescent="0.25">
      <c r="A474" s="8"/>
      <c r="B474" s="9"/>
      <c r="C474" s="8"/>
      <c r="D474" s="8"/>
      <c r="E474" s="8"/>
      <c r="F474" s="9"/>
      <c r="G474" s="9"/>
      <c r="H474" s="8"/>
      <c r="I474" s="8"/>
      <c r="J474" s="15"/>
      <c r="K474" s="8"/>
      <c r="L474" s="8"/>
      <c r="M474" s="8"/>
      <c r="N474" s="8"/>
      <c r="O474" s="8"/>
    </row>
    <row r="475" spans="1:15" ht="14.25" customHeight="1" x14ac:dyDescent="0.25">
      <c r="A475" s="8"/>
      <c r="B475" s="9"/>
      <c r="C475" s="8"/>
      <c r="D475" s="8"/>
      <c r="E475" s="8"/>
      <c r="F475" s="9"/>
      <c r="G475" s="9"/>
      <c r="H475" s="8"/>
      <c r="I475" s="8"/>
      <c r="J475" s="15"/>
      <c r="K475" s="8"/>
      <c r="L475" s="8"/>
      <c r="M475" s="8"/>
      <c r="N475" s="8"/>
      <c r="O475" s="8"/>
    </row>
    <row r="476" spans="1:15" ht="14.25" customHeight="1" x14ac:dyDescent="0.25">
      <c r="A476" s="8"/>
      <c r="B476" s="9"/>
      <c r="C476" s="8"/>
      <c r="D476" s="8"/>
      <c r="E476" s="8"/>
      <c r="F476" s="9"/>
      <c r="G476" s="9"/>
      <c r="H476" s="8"/>
      <c r="I476" s="8"/>
      <c r="J476" s="15"/>
      <c r="K476" s="8"/>
      <c r="L476" s="8"/>
      <c r="M476" s="8"/>
      <c r="N476" s="8"/>
      <c r="O476" s="8"/>
    </row>
    <row r="477" spans="1:15" ht="14.25" customHeight="1" x14ac:dyDescent="0.25">
      <c r="A477" s="8"/>
      <c r="B477" s="9"/>
      <c r="C477" s="8"/>
      <c r="D477" s="8"/>
      <c r="E477" s="8"/>
      <c r="F477" s="9"/>
      <c r="G477" s="9"/>
      <c r="H477" s="8"/>
      <c r="I477" s="8"/>
      <c r="J477" s="15"/>
      <c r="K477" s="8"/>
      <c r="L477" s="8"/>
      <c r="M477" s="8"/>
      <c r="N477" s="8"/>
      <c r="O477" s="8"/>
    </row>
    <row r="478" spans="1:15" ht="14.25" customHeight="1" x14ac:dyDescent="0.25">
      <c r="A478" s="8"/>
      <c r="B478" s="9"/>
      <c r="C478" s="8"/>
      <c r="D478" s="8"/>
      <c r="E478" s="8"/>
      <c r="F478" s="9"/>
      <c r="G478" s="9"/>
      <c r="H478" s="8"/>
      <c r="I478" s="8"/>
      <c r="J478" s="15"/>
      <c r="K478" s="8"/>
      <c r="L478" s="8"/>
      <c r="M478" s="8"/>
      <c r="N478" s="8"/>
      <c r="O478" s="8"/>
    </row>
    <row r="479" spans="1:15" ht="14.25" customHeight="1" x14ac:dyDescent="0.25">
      <c r="A479" s="8"/>
      <c r="B479" s="9"/>
      <c r="C479" s="8"/>
      <c r="D479" s="8"/>
      <c r="E479" s="8"/>
      <c r="F479" s="9"/>
      <c r="G479" s="9"/>
      <c r="H479" s="8"/>
      <c r="I479" s="8"/>
      <c r="J479" s="15"/>
      <c r="K479" s="8"/>
      <c r="L479" s="8"/>
      <c r="M479" s="8"/>
      <c r="N479" s="8"/>
      <c r="O479" s="8"/>
    </row>
    <row r="480" spans="1:15" ht="14.25" customHeight="1" x14ac:dyDescent="0.25">
      <c r="A480" s="8"/>
      <c r="B480" s="9"/>
      <c r="C480" s="8"/>
      <c r="D480" s="8"/>
      <c r="E480" s="8"/>
      <c r="F480" s="9"/>
      <c r="G480" s="9"/>
      <c r="H480" s="8"/>
      <c r="I480" s="8"/>
      <c r="J480" s="15"/>
      <c r="K480" s="8"/>
      <c r="L480" s="8"/>
      <c r="M480" s="8"/>
      <c r="N480" s="8"/>
      <c r="O480" s="8"/>
    </row>
    <row r="481" spans="1:15" ht="14.25" customHeight="1" x14ac:dyDescent="0.25">
      <c r="A481" s="8"/>
      <c r="B481" s="9"/>
      <c r="C481" s="8"/>
      <c r="D481" s="8"/>
      <c r="E481" s="8"/>
      <c r="F481" s="9"/>
      <c r="G481" s="9"/>
      <c r="H481" s="8"/>
      <c r="I481" s="8"/>
      <c r="J481" s="15"/>
      <c r="K481" s="8"/>
      <c r="L481" s="8"/>
      <c r="M481" s="8"/>
      <c r="N481" s="8"/>
      <c r="O481" s="8"/>
    </row>
    <row r="482" spans="1:15" ht="14.25" customHeight="1" x14ac:dyDescent="0.25">
      <c r="A482" s="8"/>
      <c r="B482" s="9"/>
      <c r="C482" s="8"/>
      <c r="D482" s="8"/>
      <c r="E482" s="8"/>
      <c r="F482" s="9"/>
      <c r="G482" s="9"/>
      <c r="H482" s="8"/>
      <c r="I482" s="8"/>
      <c r="J482" s="15"/>
      <c r="K482" s="8"/>
      <c r="L482" s="8"/>
      <c r="M482" s="8"/>
      <c r="N482" s="8"/>
      <c r="O482" s="8"/>
    </row>
    <row r="483" spans="1:15" ht="14.25" customHeight="1" x14ac:dyDescent="0.25">
      <c r="A483" s="8"/>
      <c r="B483" s="9"/>
      <c r="C483" s="8"/>
      <c r="D483" s="8"/>
      <c r="E483" s="8"/>
      <c r="F483" s="9"/>
      <c r="G483" s="9"/>
      <c r="H483" s="8"/>
      <c r="I483" s="8"/>
      <c r="J483" s="15"/>
      <c r="K483" s="8"/>
      <c r="L483" s="8"/>
      <c r="M483" s="8"/>
      <c r="N483" s="8"/>
      <c r="O483" s="8"/>
    </row>
    <row r="484" spans="1:15" ht="14.25" customHeight="1" x14ac:dyDescent="0.25">
      <c r="A484" s="8"/>
      <c r="B484" s="9"/>
      <c r="C484" s="8"/>
      <c r="D484" s="8"/>
      <c r="E484" s="8"/>
      <c r="F484" s="9"/>
      <c r="G484" s="9"/>
      <c r="H484" s="8"/>
      <c r="I484" s="8"/>
      <c r="J484" s="15"/>
      <c r="K484" s="8"/>
      <c r="L484" s="8"/>
      <c r="M484" s="8"/>
      <c r="N484" s="8"/>
      <c r="O484" s="8"/>
    </row>
    <row r="485" spans="1:15" ht="14.25" customHeight="1" x14ac:dyDescent="0.25">
      <c r="A485" s="8"/>
      <c r="B485" s="9"/>
      <c r="C485" s="8"/>
      <c r="D485" s="8"/>
      <c r="E485" s="8"/>
      <c r="F485" s="9"/>
      <c r="G485" s="9"/>
      <c r="H485" s="8"/>
      <c r="I485" s="8"/>
      <c r="J485" s="15"/>
      <c r="K485" s="8"/>
      <c r="L485" s="8"/>
      <c r="M485" s="8"/>
      <c r="N485" s="8"/>
      <c r="O485" s="8"/>
    </row>
    <row r="486" spans="1:15" ht="14.25" customHeight="1" x14ac:dyDescent="0.25">
      <c r="A486" s="8"/>
      <c r="B486" s="9"/>
      <c r="C486" s="8"/>
      <c r="D486" s="8"/>
      <c r="E486" s="8"/>
      <c r="F486" s="9"/>
      <c r="G486" s="9"/>
      <c r="H486" s="8"/>
      <c r="I486" s="8"/>
      <c r="J486" s="15"/>
      <c r="K486" s="8"/>
      <c r="L486" s="8"/>
      <c r="M486" s="8"/>
      <c r="N486" s="8"/>
      <c r="O486" s="8"/>
    </row>
    <row r="487" spans="1:15" ht="14.25" customHeight="1" x14ac:dyDescent="0.25">
      <c r="A487" s="8"/>
      <c r="B487" s="9"/>
      <c r="C487" s="8"/>
      <c r="D487" s="8"/>
      <c r="E487" s="8"/>
      <c r="F487" s="9"/>
      <c r="G487" s="9"/>
      <c r="H487" s="8"/>
      <c r="I487" s="8"/>
      <c r="J487" s="15"/>
      <c r="K487" s="8"/>
      <c r="L487" s="8"/>
      <c r="M487" s="8"/>
      <c r="N487" s="8"/>
      <c r="O487" s="8"/>
    </row>
    <row r="488" spans="1:15" ht="14.25" customHeight="1" x14ac:dyDescent="0.25">
      <c r="A488" s="8"/>
      <c r="B488" s="9"/>
      <c r="C488" s="8"/>
      <c r="D488" s="8"/>
      <c r="E488" s="8"/>
      <c r="F488" s="9"/>
      <c r="G488" s="9"/>
      <c r="H488" s="8"/>
      <c r="I488" s="8"/>
      <c r="J488" s="15"/>
      <c r="K488" s="8"/>
      <c r="L488" s="8"/>
      <c r="M488" s="8"/>
      <c r="N488" s="8"/>
      <c r="O488" s="8"/>
    </row>
    <row r="489" spans="1:15" ht="14.25" customHeight="1" x14ac:dyDescent="0.25">
      <c r="A489" s="8"/>
      <c r="B489" s="9"/>
      <c r="C489" s="8"/>
      <c r="D489" s="8"/>
      <c r="E489" s="8"/>
      <c r="F489" s="9"/>
      <c r="G489" s="9"/>
      <c r="H489" s="8"/>
      <c r="I489" s="8"/>
      <c r="J489" s="15"/>
      <c r="K489" s="8"/>
      <c r="L489" s="8"/>
      <c r="M489" s="8"/>
      <c r="N489" s="8"/>
      <c r="O489" s="8"/>
    </row>
    <row r="490" spans="1:15" ht="14.25" customHeight="1" x14ac:dyDescent="0.25">
      <c r="A490" s="8"/>
      <c r="B490" s="9"/>
      <c r="C490" s="8"/>
      <c r="D490" s="8"/>
      <c r="E490" s="8"/>
      <c r="F490" s="9"/>
      <c r="G490" s="9"/>
      <c r="H490" s="8"/>
      <c r="I490" s="8"/>
      <c r="J490" s="15"/>
      <c r="K490" s="8"/>
      <c r="L490" s="8"/>
      <c r="M490" s="8"/>
      <c r="N490" s="8"/>
      <c r="O490" s="8"/>
    </row>
    <row r="491" spans="1:15" ht="14.25" customHeight="1" x14ac:dyDescent="0.25">
      <c r="A491" s="8"/>
      <c r="B491" s="9"/>
      <c r="C491" s="8"/>
      <c r="D491" s="8"/>
      <c r="E491" s="8"/>
      <c r="F491" s="9"/>
      <c r="G491" s="9"/>
      <c r="H491" s="8"/>
      <c r="I491" s="8"/>
      <c r="J491" s="15"/>
      <c r="K491" s="8"/>
      <c r="L491" s="8"/>
      <c r="M491" s="8"/>
      <c r="N491" s="8"/>
      <c r="O491" s="8"/>
    </row>
    <row r="492" spans="1:15" ht="14.25" customHeight="1" x14ac:dyDescent="0.25">
      <c r="A492" s="8"/>
      <c r="B492" s="9"/>
      <c r="C492" s="8"/>
      <c r="D492" s="8"/>
      <c r="E492" s="8"/>
      <c r="F492" s="9"/>
      <c r="G492" s="9"/>
      <c r="H492" s="8"/>
      <c r="I492" s="8"/>
      <c r="J492" s="15"/>
      <c r="K492" s="8"/>
      <c r="L492" s="8"/>
      <c r="M492" s="8"/>
      <c r="N492" s="8"/>
      <c r="O492" s="8"/>
    </row>
    <row r="493" spans="1:15" ht="14.25" customHeight="1" x14ac:dyDescent="0.25">
      <c r="A493" s="8"/>
      <c r="B493" s="9"/>
      <c r="C493" s="8"/>
      <c r="D493" s="8"/>
      <c r="E493" s="8"/>
      <c r="F493" s="9"/>
      <c r="G493" s="9"/>
      <c r="H493" s="8"/>
      <c r="I493" s="8"/>
      <c r="J493" s="15"/>
      <c r="K493" s="8"/>
      <c r="L493" s="8"/>
      <c r="M493" s="8"/>
      <c r="N493" s="8"/>
      <c r="O493" s="8"/>
    </row>
    <row r="494" spans="1:15" ht="14.25" customHeight="1" x14ac:dyDescent="0.25">
      <c r="A494" s="8"/>
      <c r="B494" s="9"/>
      <c r="C494" s="8"/>
      <c r="D494" s="8"/>
      <c r="E494" s="8"/>
      <c r="F494" s="9"/>
      <c r="G494" s="9"/>
      <c r="H494" s="8"/>
      <c r="I494" s="8"/>
      <c r="J494" s="15"/>
      <c r="K494" s="8"/>
      <c r="L494" s="8"/>
      <c r="M494" s="8"/>
      <c r="N494" s="8"/>
      <c r="O494" s="8"/>
    </row>
    <row r="495" spans="1:15" ht="14.25" customHeight="1" x14ac:dyDescent="0.25">
      <c r="A495" s="8"/>
      <c r="B495" s="9"/>
      <c r="C495" s="8"/>
      <c r="D495" s="8"/>
      <c r="E495" s="8"/>
      <c r="F495" s="9"/>
      <c r="G495" s="9"/>
      <c r="H495" s="8"/>
      <c r="I495" s="8"/>
      <c r="J495" s="15"/>
      <c r="K495" s="8"/>
      <c r="L495" s="8"/>
      <c r="M495" s="8"/>
      <c r="N495" s="8"/>
      <c r="O495" s="8"/>
    </row>
    <row r="496" spans="1:15" ht="14.25" customHeight="1" x14ac:dyDescent="0.25">
      <c r="A496" s="8"/>
      <c r="B496" s="9"/>
      <c r="C496" s="8"/>
      <c r="D496" s="8"/>
      <c r="E496" s="8"/>
      <c r="F496" s="9"/>
      <c r="G496" s="9"/>
      <c r="H496" s="8"/>
      <c r="I496" s="8"/>
      <c r="J496" s="15"/>
      <c r="K496" s="8"/>
      <c r="L496" s="8"/>
      <c r="M496" s="8"/>
      <c r="N496" s="8"/>
      <c r="O496" s="8"/>
    </row>
    <row r="497" spans="1:15" ht="14.25" customHeight="1" x14ac:dyDescent="0.25">
      <c r="A497" s="8"/>
      <c r="B497" s="9"/>
      <c r="C497" s="8"/>
      <c r="D497" s="8"/>
      <c r="E497" s="8"/>
      <c r="F497" s="9"/>
      <c r="G497" s="9"/>
      <c r="H497" s="8"/>
      <c r="I497" s="8"/>
      <c r="J497" s="15"/>
      <c r="K497" s="8"/>
      <c r="L497" s="8"/>
      <c r="M497" s="8"/>
      <c r="N497" s="8"/>
      <c r="O497" s="8"/>
    </row>
    <row r="498" spans="1:15" ht="14.25" customHeight="1" x14ac:dyDescent="0.25">
      <c r="A498" s="8"/>
      <c r="B498" s="9"/>
      <c r="C498" s="8"/>
      <c r="D498" s="8"/>
      <c r="E498" s="8"/>
      <c r="F498" s="9"/>
      <c r="G498" s="9"/>
      <c r="H498" s="8"/>
      <c r="I498" s="8"/>
      <c r="J498" s="15"/>
      <c r="K498" s="8"/>
      <c r="L498" s="8"/>
      <c r="M498" s="8"/>
      <c r="N498" s="8"/>
      <c r="O498" s="8"/>
    </row>
    <row r="499" spans="1:15" ht="14.25" customHeight="1" x14ac:dyDescent="0.25">
      <c r="A499" s="8"/>
      <c r="B499" s="9"/>
      <c r="C499" s="8"/>
      <c r="D499" s="8"/>
      <c r="E499" s="8"/>
      <c r="F499" s="9"/>
      <c r="G499" s="9"/>
      <c r="H499" s="8"/>
      <c r="I499" s="8"/>
      <c r="J499" s="15"/>
      <c r="K499" s="8"/>
      <c r="L499" s="8"/>
      <c r="M499" s="8"/>
      <c r="N499" s="8"/>
      <c r="O499" s="8"/>
    </row>
    <row r="500" spans="1:15" ht="14.25" customHeight="1" x14ac:dyDescent="0.25">
      <c r="A500" s="8"/>
      <c r="B500" s="9"/>
      <c r="C500" s="8"/>
      <c r="D500" s="8"/>
      <c r="E500" s="8"/>
      <c r="F500" s="9"/>
      <c r="G500" s="9"/>
      <c r="H500" s="8"/>
      <c r="I500" s="8"/>
      <c r="J500" s="15"/>
      <c r="K500" s="8"/>
      <c r="L500" s="8"/>
      <c r="M500" s="8"/>
      <c r="N500" s="8"/>
      <c r="O500" s="8"/>
    </row>
    <row r="501" spans="1:15" ht="14.25" customHeight="1" x14ac:dyDescent="0.25">
      <c r="A501" s="8"/>
      <c r="B501" s="9"/>
      <c r="C501" s="8"/>
      <c r="D501" s="8"/>
      <c r="E501" s="8"/>
      <c r="F501" s="9"/>
      <c r="G501" s="9"/>
      <c r="H501" s="8"/>
      <c r="I501" s="8"/>
      <c r="J501" s="15"/>
      <c r="K501" s="8"/>
      <c r="L501" s="8"/>
      <c r="M501" s="8"/>
      <c r="N501" s="8"/>
      <c r="O501" s="8"/>
    </row>
    <row r="502" spans="1:15" ht="14.25" customHeight="1" x14ac:dyDescent="0.25">
      <c r="A502" s="8"/>
      <c r="B502" s="9"/>
      <c r="C502" s="8"/>
      <c r="D502" s="8"/>
      <c r="E502" s="8"/>
      <c r="F502" s="9"/>
      <c r="G502" s="9"/>
      <c r="H502" s="8"/>
      <c r="I502" s="8"/>
      <c r="J502" s="15"/>
      <c r="K502" s="8"/>
      <c r="L502" s="8"/>
      <c r="M502" s="8"/>
      <c r="N502" s="8"/>
      <c r="O502" s="8"/>
    </row>
    <row r="503" spans="1:15" ht="14.25" customHeight="1" x14ac:dyDescent="0.25">
      <c r="A503" s="8"/>
      <c r="B503" s="9"/>
      <c r="C503" s="8"/>
      <c r="D503" s="8"/>
      <c r="E503" s="8"/>
      <c r="F503" s="9"/>
      <c r="G503" s="9"/>
      <c r="H503" s="8"/>
      <c r="I503" s="8"/>
      <c r="J503" s="15"/>
      <c r="K503" s="8"/>
      <c r="L503" s="8"/>
      <c r="M503" s="8"/>
      <c r="N503" s="8"/>
      <c r="O503" s="8"/>
    </row>
    <row r="504" spans="1:15" ht="14.25" customHeight="1" x14ac:dyDescent="0.25">
      <c r="A504" s="8"/>
      <c r="B504" s="9"/>
      <c r="C504" s="8"/>
      <c r="D504" s="8"/>
      <c r="E504" s="8"/>
      <c r="F504" s="9"/>
      <c r="G504" s="9"/>
      <c r="H504" s="8"/>
      <c r="I504" s="8"/>
      <c r="J504" s="15"/>
      <c r="K504" s="8"/>
      <c r="L504" s="8"/>
      <c r="M504" s="8"/>
      <c r="N504" s="8"/>
      <c r="O504" s="8"/>
    </row>
    <row r="505" spans="1:15" ht="14.25" customHeight="1" x14ac:dyDescent="0.25">
      <c r="A505" s="8"/>
      <c r="B505" s="9"/>
      <c r="C505" s="8"/>
      <c r="D505" s="8"/>
      <c r="E505" s="8"/>
      <c r="F505" s="9"/>
      <c r="G505" s="9"/>
      <c r="H505" s="8"/>
      <c r="I505" s="8"/>
      <c r="J505" s="15"/>
      <c r="K505" s="8"/>
      <c r="L505" s="8"/>
      <c r="M505" s="8"/>
      <c r="N505" s="8"/>
      <c r="O505" s="8"/>
    </row>
    <row r="506" spans="1:15" ht="14.25" customHeight="1" x14ac:dyDescent="0.25">
      <c r="A506" s="8"/>
      <c r="B506" s="9"/>
      <c r="C506" s="8"/>
      <c r="D506" s="8"/>
      <c r="E506" s="8"/>
      <c r="F506" s="9"/>
      <c r="G506" s="9"/>
      <c r="H506" s="8"/>
      <c r="I506" s="8"/>
      <c r="J506" s="15"/>
      <c r="K506" s="8"/>
      <c r="L506" s="8"/>
      <c r="M506" s="8"/>
      <c r="N506" s="8"/>
      <c r="O506" s="8"/>
    </row>
    <row r="507" spans="1:15" ht="14.25" customHeight="1" x14ac:dyDescent="0.25">
      <c r="A507" s="8"/>
      <c r="B507" s="9"/>
      <c r="C507" s="8"/>
      <c r="D507" s="8"/>
      <c r="E507" s="8"/>
      <c r="F507" s="9"/>
      <c r="G507" s="9"/>
      <c r="H507" s="8"/>
      <c r="I507" s="8"/>
      <c r="J507" s="15"/>
      <c r="K507" s="8"/>
      <c r="L507" s="8"/>
      <c r="M507" s="8"/>
      <c r="N507" s="8"/>
      <c r="O507" s="8"/>
    </row>
    <row r="508" spans="1:15" ht="14.25" customHeight="1" x14ac:dyDescent="0.25">
      <c r="A508" s="8"/>
      <c r="B508" s="9"/>
      <c r="C508" s="8"/>
      <c r="D508" s="8"/>
      <c r="E508" s="8"/>
      <c r="F508" s="9"/>
      <c r="G508" s="9"/>
      <c r="H508" s="8"/>
      <c r="I508" s="8"/>
      <c r="J508" s="15"/>
      <c r="K508" s="8"/>
      <c r="L508" s="8"/>
      <c r="M508" s="8"/>
      <c r="N508" s="8"/>
      <c r="O508" s="8"/>
    </row>
    <row r="509" spans="1:15" ht="14.25" customHeight="1" x14ac:dyDescent="0.25">
      <c r="A509" s="8"/>
      <c r="B509" s="9"/>
      <c r="C509" s="8"/>
      <c r="D509" s="8"/>
      <c r="E509" s="8"/>
      <c r="F509" s="9"/>
      <c r="G509" s="9"/>
      <c r="H509" s="8"/>
      <c r="I509" s="8"/>
      <c r="J509" s="15"/>
      <c r="K509" s="8"/>
      <c r="L509" s="8"/>
      <c r="M509" s="8"/>
      <c r="N509" s="8"/>
      <c r="O509" s="8"/>
    </row>
    <row r="510" spans="1:15" ht="14.25" customHeight="1" x14ac:dyDescent="0.25">
      <c r="A510" s="8"/>
      <c r="B510" s="9"/>
      <c r="C510" s="8"/>
      <c r="D510" s="8"/>
      <c r="E510" s="8"/>
      <c r="F510" s="9"/>
      <c r="G510" s="9"/>
      <c r="H510" s="8"/>
      <c r="I510" s="8"/>
      <c r="J510" s="15"/>
      <c r="K510" s="8"/>
      <c r="L510" s="8"/>
      <c r="M510" s="8"/>
      <c r="N510" s="8"/>
      <c r="O510" s="8"/>
    </row>
    <row r="511" spans="1:15" ht="14.25" customHeight="1" x14ac:dyDescent="0.25">
      <c r="A511" s="8"/>
      <c r="B511" s="9"/>
      <c r="C511" s="8"/>
      <c r="D511" s="8"/>
      <c r="E511" s="8"/>
      <c r="F511" s="9"/>
      <c r="G511" s="9"/>
      <c r="H511" s="8"/>
      <c r="I511" s="8"/>
      <c r="J511" s="15"/>
      <c r="K511" s="8"/>
      <c r="L511" s="8"/>
      <c r="M511" s="8"/>
      <c r="N511" s="8"/>
      <c r="O511" s="8"/>
    </row>
    <row r="512" spans="1:15" ht="14.25" customHeight="1" x14ac:dyDescent="0.25">
      <c r="A512" s="8"/>
      <c r="B512" s="9"/>
      <c r="C512" s="8"/>
      <c r="D512" s="8"/>
      <c r="E512" s="8"/>
      <c r="F512" s="9"/>
      <c r="G512" s="9"/>
      <c r="H512" s="8"/>
      <c r="I512" s="8"/>
      <c r="J512" s="15"/>
      <c r="K512" s="8"/>
      <c r="L512" s="8"/>
      <c r="M512" s="8"/>
      <c r="N512" s="8"/>
      <c r="O512" s="8"/>
    </row>
    <row r="513" spans="1:15" ht="14.25" customHeight="1" x14ac:dyDescent="0.25">
      <c r="A513" s="8"/>
      <c r="B513" s="9"/>
      <c r="C513" s="8"/>
      <c r="D513" s="8"/>
      <c r="E513" s="8"/>
      <c r="F513" s="9"/>
      <c r="G513" s="9"/>
      <c r="H513" s="8"/>
      <c r="I513" s="8"/>
      <c r="J513" s="15"/>
      <c r="K513" s="8"/>
      <c r="L513" s="8"/>
      <c r="M513" s="8"/>
      <c r="N513" s="8"/>
      <c r="O513" s="8"/>
    </row>
    <row r="514" spans="1:15" ht="14.25" customHeight="1" x14ac:dyDescent="0.25">
      <c r="A514" s="8"/>
      <c r="B514" s="9"/>
      <c r="C514" s="8"/>
      <c r="D514" s="8"/>
      <c r="E514" s="8"/>
      <c r="F514" s="9"/>
      <c r="G514" s="9"/>
      <c r="H514" s="8"/>
      <c r="I514" s="8"/>
      <c r="J514" s="15"/>
      <c r="K514" s="8"/>
      <c r="L514" s="8"/>
      <c r="M514" s="8"/>
      <c r="N514" s="8"/>
      <c r="O514" s="8"/>
    </row>
    <row r="515" spans="1:15" ht="14.25" customHeight="1" x14ac:dyDescent="0.25">
      <c r="A515" s="8"/>
      <c r="B515" s="9"/>
      <c r="C515" s="8"/>
      <c r="D515" s="8"/>
      <c r="E515" s="8"/>
      <c r="F515" s="9"/>
      <c r="G515" s="9"/>
      <c r="H515" s="8"/>
      <c r="I515" s="8"/>
      <c r="J515" s="15"/>
      <c r="K515" s="8"/>
      <c r="L515" s="8"/>
      <c r="M515" s="8"/>
      <c r="N515" s="8"/>
      <c r="O515" s="8"/>
    </row>
    <row r="516" spans="1:15" ht="14.25" customHeight="1" x14ac:dyDescent="0.25">
      <c r="A516" s="8"/>
      <c r="B516" s="9"/>
      <c r="C516" s="8"/>
      <c r="D516" s="8"/>
      <c r="E516" s="8"/>
      <c r="F516" s="9"/>
      <c r="G516" s="9"/>
      <c r="H516" s="8"/>
      <c r="I516" s="8"/>
      <c r="J516" s="15"/>
      <c r="K516" s="8"/>
      <c r="L516" s="8"/>
      <c r="M516" s="8"/>
      <c r="N516" s="8"/>
      <c r="O516" s="8"/>
    </row>
    <row r="517" spans="1:15" ht="14.25" customHeight="1" x14ac:dyDescent="0.25">
      <c r="A517" s="8"/>
      <c r="B517" s="9"/>
      <c r="C517" s="8"/>
      <c r="D517" s="8"/>
      <c r="E517" s="8"/>
      <c r="F517" s="9"/>
      <c r="G517" s="9"/>
      <c r="H517" s="8"/>
      <c r="I517" s="8"/>
      <c r="J517" s="15"/>
      <c r="K517" s="8"/>
      <c r="L517" s="8"/>
      <c r="M517" s="8"/>
      <c r="N517" s="8"/>
      <c r="O517" s="8"/>
    </row>
    <row r="518" spans="1:15" ht="14.25" customHeight="1" x14ac:dyDescent="0.25">
      <c r="A518" s="8"/>
      <c r="B518" s="9"/>
      <c r="C518" s="8"/>
      <c r="D518" s="8"/>
      <c r="E518" s="8"/>
      <c r="F518" s="9"/>
      <c r="G518" s="9"/>
      <c r="H518" s="8"/>
      <c r="I518" s="8"/>
      <c r="J518" s="15"/>
      <c r="K518" s="8"/>
      <c r="L518" s="8"/>
      <c r="M518" s="8"/>
      <c r="N518" s="8"/>
      <c r="O518" s="8"/>
    </row>
    <row r="519" spans="1:15" ht="14.25" customHeight="1" x14ac:dyDescent="0.25">
      <c r="A519" s="8"/>
      <c r="B519" s="9"/>
      <c r="C519" s="8"/>
      <c r="D519" s="8"/>
      <c r="E519" s="8"/>
      <c r="F519" s="9"/>
      <c r="G519" s="9"/>
      <c r="H519" s="8"/>
      <c r="I519" s="8"/>
      <c r="J519" s="15"/>
      <c r="K519" s="8"/>
      <c r="L519" s="8"/>
      <c r="M519" s="8"/>
      <c r="N519" s="8"/>
      <c r="O519" s="8"/>
    </row>
    <row r="520" spans="1:15" ht="14.25" customHeight="1" x14ac:dyDescent="0.25">
      <c r="A520" s="8"/>
      <c r="B520" s="9"/>
      <c r="C520" s="8"/>
      <c r="D520" s="8"/>
      <c r="E520" s="8"/>
      <c r="F520" s="9"/>
      <c r="G520" s="9"/>
      <c r="H520" s="8"/>
      <c r="I520" s="8"/>
      <c r="J520" s="15"/>
      <c r="K520" s="8"/>
      <c r="L520" s="8"/>
      <c r="M520" s="8"/>
      <c r="N520" s="8"/>
      <c r="O520" s="8"/>
    </row>
    <row r="521" spans="1:15" ht="14.25" customHeight="1" x14ac:dyDescent="0.25">
      <c r="A521" s="8"/>
      <c r="B521" s="9"/>
      <c r="C521" s="8"/>
      <c r="D521" s="8"/>
      <c r="E521" s="8"/>
      <c r="F521" s="9"/>
      <c r="G521" s="9"/>
      <c r="H521" s="8"/>
      <c r="I521" s="8"/>
      <c r="J521" s="15"/>
      <c r="K521" s="8"/>
      <c r="L521" s="8"/>
      <c r="M521" s="8"/>
      <c r="N521" s="8"/>
      <c r="O521" s="8"/>
    </row>
    <row r="522" spans="1:15" ht="14.25" customHeight="1" x14ac:dyDescent="0.25">
      <c r="A522" s="8"/>
      <c r="B522" s="9"/>
      <c r="C522" s="8"/>
      <c r="D522" s="8"/>
      <c r="E522" s="8"/>
      <c r="F522" s="9"/>
      <c r="G522" s="9"/>
      <c r="H522" s="8"/>
      <c r="I522" s="8"/>
      <c r="J522" s="15"/>
      <c r="K522" s="8"/>
      <c r="L522" s="8"/>
      <c r="M522" s="8"/>
      <c r="N522" s="8"/>
      <c r="O522" s="8"/>
    </row>
    <row r="523" spans="1:15" ht="14.25" customHeight="1" x14ac:dyDescent="0.25">
      <c r="A523" s="8"/>
      <c r="B523" s="9"/>
      <c r="C523" s="8"/>
      <c r="D523" s="8"/>
      <c r="E523" s="8"/>
      <c r="F523" s="9"/>
      <c r="G523" s="9"/>
      <c r="H523" s="8"/>
      <c r="I523" s="8"/>
      <c r="J523" s="15"/>
      <c r="K523" s="8"/>
      <c r="L523" s="8"/>
      <c r="M523" s="8"/>
      <c r="N523" s="8"/>
      <c r="O523" s="8"/>
    </row>
    <row r="524" spans="1:15" ht="14.25" customHeight="1" x14ac:dyDescent="0.25">
      <c r="A524" s="8"/>
      <c r="B524" s="9"/>
      <c r="C524" s="8"/>
      <c r="D524" s="8"/>
      <c r="E524" s="8"/>
      <c r="F524" s="9"/>
      <c r="G524" s="9"/>
      <c r="H524" s="8"/>
      <c r="I524" s="8"/>
      <c r="J524" s="15"/>
      <c r="K524" s="8"/>
      <c r="L524" s="8"/>
      <c r="M524" s="8"/>
      <c r="N524" s="8"/>
      <c r="O524" s="8"/>
    </row>
    <row r="525" spans="1:15" ht="14.25" customHeight="1" x14ac:dyDescent="0.25">
      <c r="A525" s="8"/>
      <c r="B525" s="9"/>
      <c r="C525" s="8"/>
      <c r="D525" s="8"/>
      <c r="E525" s="8"/>
      <c r="F525" s="9"/>
      <c r="G525" s="9"/>
      <c r="H525" s="8"/>
      <c r="I525" s="8"/>
      <c r="J525" s="15"/>
      <c r="K525" s="8"/>
      <c r="L525" s="8"/>
      <c r="M525" s="8"/>
      <c r="N525" s="8"/>
      <c r="O525" s="8"/>
    </row>
    <row r="526" spans="1:15" ht="14.25" customHeight="1" x14ac:dyDescent="0.25">
      <c r="A526" s="8"/>
      <c r="B526" s="9"/>
      <c r="C526" s="8"/>
      <c r="D526" s="8"/>
      <c r="E526" s="8"/>
      <c r="F526" s="9"/>
      <c r="G526" s="9"/>
      <c r="H526" s="8"/>
      <c r="I526" s="8"/>
      <c r="J526" s="15"/>
      <c r="K526" s="8"/>
      <c r="L526" s="8"/>
      <c r="M526" s="8"/>
      <c r="N526" s="8"/>
      <c r="O526" s="8"/>
    </row>
    <row r="527" spans="1:15" ht="14.25" customHeight="1" x14ac:dyDescent="0.25">
      <c r="A527" s="8"/>
      <c r="B527" s="9"/>
      <c r="C527" s="8"/>
      <c r="D527" s="8"/>
      <c r="E527" s="8"/>
      <c r="F527" s="9"/>
      <c r="G527" s="9"/>
      <c r="H527" s="8"/>
      <c r="I527" s="8"/>
      <c r="J527" s="15"/>
      <c r="K527" s="8"/>
      <c r="L527" s="8"/>
      <c r="M527" s="8"/>
      <c r="N527" s="8"/>
      <c r="O527" s="8"/>
    </row>
    <row r="528" spans="1:15" ht="14.25" customHeight="1" x14ac:dyDescent="0.25">
      <c r="A528" s="8"/>
      <c r="B528" s="9"/>
      <c r="C528" s="8"/>
      <c r="D528" s="8"/>
      <c r="E528" s="8"/>
      <c r="F528" s="9"/>
      <c r="G528" s="9"/>
      <c r="H528" s="8"/>
      <c r="I528" s="8"/>
      <c r="J528" s="15"/>
      <c r="K528" s="8"/>
      <c r="L528" s="8"/>
      <c r="M528" s="8"/>
      <c r="N528" s="8"/>
      <c r="O528" s="8"/>
    </row>
    <row r="529" spans="1:15" ht="14.25" customHeight="1" x14ac:dyDescent="0.25">
      <c r="A529" s="8"/>
      <c r="B529" s="9"/>
      <c r="C529" s="8"/>
      <c r="D529" s="8"/>
      <c r="E529" s="8"/>
      <c r="F529" s="9"/>
      <c r="G529" s="9"/>
      <c r="H529" s="8"/>
      <c r="I529" s="8"/>
      <c r="J529" s="15"/>
      <c r="K529" s="8"/>
      <c r="L529" s="8"/>
      <c r="M529" s="8"/>
      <c r="N529" s="8"/>
      <c r="O529" s="8"/>
    </row>
    <row r="530" spans="1:15" ht="14.25" customHeight="1" x14ac:dyDescent="0.25">
      <c r="A530" s="8"/>
      <c r="B530" s="9"/>
      <c r="C530" s="8"/>
      <c r="D530" s="8"/>
      <c r="E530" s="8"/>
      <c r="F530" s="9"/>
      <c r="G530" s="9"/>
      <c r="H530" s="8"/>
      <c r="I530" s="8"/>
      <c r="J530" s="15"/>
      <c r="K530" s="8"/>
      <c r="L530" s="8"/>
      <c r="M530" s="8"/>
      <c r="N530" s="8"/>
      <c r="O530" s="8"/>
    </row>
    <row r="531" spans="1:15" ht="14.25" customHeight="1" x14ac:dyDescent="0.25">
      <c r="A531" s="8"/>
      <c r="B531" s="9"/>
      <c r="C531" s="8"/>
      <c r="D531" s="8"/>
      <c r="E531" s="8"/>
      <c r="F531" s="9"/>
      <c r="G531" s="9"/>
      <c r="H531" s="8"/>
      <c r="I531" s="8"/>
      <c r="J531" s="15"/>
      <c r="K531" s="8"/>
      <c r="L531" s="8"/>
      <c r="M531" s="8"/>
      <c r="N531" s="8"/>
      <c r="O531" s="8"/>
    </row>
    <row r="532" spans="1:15" ht="14.25" customHeight="1" x14ac:dyDescent="0.25">
      <c r="A532" s="8"/>
      <c r="B532" s="9"/>
      <c r="C532" s="8"/>
      <c r="D532" s="8"/>
      <c r="E532" s="8"/>
      <c r="F532" s="9"/>
      <c r="G532" s="9"/>
      <c r="H532" s="8"/>
      <c r="I532" s="8"/>
      <c r="J532" s="15"/>
      <c r="K532" s="8"/>
      <c r="L532" s="8"/>
      <c r="M532" s="8"/>
      <c r="N532" s="8"/>
      <c r="O532" s="8"/>
    </row>
    <row r="533" spans="1:15" ht="14.25" customHeight="1" x14ac:dyDescent="0.25">
      <c r="A533" s="8"/>
      <c r="B533" s="9"/>
      <c r="C533" s="8"/>
      <c r="D533" s="8"/>
      <c r="E533" s="8"/>
      <c r="F533" s="9"/>
      <c r="G533" s="9"/>
      <c r="H533" s="8"/>
      <c r="I533" s="8"/>
      <c r="J533" s="15"/>
      <c r="K533" s="8"/>
      <c r="L533" s="8"/>
      <c r="M533" s="8"/>
      <c r="N533" s="8"/>
      <c r="O533" s="8"/>
    </row>
    <row r="534" spans="1:15" ht="14.25" customHeight="1" x14ac:dyDescent="0.25">
      <c r="A534" s="8"/>
      <c r="B534" s="9"/>
      <c r="C534" s="8"/>
      <c r="D534" s="8"/>
      <c r="E534" s="8"/>
      <c r="F534" s="9"/>
      <c r="G534" s="9"/>
      <c r="H534" s="8"/>
      <c r="I534" s="8"/>
      <c r="J534" s="15"/>
      <c r="K534" s="8"/>
      <c r="L534" s="8"/>
      <c r="M534" s="8"/>
      <c r="N534" s="8"/>
      <c r="O534" s="8"/>
    </row>
    <row r="535" spans="1:15" ht="14.25" customHeight="1" x14ac:dyDescent="0.25">
      <c r="A535" s="8"/>
      <c r="B535" s="9"/>
      <c r="C535" s="8"/>
      <c r="D535" s="8"/>
      <c r="E535" s="8"/>
      <c r="F535" s="9"/>
      <c r="G535" s="9"/>
      <c r="H535" s="8"/>
      <c r="I535" s="8"/>
      <c r="J535" s="15"/>
      <c r="K535" s="8"/>
      <c r="L535" s="8"/>
      <c r="M535" s="8"/>
      <c r="N535" s="8"/>
      <c r="O535" s="8"/>
    </row>
    <row r="536" spans="1:15" ht="14.25" customHeight="1" x14ac:dyDescent="0.25">
      <c r="A536" s="8"/>
      <c r="B536" s="9"/>
      <c r="C536" s="8"/>
      <c r="D536" s="8"/>
      <c r="E536" s="8"/>
      <c r="F536" s="9"/>
      <c r="G536" s="9"/>
      <c r="H536" s="8"/>
      <c r="I536" s="8"/>
      <c r="J536" s="15"/>
      <c r="K536" s="8"/>
      <c r="L536" s="8"/>
      <c r="M536" s="8"/>
      <c r="N536" s="8"/>
      <c r="O536" s="8"/>
    </row>
    <row r="537" spans="1:15" ht="14.25" customHeight="1" x14ac:dyDescent="0.25">
      <c r="A537" s="8"/>
      <c r="B537" s="9"/>
      <c r="C537" s="8"/>
      <c r="D537" s="8"/>
      <c r="E537" s="8"/>
      <c r="F537" s="9"/>
      <c r="G537" s="9"/>
      <c r="H537" s="8"/>
      <c r="I537" s="8"/>
      <c r="J537" s="15"/>
      <c r="K537" s="8"/>
      <c r="L537" s="8"/>
      <c r="M537" s="8"/>
      <c r="N537" s="8"/>
      <c r="O537" s="8"/>
    </row>
    <row r="538" spans="1:15" ht="14.25" customHeight="1" x14ac:dyDescent="0.25">
      <c r="A538" s="8"/>
      <c r="B538" s="9"/>
      <c r="C538" s="8"/>
      <c r="D538" s="8"/>
      <c r="E538" s="8"/>
      <c r="F538" s="9"/>
      <c r="G538" s="9"/>
      <c r="H538" s="8"/>
      <c r="I538" s="8"/>
      <c r="J538" s="15"/>
      <c r="K538" s="8"/>
      <c r="L538" s="8"/>
      <c r="M538" s="8"/>
      <c r="N538" s="8"/>
      <c r="O538" s="8"/>
    </row>
    <row r="539" spans="1:15" ht="14.25" customHeight="1" x14ac:dyDescent="0.25">
      <c r="A539" s="8"/>
      <c r="B539" s="9"/>
      <c r="C539" s="8"/>
      <c r="D539" s="8"/>
      <c r="E539" s="8"/>
      <c r="F539" s="9"/>
      <c r="G539" s="9"/>
      <c r="H539" s="8"/>
      <c r="I539" s="8"/>
      <c r="J539" s="15"/>
      <c r="K539" s="8"/>
      <c r="L539" s="8"/>
      <c r="M539" s="8"/>
      <c r="N539" s="8"/>
      <c r="O539" s="8"/>
    </row>
    <row r="540" spans="1:15" ht="14.25" customHeight="1" x14ac:dyDescent="0.25">
      <c r="A540" s="8"/>
      <c r="B540" s="9"/>
      <c r="C540" s="8"/>
      <c r="D540" s="8"/>
      <c r="E540" s="8"/>
      <c r="F540" s="9"/>
      <c r="G540" s="9"/>
      <c r="H540" s="8"/>
      <c r="I540" s="8"/>
      <c r="J540" s="15"/>
      <c r="K540" s="8"/>
      <c r="L540" s="8"/>
      <c r="M540" s="8"/>
      <c r="N540" s="8"/>
      <c r="O540" s="8"/>
    </row>
    <row r="541" spans="1:15" ht="14.25" customHeight="1" x14ac:dyDescent="0.25">
      <c r="A541" s="8"/>
      <c r="B541" s="9"/>
      <c r="C541" s="8"/>
      <c r="D541" s="8"/>
      <c r="E541" s="8"/>
      <c r="F541" s="9"/>
      <c r="G541" s="9"/>
      <c r="H541" s="8"/>
      <c r="I541" s="8"/>
      <c r="J541" s="15"/>
      <c r="K541" s="8"/>
      <c r="L541" s="8"/>
      <c r="M541" s="8"/>
      <c r="N541" s="8"/>
      <c r="O541" s="8"/>
    </row>
    <row r="542" spans="1:15" ht="14.25" customHeight="1" x14ac:dyDescent="0.25">
      <c r="A542" s="8"/>
      <c r="B542" s="9"/>
      <c r="C542" s="8"/>
      <c r="D542" s="8"/>
      <c r="E542" s="8"/>
      <c r="F542" s="9"/>
      <c r="G542" s="9"/>
      <c r="H542" s="8"/>
      <c r="I542" s="8"/>
      <c r="J542" s="15"/>
      <c r="K542" s="8"/>
      <c r="L542" s="8"/>
      <c r="M542" s="8"/>
      <c r="N542" s="8"/>
      <c r="O542" s="8"/>
    </row>
    <row r="543" spans="1:15" ht="14.25" customHeight="1" x14ac:dyDescent="0.25">
      <c r="A543" s="8"/>
      <c r="B543" s="9"/>
      <c r="C543" s="8"/>
      <c r="D543" s="8"/>
      <c r="E543" s="8"/>
      <c r="F543" s="9"/>
      <c r="G543" s="9"/>
      <c r="H543" s="8"/>
      <c r="I543" s="8"/>
      <c r="J543" s="15"/>
      <c r="K543" s="8"/>
      <c r="L543" s="8"/>
      <c r="M543" s="8"/>
      <c r="N543" s="8"/>
      <c r="O543" s="8"/>
    </row>
    <row r="544" spans="1:15" ht="14.25" customHeight="1" x14ac:dyDescent="0.25">
      <c r="A544" s="8"/>
      <c r="B544" s="9"/>
      <c r="C544" s="8"/>
      <c r="D544" s="8"/>
      <c r="E544" s="8"/>
      <c r="F544" s="9"/>
      <c r="G544" s="9"/>
      <c r="H544" s="8"/>
      <c r="I544" s="8"/>
      <c r="J544" s="15"/>
      <c r="K544" s="8"/>
      <c r="L544" s="8"/>
      <c r="M544" s="8"/>
      <c r="N544" s="8"/>
      <c r="O544" s="8"/>
    </row>
    <row r="545" spans="1:15" ht="14.25" customHeight="1" x14ac:dyDescent="0.25">
      <c r="A545" s="8"/>
      <c r="B545" s="9"/>
      <c r="C545" s="8"/>
      <c r="D545" s="8"/>
      <c r="E545" s="8"/>
      <c r="F545" s="9"/>
      <c r="G545" s="9"/>
      <c r="H545" s="8"/>
      <c r="I545" s="8"/>
      <c r="J545" s="15"/>
      <c r="K545" s="8"/>
      <c r="L545" s="8"/>
      <c r="M545" s="8"/>
      <c r="N545" s="8"/>
      <c r="O545" s="8"/>
    </row>
    <row r="546" spans="1:15" ht="14.25" customHeight="1" x14ac:dyDescent="0.25">
      <c r="A546" s="8"/>
      <c r="B546" s="9"/>
      <c r="C546" s="8"/>
      <c r="D546" s="8"/>
      <c r="E546" s="8"/>
      <c r="F546" s="9"/>
      <c r="G546" s="9"/>
      <c r="H546" s="8"/>
      <c r="I546" s="8"/>
      <c r="J546" s="15"/>
      <c r="K546" s="8"/>
      <c r="L546" s="8"/>
      <c r="M546" s="8"/>
      <c r="N546" s="8"/>
      <c r="O546" s="8"/>
    </row>
    <row r="547" spans="1:15" ht="14.25" customHeight="1" x14ac:dyDescent="0.25">
      <c r="A547" s="8"/>
      <c r="B547" s="9"/>
      <c r="C547" s="8"/>
      <c r="D547" s="8"/>
      <c r="E547" s="8"/>
      <c r="F547" s="9"/>
      <c r="G547" s="9"/>
      <c r="H547" s="8"/>
      <c r="I547" s="8"/>
      <c r="J547" s="15"/>
      <c r="K547" s="8"/>
      <c r="L547" s="8"/>
      <c r="M547" s="8"/>
      <c r="N547" s="8"/>
      <c r="O547" s="8"/>
    </row>
    <row r="548" spans="1:15" ht="14.25" customHeight="1" x14ac:dyDescent="0.25">
      <c r="A548" s="8"/>
      <c r="B548" s="9"/>
      <c r="C548" s="8"/>
      <c r="D548" s="8"/>
      <c r="E548" s="8"/>
      <c r="F548" s="9"/>
      <c r="G548" s="9"/>
      <c r="H548" s="8"/>
      <c r="I548" s="8"/>
      <c r="J548" s="15"/>
      <c r="K548" s="8"/>
      <c r="L548" s="8"/>
      <c r="M548" s="8"/>
      <c r="N548" s="8"/>
      <c r="O548" s="8"/>
    </row>
    <row r="549" spans="1:15" ht="14.25" customHeight="1" x14ac:dyDescent="0.25">
      <c r="A549" s="8"/>
      <c r="B549" s="9"/>
      <c r="C549" s="8"/>
      <c r="D549" s="8"/>
      <c r="E549" s="8"/>
      <c r="F549" s="9"/>
      <c r="G549" s="9"/>
      <c r="H549" s="8"/>
      <c r="I549" s="8"/>
      <c r="J549" s="15"/>
      <c r="K549" s="8"/>
      <c r="L549" s="8"/>
      <c r="M549" s="8"/>
      <c r="N549" s="8"/>
      <c r="O549" s="8"/>
    </row>
    <row r="550" spans="1:15" ht="14.25" customHeight="1" x14ac:dyDescent="0.25">
      <c r="A550" s="8"/>
      <c r="B550" s="9"/>
      <c r="C550" s="8"/>
      <c r="D550" s="8"/>
      <c r="E550" s="8"/>
      <c r="F550" s="9"/>
      <c r="G550" s="9"/>
      <c r="H550" s="8"/>
      <c r="I550" s="8"/>
      <c r="J550" s="15"/>
      <c r="K550" s="8"/>
      <c r="L550" s="8"/>
      <c r="M550" s="8"/>
      <c r="N550" s="8"/>
      <c r="O550" s="8"/>
    </row>
    <row r="551" spans="1:15" ht="14.25" customHeight="1" x14ac:dyDescent="0.25">
      <c r="A551" s="8"/>
      <c r="B551" s="9"/>
      <c r="C551" s="8"/>
      <c r="D551" s="8"/>
      <c r="E551" s="8"/>
      <c r="F551" s="9"/>
      <c r="G551" s="9"/>
      <c r="H551" s="8"/>
      <c r="I551" s="8"/>
      <c r="J551" s="15"/>
      <c r="K551" s="8"/>
      <c r="L551" s="8"/>
      <c r="M551" s="8"/>
      <c r="N551" s="8"/>
      <c r="O551" s="8"/>
    </row>
    <row r="552" spans="1:15" ht="14.25" customHeight="1" x14ac:dyDescent="0.25">
      <c r="A552" s="8"/>
      <c r="B552" s="9"/>
      <c r="C552" s="8"/>
      <c r="D552" s="8"/>
      <c r="E552" s="8"/>
      <c r="F552" s="9"/>
      <c r="G552" s="9"/>
      <c r="H552" s="8"/>
      <c r="I552" s="8"/>
      <c r="J552" s="15"/>
      <c r="K552" s="8"/>
      <c r="L552" s="8"/>
      <c r="M552" s="8"/>
      <c r="N552" s="8"/>
      <c r="O552" s="8"/>
    </row>
    <row r="553" spans="1:15" ht="14.25" customHeight="1" x14ac:dyDescent="0.25">
      <c r="A553" s="8"/>
      <c r="B553" s="9"/>
      <c r="C553" s="8"/>
      <c r="D553" s="8"/>
      <c r="E553" s="8"/>
      <c r="F553" s="9"/>
      <c r="G553" s="9"/>
      <c r="H553" s="8"/>
      <c r="I553" s="8"/>
      <c r="J553" s="15"/>
      <c r="K553" s="8"/>
      <c r="L553" s="8"/>
      <c r="M553" s="8"/>
      <c r="N553" s="8"/>
      <c r="O553" s="8"/>
    </row>
    <row r="554" spans="1:15" ht="14.25" customHeight="1" x14ac:dyDescent="0.25">
      <c r="A554" s="8"/>
      <c r="B554" s="9"/>
      <c r="C554" s="8"/>
      <c r="D554" s="8"/>
      <c r="E554" s="8"/>
      <c r="F554" s="9"/>
      <c r="G554" s="9"/>
      <c r="H554" s="8"/>
      <c r="I554" s="8"/>
      <c r="J554" s="15"/>
      <c r="K554" s="8"/>
      <c r="L554" s="8"/>
      <c r="M554" s="8"/>
      <c r="N554" s="8"/>
      <c r="O554" s="8"/>
    </row>
    <row r="555" spans="1:15" ht="14.25" customHeight="1" x14ac:dyDescent="0.25">
      <c r="A555" s="8"/>
      <c r="B555" s="9"/>
      <c r="C555" s="8"/>
      <c r="D555" s="8"/>
      <c r="E555" s="8"/>
      <c r="F555" s="9"/>
      <c r="G555" s="9"/>
      <c r="H555" s="8"/>
      <c r="I555" s="8"/>
      <c r="J555" s="15"/>
      <c r="K555" s="8"/>
      <c r="L555" s="8"/>
      <c r="M555" s="8"/>
      <c r="N555" s="8"/>
      <c r="O555" s="8"/>
    </row>
    <row r="556" spans="1:15" ht="14.25" customHeight="1" x14ac:dyDescent="0.25">
      <c r="A556" s="8"/>
      <c r="B556" s="9"/>
      <c r="C556" s="8"/>
      <c r="D556" s="8"/>
      <c r="E556" s="8"/>
      <c r="F556" s="9"/>
      <c r="G556" s="9"/>
      <c r="H556" s="8"/>
      <c r="I556" s="8"/>
      <c r="J556" s="15"/>
      <c r="K556" s="8"/>
      <c r="L556" s="8"/>
      <c r="M556" s="8"/>
      <c r="N556" s="8"/>
      <c r="O556" s="8"/>
    </row>
    <row r="557" spans="1:15" ht="14.25" customHeight="1" x14ac:dyDescent="0.25">
      <c r="A557" s="8"/>
      <c r="B557" s="9"/>
      <c r="C557" s="8"/>
      <c r="D557" s="8"/>
      <c r="E557" s="8"/>
      <c r="F557" s="9"/>
      <c r="G557" s="9"/>
      <c r="H557" s="8"/>
      <c r="I557" s="8"/>
      <c r="J557" s="15"/>
      <c r="K557" s="8"/>
      <c r="L557" s="8"/>
      <c r="M557" s="8"/>
      <c r="N557" s="8"/>
      <c r="O557" s="8"/>
    </row>
    <row r="558" spans="1:15" ht="14.25" customHeight="1" x14ac:dyDescent="0.25">
      <c r="A558" s="8"/>
      <c r="B558" s="9"/>
      <c r="C558" s="8"/>
      <c r="D558" s="8"/>
      <c r="E558" s="8"/>
      <c r="F558" s="9"/>
      <c r="G558" s="9"/>
      <c r="H558" s="8"/>
      <c r="I558" s="8"/>
      <c r="J558" s="15"/>
      <c r="K558" s="8"/>
      <c r="L558" s="8"/>
      <c r="M558" s="8"/>
      <c r="N558" s="8"/>
      <c r="O558" s="8"/>
    </row>
    <row r="559" spans="1:15" ht="14.25" customHeight="1" x14ac:dyDescent="0.25">
      <c r="A559" s="8"/>
      <c r="B559" s="9"/>
      <c r="C559" s="8"/>
      <c r="D559" s="8"/>
      <c r="E559" s="8"/>
      <c r="F559" s="9"/>
      <c r="G559" s="9"/>
      <c r="H559" s="8"/>
      <c r="I559" s="8"/>
      <c r="J559" s="15"/>
      <c r="K559" s="8"/>
      <c r="L559" s="8"/>
      <c r="M559" s="8"/>
      <c r="N559" s="8"/>
      <c r="O559" s="8"/>
    </row>
    <row r="560" spans="1:15" ht="14.25" customHeight="1" x14ac:dyDescent="0.25">
      <c r="A560" s="8"/>
      <c r="B560" s="9"/>
      <c r="C560" s="8"/>
      <c r="D560" s="8"/>
      <c r="E560" s="8"/>
      <c r="F560" s="9"/>
      <c r="G560" s="9"/>
      <c r="H560" s="8"/>
      <c r="I560" s="8"/>
      <c r="J560" s="15"/>
      <c r="K560" s="8"/>
      <c r="L560" s="8"/>
      <c r="M560" s="8"/>
      <c r="N560" s="8"/>
      <c r="O560" s="8"/>
    </row>
    <row r="561" spans="1:15" ht="14.25" customHeight="1" x14ac:dyDescent="0.25">
      <c r="A561" s="8"/>
      <c r="B561" s="9"/>
      <c r="C561" s="8"/>
      <c r="D561" s="8"/>
      <c r="E561" s="8"/>
      <c r="F561" s="9"/>
      <c r="G561" s="9"/>
      <c r="H561" s="8"/>
      <c r="I561" s="8"/>
      <c r="J561" s="15"/>
      <c r="K561" s="8"/>
      <c r="L561" s="8"/>
      <c r="M561" s="8"/>
      <c r="N561" s="8"/>
      <c r="O561" s="8"/>
    </row>
    <row r="562" spans="1:15" ht="14.25" customHeight="1" x14ac:dyDescent="0.25">
      <c r="A562" s="8"/>
      <c r="B562" s="9"/>
      <c r="C562" s="8"/>
      <c r="D562" s="8"/>
      <c r="E562" s="8"/>
      <c r="F562" s="9"/>
      <c r="G562" s="9"/>
      <c r="H562" s="8"/>
      <c r="I562" s="8"/>
      <c r="J562" s="15"/>
      <c r="K562" s="8"/>
      <c r="L562" s="8"/>
      <c r="M562" s="8"/>
      <c r="N562" s="8"/>
      <c r="O562" s="8"/>
    </row>
    <row r="563" spans="1:15" ht="14.25" customHeight="1" x14ac:dyDescent="0.25">
      <c r="A563" s="8"/>
      <c r="B563" s="9"/>
      <c r="C563" s="8"/>
      <c r="D563" s="8"/>
      <c r="E563" s="8"/>
      <c r="F563" s="9"/>
      <c r="G563" s="9"/>
      <c r="H563" s="8"/>
      <c r="I563" s="8"/>
      <c r="J563" s="15"/>
      <c r="K563" s="8"/>
      <c r="L563" s="8"/>
      <c r="M563" s="8"/>
      <c r="N563" s="8"/>
      <c r="O563" s="8"/>
    </row>
    <row r="564" spans="1:15" ht="14.25" customHeight="1" x14ac:dyDescent="0.25">
      <c r="A564" s="8"/>
      <c r="B564" s="9"/>
      <c r="C564" s="8"/>
      <c r="D564" s="8"/>
      <c r="E564" s="8"/>
      <c r="F564" s="9"/>
      <c r="G564" s="9"/>
      <c r="H564" s="8"/>
      <c r="I564" s="8"/>
      <c r="J564" s="15"/>
      <c r="K564" s="8"/>
      <c r="L564" s="8"/>
      <c r="M564" s="8"/>
      <c r="N564" s="8"/>
      <c r="O564" s="8"/>
    </row>
    <row r="565" spans="1:15" ht="14.25" customHeight="1" x14ac:dyDescent="0.25">
      <c r="A565" s="8"/>
      <c r="B565" s="9"/>
      <c r="C565" s="8"/>
      <c r="D565" s="8"/>
      <c r="E565" s="8"/>
      <c r="F565" s="9"/>
      <c r="G565" s="9"/>
      <c r="H565" s="8"/>
      <c r="I565" s="8"/>
      <c r="J565" s="15"/>
      <c r="K565" s="8"/>
      <c r="L565" s="8"/>
      <c r="M565" s="8"/>
      <c r="N565" s="8"/>
      <c r="O565" s="8"/>
    </row>
    <row r="566" spans="1:15" ht="14.25" customHeight="1" x14ac:dyDescent="0.25">
      <c r="A566" s="8"/>
      <c r="B566" s="9"/>
      <c r="C566" s="8"/>
      <c r="D566" s="8"/>
      <c r="E566" s="8"/>
      <c r="F566" s="9"/>
      <c r="G566" s="9"/>
      <c r="H566" s="8"/>
      <c r="I566" s="8"/>
      <c r="J566" s="15"/>
      <c r="K566" s="8"/>
      <c r="L566" s="8"/>
      <c r="M566" s="8"/>
      <c r="N566" s="8"/>
      <c r="O566" s="8"/>
    </row>
    <row r="567" spans="1:15" ht="14.25" customHeight="1" x14ac:dyDescent="0.25">
      <c r="A567" s="8"/>
      <c r="B567" s="9"/>
      <c r="C567" s="8"/>
      <c r="D567" s="8"/>
      <c r="E567" s="8"/>
      <c r="F567" s="9"/>
      <c r="G567" s="9"/>
      <c r="H567" s="8"/>
      <c r="I567" s="8"/>
      <c r="J567" s="15"/>
      <c r="K567" s="8"/>
      <c r="L567" s="8"/>
      <c r="M567" s="8"/>
      <c r="N567" s="8"/>
      <c r="O567" s="8"/>
    </row>
    <row r="568" spans="1:15" ht="14.25" customHeight="1" x14ac:dyDescent="0.25">
      <c r="A568" s="8"/>
      <c r="B568" s="9"/>
      <c r="C568" s="8"/>
      <c r="D568" s="8"/>
      <c r="E568" s="8"/>
      <c r="F568" s="9"/>
      <c r="G568" s="9"/>
      <c r="H568" s="8"/>
      <c r="I568" s="8"/>
      <c r="J568" s="15"/>
      <c r="K568" s="8"/>
      <c r="L568" s="8"/>
      <c r="M568" s="8"/>
      <c r="N568" s="8"/>
      <c r="O568" s="8"/>
    </row>
    <row r="569" spans="1:15" ht="14.25" customHeight="1" x14ac:dyDescent="0.25">
      <c r="A569" s="8"/>
      <c r="B569" s="9"/>
      <c r="C569" s="8"/>
      <c r="D569" s="8"/>
      <c r="E569" s="8"/>
      <c r="F569" s="9"/>
      <c r="G569" s="9"/>
      <c r="H569" s="8"/>
      <c r="I569" s="8"/>
      <c r="J569" s="15"/>
      <c r="K569" s="8"/>
      <c r="L569" s="8"/>
      <c r="M569" s="8"/>
      <c r="N569" s="8"/>
      <c r="O569" s="8"/>
    </row>
    <row r="570" spans="1:15" ht="14.25" customHeight="1" x14ac:dyDescent="0.25">
      <c r="A570" s="8"/>
      <c r="B570" s="9"/>
      <c r="C570" s="8"/>
      <c r="D570" s="8"/>
      <c r="E570" s="8"/>
      <c r="F570" s="9"/>
      <c r="G570" s="9"/>
      <c r="H570" s="8"/>
      <c r="I570" s="8"/>
      <c r="J570" s="15"/>
      <c r="K570" s="8"/>
      <c r="L570" s="8"/>
      <c r="M570" s="8"/>
      <c r="N570" s="8"/>
      <c r="O570" s="8"/>
    </row>
    <row r="571" spans="1:15" ht="14.25" customHeight="1" x14ac:dyDescent="0.25">
      <c r="A571" s="8"/>
      <c r="B571" s="9"/>
      <c r="C571" s="8"/>
      <c r="D571" s="8"/>
      <c r="E571" s="8"/>
      <c r="F571" s="9"/>
      <c r="G571" s="9"/>
      <c r="H571" s="8"/>
      <c r="I571" s="8"/>
      <c r="J571" s="15"/>
      <c r="K571" s="8"/>
      <c r="L571" s="8"/>
      <c r="M571" s="8"/>
      <c r="N571" s="8"/>
      <c r="O571" s="8"/>
    </row>
    <row r="572" spans="1:15" ht="14.25" customHeight="1" x14ac:dyDescent="0.25">
      <c r="A572" s="8"/>
      <c r="B572" s="9"/>
      <c r="C572" s="8"/>
      <c r="D572" s="8"/>
      <c r="E572" s="8"/>
      <c r="F572" s="9"/>
      <c r="G572" s="9"/>
      <c r="H572" s="8"/>
      <c r="I572" s="8"/>
      <c r="J572" s="15"/>
      <c r="K572" s="8"/>
      <c r="L572" s="8"/>
      <c r="M572" s="8"/>
      <c r="N572" s="8"/>
      <c r="O572" s="8"/>
    </row>
    <row r="573" spans="1:15" ht="14.25" customHeight="1" x14ac:dyDescent="0.25">
      <c r="A573" s="8"/>
      <c r="B573" s="9"/>
      <c r="C573" s="8"/>
      <c r="D573" s="8"/>
      <c r="E573" s="8"/>
      <c r="F573" s="9"/>
      <c r="G573" s="9"/>
      <c r="H573" s="8"/>
      <c r="I573" s="8"/>
      <c r="J573" s="15"/>
      <c r="K573" s="8"/>
      <c r="L573" s="8"/>
      <c r="M573" s="8"/>
      <c r="N573" s="8"/>
      <c r="O573" s="8"/>
    </row>
    <row r="574" spans="1:15" ht="14.25" customHeight="1" x14ac:dyDescent="0.25">
      <c r="A574" s="8"/>
      <c r="B574" s="9"/>
      <c r="C574" s="8"/>
      <c r="D574" s="8"/>
      <c r="E574" s="8"/>
      <c r="F574" s="9"/>
      <c r="G574" s="9"/>
      <c r="H574" s="8"/>
      <c r="I574" s="8"/>
      <c r="J574" s="15"/>
      <c r="K574" s="8"/>
      <c r="L574" s="8"/>
      <c r="M574" s="8"/>
      <c r="N574" s="8"/>
      <c r="O574" s="8"/>
    </row>
    <row r="575" spans="1:15" ht="14.25" customHeight="1" x14ac:dyDescent="0.25">
      <c r="A575" s="8"/>
      <c r="B575" s="9"/>
      <c r="C575" s="8"/>
      <c r="D575" s="8"/>
      <c r="E575" s="8"/>
      <c r="F575" s="9"/>
      <c r="G575" s="9"/>
      <c r="H575" s="8"/>
      <c r="I575" s="8"/>
      <c r="J575" s="15"/>
      <c r="K575" s="8"/>
      <c r="L575" s="8"/>
      <c r="M575" s="8"/>
      <c r="N575" s="8"/>
      <c r="O575" s="8"/>
    </row>
    <row r="576" spans="1:15" ht="14.25" customHeight="1" x14ac:dyDescent="0.25">
      <c r="A576" s="8"/>
      <c r="B576" s="9"/>
      <c r="C576" s="8"/>
      <c r="D576" s="8"/>
      <c r="E576" s="8"/>
      <c r="F576" s="9"/>
      <c r="G576" s="9"/>
      <c r="H576" s="8"/>
      <c r="I576" s="8"/>
      <c r="J576" s="15"/>
      <c r="K576" s="8"/>
      <c r="L576" s="8"/>
      <c r="M576" s="8"/>
      <c r="N576" s="8"/>
      <c r="O576" s="8"/>
    </row>
    <row r="577" spans="1:15" ht="14.25" customHeight="1" x14ac:dyDescent="0.25">
      <c r="A577" s="8"/>
      <c r="B577" s="9"/>
      <c r="C577" s="8"/>
      <c r="D577" s="8"/>
      <c r="E577" s="8"/>
      <c r="F577" s="9"/>
      <c r="G577" s="9"/>
      <c r="H577" s="8"/>
      <c r="I577" s="8"/>
      <c r="J577" s="15"/>
      <c r="K577" s="8"/>
      <c r="L577" s="8"/>
      <c r="M577" s="8"/>
      <c r="N577" s="8"/>
      <c r="O577" s="8"/>
    </row>
    <row r="578" spans="1:15" ht="14.25" customHeight="1" x14ac:dyDescent="0.25">
      <c r="A578" s="8"/>
      <c r="B578" s="9"/>
      <c r="C578" s="8"/>
      <c r="D578" s="8"/>
      <c r="E578" s="8"/>
      <c r="F578" s="9"/>
      <c r="G578" s="9"/>
      <c r="H578" s="8"/>
      <c r="I578" s="8"/>
      <c r="J578" s="15"/>
      <c r="K578" s="8"/>
      <c r="L578" s="8"/>
      <c r="M578" s="8"/>
      <c r="N578" s="8"/>
      <c r="O578" s="8"/>
    </row>
    <row r="579" spans="1:15" ht="14.25" customHeight="1" x14ac:dyDescent="0.25">
      <c r="A579" s="8"/>
      <c r="B579" s="9"/>
      <c r="C579" s="8"/>
      <c r="D579" s="8"/>
      <c r="E579" s="8"/>
      <c r="F579" s="9"/>
      <c r="G579" s="9"/>
      <c r="H579" s="8"/>
      <c r="I579" s="8"/>
      <c r="J579" s="15"/>
      <c r="K579" s="8"/>
      <c r="L579" s="8"/>
      <c r="M579" s="8"/>
      <c r="N579" s="8"/>
      <c r="O579" s="8"/>
    </row>
    <row r="580" spans="1:15" ht="14.25" customHeight="1" x14ac:dyDescent="0.25">
      <c r="A580" s="8"/>
      <c r="B580" s="9"/>
      <c r="C580" s="8"/>
      <c r="D580" s="8"/>
      <c r="E580" s="8"/>
      <c r="F580" s="9"/>
      <c r="G580" s="9"/>
      <c r="H580" s="8"/>
      <c r="I580" s="8"/>
      <c r="J580" s="15"/>
      <c r="K580" s="8"/>
      <c r="L580" s="8"/>
      <c r="M580" s="8"/>
      <c r="N580" s="8"/>
      <c r="O580" s="8"/>
    </row>
    <row r="581" spans="1:15" ht="14.25" customHeight="1" x14ac:dyDescent="0.25">
      <c r="A581" s="8"/>
      <c r="B581" s="9"/>
      <c r="C581" s="8"/>
      <c r="D581" s="8"/>
      <c r="E581" s="8"/>
      <c r="F581" s="9"/>
      <c r="G581" s="9"/>
      <c r="H581" s="8"/>
      <c r="I581" s="8"/>
      <c r="J581" s="15"/>
      <c r="K581" s="8"/>
      <c r="L581" s="8"/>
      <c r="M581" s="8"/>
      <c r="N581" s="8"/>
      <c r="O581" s="8"/>
    </row>
    <row r="582" spans="1:15" ht="14.25" customHeight="1" x14ac:dyDescent="0.25">
      <c r="A582" s="8"/>
      <c r="B582" s="9"/>
      <c r="C582" s="8"/>
      <c r="D582" s="8"/>
      <c r="E582" s="8"/>
      <c r="F582" s="9"/>
      <c r="G582" s="9"/>
      <c r="H582" s="8"/>
      <c r="I582" s="8"/>
      <c r="J582" s="15"/>
      <c r="K582" s="8"/>
      <c r="L582" s="8"/>
      <c r="M582" s="8"/>
      <c r="N582" s="8"/>
      <c r="O582" s="8"/>
    </row>
    <row r="583" spans="1:15" ht="14.25" customHeight="1" x14ac:dyDescent="0.25">
      <c r="A583" s="8"/>
      <c r="B583" s="9"/>
      <c r="C583" s="8"/>
      <c r="D583" s="8"/>
      <c r="E583" s="8"/>
      <c r="F583" s="9"/>
      <c r="G583" s="9"/>
      <c r="H583" s="8"/>
      <c r="I583" s="8"/>
      <c r="J583" s="15"/>
      <c r="K583" s="8"/>
      <c r="L583" s="8"/>
      <c r="M583" s="8"/>
      <c r="N583" s="8"/>
      <c r="O583" s="8"/>
    </row>
    <row r="584" spans="1:15" ht="14.25" customHeight="1" x14ac:dyDescent="0.25">
      <c r="A584" s="8"/>
      <c r="B584" s="9"/>
      <c r="C584" s="8"/>
      <c r="D584" s="8"/>
      <c r="E584" s="8"/>
      <c r="F584" s="9"/>
      <c r="G584" s="9"/>
      <c r="H584" s="8"/>
      <c r="I584" s="8"/>
      <c r="J584" s="15"/>
      <c r="K584" s="8"/>
      <c r="L584" s="8"/>
      <c r="M584" s="8"/>
      <c r="N584" s="8"/>
      <c r="O584" s="8"/>
    </row>
    <row r="585" spans="1:15" ht="14.25" customHeight="1" x14ac:dyDescent="0.25">
      <c r="A585" s="8"/>
      <c r="B585" s="9"/>
      <c r="C585" s="8"/>
      <c r="D585" s="8"/>
      <c r="E585" s="8"/>
      <c r="F585" s="9"/>
      <c r="G585" s="9"/>
      <c r="H585" s="8"/>
      <c r="I585" s="8"/>
      <c r="J585" s="15"/>
      <c r="K585" s="8"/>
      <c r="L585" s="8"/>
      <c r="M585" s="8"/>
      <c r="N585" s="8"/>
      <c r="O585" s="8"/>
    </row>
    <row r="586" spans="1:15" ht="14.25" customHeight="1" x14ac:dyDescent="0.25">
      <c r="A586" s="8"/>
      <c r="B586" s="9"/>
      <c r="C586" s="8"/>
      <c r="D586" s="8"/>
      <c r="E586" s="8"/>
      <c r="F586" s="9"/>
      <c r="G586" s="9"/>
      <c r="H586" s="8"/>
      <c r="I586" s="8"/>
      <c r="J586" s="15"/>
      <c r="K586" s="8"/>
      <c r="L586" s="8"/>
      <c r="M586" s="8"/>
      <c r="N586" s="8"/>
      <c r="O586" s="8"/>
    </row>
    <row r="587" spans="1:15" ht="14.25" customHeight="1" x14ac:dyDescent="0.25">
      <c r="A587" s="8"/>
      <c r="B587" s="9"/>
      <c r="C587" s="8"/>
      <c r="D587" s="8"/>
      <c r="E587" s="8"/>
      <c r="F587" s="9"/>
      <c r="G587" s="9"/>
      <c r="H587" s="8"/>
      <c r="I587" s="8"/>
      <c r="J587" s="15"/>
      <c r="K587" s="8"/>
      <c r="L587" s="8"/>
      <c r="M587" s="8"/>
      <c r="N587" s="8"/>
      <c r="O587" s="8"/>
    </row>
    <row r="588" spans="1:15" ht="14.25" customHeight="1" x14ac:dyDescent="0.25">
      <c r="A588" s="8"/>
      <c r="B588" s="9"/>
      <c r="C588" s="8"/>
      <c r="D588" s="8"/>
      <c r="E588" s="8"/>
      <c r="F588" s="9"/>
      <c r="G588" s="9"/>
      <c r="H588" s="8"/>
      <c r="I588" s="8"/>
      <c r="J588" s="15"/>
      <c r="K588" s="8"/>
      <c r="L588" s="8"/>
      <c r="M588" s="8"/>
      <c r="N588" s="8"/>
      <c r="O588" s="8"/>
    </row>
    <row r="589" spans="1:15" ht="14.25" customHeight="1" x14ac:dyDescent="0.25">
      <c r="A589" s="8"/>
      <c r="B589" s="9"/>
      <c r="C589" s="8"/>
      <c r="D589" s="8"/>
      <c r="E589" s="8"/>
      <c r="F589" s="9"/>
      <c r="G589" s="9"/>
      <c r="H589" s="8"/>
      <c r="I589" s="8"/>
      <c r="J589" s="15"/>
      <c r="K589" s="8"/>
      <c r="L589" s="8"/>
      <c r="M589" s="8"/>
      <c r="N589" s="8"/>
      <c r="O589" s="8"/>
    </row>
    <row r="590" spans="1:15" ht="14.25" customHeight="1" x14ac:dyDescent="0.25">
      <c r="A590" s="8"/>
      <c r="B590" s="9"/>
      <c r="C590" s="8"/>
      <c r="D590" s="8"/>
      <c r="E590" s="8"/>
      <c r="F590" s="9"/>
      <c r="G590" s="9"/>
      <c r="H590" s="8"/>
      <c r="I590" s="8"/>
      <c r="J590" s="15"/>
      <c r="K590" s="8"/>
      <c r="L590" s="8"/>
      <c r="M590" s="8"/>
      <c r="N590" s="8"/>
      <c r="O590" s="8"/>
    </row>
    <row r="591" spans="1:15" ht="14.25" customHeight="1" x14ac:dyDescent="0.25">
      <c r="A591" s="8"/>
      <c r="B591" s="9"/>
      <c r="C591" s="8"/>
      <c r="D591" s="8"/>
      <c r="E591" s="8"/>
      <c r="F591" s="9"/>
      <c r="G591" s="9"/>
      <c r="H591" s="8"/>
      <c r="I591" s="8"/>
      <c r="J591" s="15"/>
      <c r="K591" s="8"/>
      <c r="L591" s="8"/>
      <c r="M591" s="8"/>
      <c r="N591" s="8"/>
      <c r="O591" s="8"/>
    </row>
    <row r="592" spans="1:15" ht="14.25" customHeight="1" x14ac:dyDescent="0.25">
      <c r="A592" s="8"/>
      <c r="B592" s="9"/>
      <c r="C592" s="8"/>
      <c r="D592" s="8"/>
      <c r="E592" s="8"/>
      <c r="F592" s="9"/>
      <c r="G592" s="9"/>
      <c r="H592" s="8"/>
      <c r="I592" s="8"/>
      <c r="J592" s="15"/>
      <c r="K592" s="8"/>
      <c r="L592" s="8"/>
      <c r="M592" s="8"/>
      <c r="N592" s="8"/>
      <c r="O592" s="8"/>
    </row>
    <row r="593" spans="1:15" ht="14.25" customHeight="1" x14ac:dyDescent="0.25">
      <c r="A593" s="8"/>
      <c r="B593" s="9"/>
      <c r="C593" s="8"/>
      <c r="D593" s="8"/>
      <c r="E593" s="8"/>
      <c r="F593" s="9"/>
      <c r="G593" s="9"/>
      <c r="H593" s="8"/>
      <c r="I593" s="8"/>
      <c r="J593" s="15"/>
      <c r="K593" s="8"/>
      <c r="L593" s="8"/>
      <c r="M593" s="8"/>
      <c r="N593" s="8"/>
      <c r="O593" s="8"/>
    </row>
    <row r="594" spans="1:15" ht="14.25" customHeight="1" x14ac:dyDescent="0.25">
      <c r="A594" s="8"/>
      <c r="B594" s="9"/>
      <c r="C594" s="8"/>
      <c r="D594" s="8"/>
      <c r="E594" s="8"/>
      <c r="F594" s="9"/>
      <c r="G594" s="9"/>
      <c r="H594" s="8"/>
      <c r="I594" s="8"/>
      <c r="J594" s="15"/>
      <c r="K594" s="8"/>
      <c r="L594" s="8"/>
      <c r="M594" s="8"/>
      <c r="N594" s="8"/>
      <c r="O594" s="8"/>
    </row>
    <row r="595" spans="1:15" ht="14.25" customHeight="1" x14ac:dyDescent="0.25">
      <c r="A595" s="8"/>
      <c r="B595" s="9"/>
      <c r="C595" s="8"/>
      <c r="D595" s="8"/>
      <c r="E595" s="8"/>
      <c r="F595" s="9"/>
      <c r="G595" s="9"/>
      <c r="H595" s="8"/>
      <c r="I595" s="8"/>
      <c r="J595" s="15"/>
      <c r="K595" s="8"/>
      <c r="L595" s="8"/>
      <c r="M595" s="8"/>
      <c r="N595" s="8"/>
      <c r="O595" s="8"/>
    </row>
    <row r="596" spans="1:15" ht="14.25" customHeight="1" x14ac:dyDescent="0.25">
      <c r="A596" s="8"/>
      <c r="B596" s="9"/>
      <c r="C596" s="8"/>
      <c r="D596" s="8"/>
      <c r="E596" s="8"/>
      <c r="F596" s="9"/>
      <c r="G596" s="9"/>
      <c r="H596" s="8"/>
      <c r="I596" s="8"/>
      <c r="J596" s="15"/>
      <c r="K596" s="8"/>
      <c r="L596" s="8"/>
      <c r="M596" s="8"/>
      <c r="N596" s="8"/>
      <c r="O596" s="8"/>
    </row>
    <row r="597" spans="1:15" ht="14.25" customHeight="1" x14ac:dyDescent="0.25">
      <c r="A597" s="8"/>
      <c r="B597" s="9"/>
      <c r="C597" s="8"/>
      <c r="D597" s="8"/>
      <c r="E597" s="8"/>
      <c r="F597" s="9"/>
      <c r="G597" s="9"/>
      <c r="H597" s="8"/>
      <c r="I597" s="8"/>
      <c r="J597" s="15"/>
      <c r="K597" s="8"/>
      <c r="L597" s="8"/>
      <c r="M597" s="8"/>
      <c r="N597" s="8"/>
      <c r="O597" s="8"/>
    </row>
    <row r="598" spans="1:15" ht="14.25" customHeight="1" x14ac:dyDescent="0.25">
      <c r="A598" s="8"/>
      <c r="B598" s="9"/>
      <c r="C598" s="8"/>
      <c r="D598" s="8"/>
      <c r="E598" s="8"/>
      <c r="F598" s="9"/>
      <c r="G598" s="9"/>
      <c r="H598" s="8"/>
      <c r="I598" s="8"/>
      <c r="J598" s="15"/>
      <c r="K598" s="8"/>
      <c r="L598" s="8"/>
      <c r="M598" s="8"/>
      <c r="N598" s="8"/>
      <c r="O598" s="8"/>
    </row>
    <row r="599" spans="1:15" ht="14.25" customHeight="1" x14ac:dyDescent="0.25">
      <c r="A599" s="8"/>
      <c r="B599" s="9"/>
      <c r="C599" s="8"/>
      <c r="D599" s="8"/>
      <c r="E599" s="8"/>
      <c r="F599" s="9"/>
      <c r="G599" s="9"/>
      <c r="H599" s="8"/>
      <c r="I599" s="8"/>
      <c r="J599" s="15"/>
      <c r="K599" s="8"/>
      <c r="L599" s="8"/>
      <c r="M599" s="8"/>
      <c r="N599" s="8"/>
      <c r="O599" s="8"/>
    </row>
    <row r="600" spans="1:15" ht="14.25" customHeight="1" x14ac:dyDescent="0.25">
      <c r="A600" s="8"/>
      <c r="B600" s="9"/>
      <c r="C600" s="8"/>
      <c r="D600" s="8"/>
      <c r="E600" s="8"/>
      <c r="F600" s="9"/>
      <c r="G600" s="9"/>
      <c r="H600" s="8"/>
      <c r="I600" s="8"/>
      <c r="J600" s="15"/>
      <c r="K600" s="8"/>
      <c r="L600" s="8"/>
      <c r="M600" s="8"/>
      <c r="N600" s="8"/>
      <c r="O600" s="8"/>
    </row>
    <row r="601" spans="1:15" ht="14.25" customHeight="1" x14ac:dyDescent="0.25">
      <c r="A601" s="8"/>
      <c r="B601" s="9"/>
      <c r="C601" s="8"/>
      <c r="D601" s="8"/>
      <c r="E601" s="8"/>
      <c r="F601" s="9"/>
      <c r="G601" s="9"/>
      <c r="H601" s="8"/>
      <c r="I601" s="8"/>
      <c r="J601" s="15"/>
      <c r="K601" s="8"/>
      <c r="L601" s="8"/>
      <c r="M601" s="8"/>
      <c r="N601" s="8"/>
      <c r="O601" s="8"/>
    </row>
    <row r="602" spans="1:15" ht="14.25" customHeight="1" x14ac:dyDescent="0.25">
      <c r="A602" s="8"/>
      <c r="B602" s="9"/>
      <c r="C602" s="8"/>
      <c r="D602" s="8"/>
      <c r="E602" s="8"/>
      <c r="F602" s="9"/>
      <c r="G602" s="9"/>
      <c r="H602" s="8"/>
      <c r="I602" s="8"/>
      <c r="J602" s="15"/>
      <c r="K602" s="8"/>
      <c r="L602" s="8"/>
      <c r="M602" s="8"/>
      <c r="N602" s="8"/>
      <c r="O602" s="8"/>
    </row>
    <row r="603" spans="1:15" ht="14.25" customHeight="1" x14ac:dyDescent="0.25">
      <c r="A603" s="8"/>
      <c r="B603" s="9"/>
      <c r="C603" s="8"/>
      <c r="D603" s="8"/>
      <c r="E603" s="8"/>
      <c r="F603" s="9"/>
      <c r="G603" s="9"/>
      <c r="H603" s="8"/>
      <c r="I603" s="8"/>
      <c r="J603" s="15"/>
      <c r="K603" s="8"/>
      <c r="L603" s="8"/>
      <c r="M603" s="8"/>
      <c r="N603" s="8"/>
      <c r="O603" s="8"/>
    </row>
    <row r="604" spans="1:15" ht="14.25" customHeight="1" x14ac:dyDescent="0.25">
      <c r="A604" s="8"/>
      <c r="B604" s="9"/>
      <c r="C604" s="8"/>
      <c r="D604" s="8"/>
      <c r="E604" s="8"/>
      <c r="F604" s="9"/>
      <c r="G604" s="9"/>
      <c r="H604" s="8"/>
      <c r="I604" s="8"/>
      <c r="J604" s="15"/>
      <c r="K604" s="8"/>
      <c r="L604" s="8"/>
      <c r="M604" s="8"/>
      <c r="N604" s="8"/>
      <c r="O604" s="8"/>
    </row>
    <row r="605" spans="1:15" ht="14.25" customHeight="1" x14ac:dyDescent="0.25">
      <c r="A605" s="8"/>
      <c r="B605" s="9"/>
      <c r="C605" s="8"/>
      <c r="D605" s="8"/>
      <c r="E605" s="8"/>
      <c r="F605" s="9"/>
      <c r="G605" s="9"/>
      <c r="H605" s="8"/>
      <c r="I605" s="8"/>
      <c r="J605" s="15"/>
      <c r="K605" s="8"/>
      <c r="L605" s="8"/>
      <c r="M605" s="8"/>
      <c r="N605" s="8"/>
      <c r="O605" s="8"/>
    </row>
    <row r="606" spans="1:15" ht="14.25" customHeight="1" x14ac:dyDescent="0.25">
      <c r="A606" s="8"/>
      <c r="B606" s="9"/>
      <c r="C606" s="8"/>
      <c r="D606" s="8"/>
      <c r="E606" s="8"/>
      <c r="F606" s="9"/>
      <c r="G606" s="9"/>
      <c r="H606" s="8"/>
      <c r="I606" s="8"/>
      <c r="J606" s="15"/>
      <c r="K606" s="8"/>
      <c r="L606" s="8"/>
      <c r="M606" s="8"/>
      <c r="N606" s="8"/>
      <c r="O606" s="8"/>
    </row>
    <row r="607" spans="1:15" ht="14.25" customHeight="1" x14ac:dyDescent="0.25">
      <c r="A607" s="8"/>
      <c r="B607" s="9"/>
      <c r="C607" s="8"/>
      <c r="D607" s="8"/>
      <c r="E607" s="8"/>
      <c r="F607" s="9"/>
      <c r="G607" s="9"/>
      <c r="H607" s="8"/>
      <c r="I607" s="8"/>
      <c r="J607" s="15"/>
      <c r="K607" s="8"/>
      <c r="L607" s="8"/>
      <c r="M607" s="8"/>
      <c r="N607" s="8"/>
      <c r="O607" s="8"/>
    </row>
    <row r="608" spans="1:15" ht="14.25" customHeight="1" x14ac:dyDescent="0.25">
      <c r="A608" s="8"/>
      <c r="B608" s="9"/>
      <c r="C608" s="8"/>
      <c r="D608" s="8"/>
      <c r="E608" s="8"/>
      <c r="F608" s="9"/>
      <c r="G608" s="9"/>
      <c r="H608" s="8"/>
      <c r="I608" s="8"/>
      <c r="J608" s="15"/>
      <c r="K608" s="8"/>
      <c r="L608" s="8"/>
      <c r="M608" s="8"/>
      <c r="N608" s="8"/>
      <c r="O608" s="8"/>
    </row>
    <row r="609" spans="1:15" ht="14.25" customHeight="1" x14ac:dyDescent="0.25">
      <c r="A609" s="8"/>
      <c r="B609" s="9"/>
      <c r="C609" s="8"/>
      <c r="D609" s="8"/>
      <c r="E609" s="8"/>
      <c r="F609" s="9"/>
      <c r="G609" s="9"/>
      <c r="H609" s="8"/>
      <c r="I609" s="8"/>
      <c r="J609" s="15"/>
      <c r="K609" s="8"/>
      <c r="L609" s="8"/>
      <c r="M609" s="8"/>
      <c r="N609" s="8"/>
      <c r="O609" s="8"/>
    </row>
    <row r="610" spans="1:15" ht="14.25" customHeight="1" x14ac:dyDescent="0.25">
      <c r="A610" s="8"/>
      <c r="B610" s="9"/>
      <c r="C610" s="8"/>
      <c r="D610" s="8"/>
      <c r="E610" s="8"/>
      <c r="F610" s="9"/>
      <c r="G610" s="9"/>
      <c r="H610" s="8"/>
      <c r="I610" s="8"/>
      <c r="J610" s="15"/>
      <c r="K610" s="8"/>
      <c r="L610" s="8"/>
      <c r="M610" s="8"/>
      <c r="N610" s="8"/>
      <c r="O610" s="8"/>
    </row>
    <row r="611" spans="1:15" ht="14.25" customHeight="1" x14ac:dyDescent="0.25">
      <c r="A611" s="8"/>
      <c r="B611" s="9"/>
      <c r="C611" s="8"/>
      <c r="D611" s="8"/>
      <c r="E611" s="8"/>
      <c r="F611" s="9"/>
      <c r="G611" s="9"/>
      <c r="H611" s="8"/>
      <c r="I611" s="8"/>
      <c r="J611" s="15"/>
      <c r="K611" s="8"/>
      <c r="L611" s="8"/>
      <c r="M611" s="8"/>
      <c r="N611" s="8"/>
      <c r="O611" s="8"/>
    </row>
    <row r="612" spans="1:15" ht="14.25" customHeight="1" x14ac:dyDescent="0.25">
      <c r="A612" s="8"/>
      <c r="B612" s="9"/>
      <c r="C612" s="8"/>
      <c r="D612" s="8"/>
      <c r="E612" s="8"/>
      <c r="F612" s="9"/>
      <c r="G612" s="9"/>
      <c r="H612" s="8"/>
      <c r="I612" s="8"/>
      <c r="J612" s="15"/>
      <c r="K612" s="8"/>
      <c r="L612" s="8"/>
      <c r="M612" s="8"/>
      <c r="N612" s="8"/>
      <c r="O612" s="8"/>
    </row>
    <row r="613" spans="1:15" ht="14.25" customHeight="1" x14ac:dyDescent="0.25">
      <c r="A613" s="8"/>
      <c r="B613" s="9"/>
      <c r="C613" s="8"/>
      <c r="D613" s="8"/>
      <c r="E613" s="8"/>
      <c r="F613" s="9"/>
      <c r="G613" s="9"/>
      <c r="H613" s="8"/>
      <c r="I613" s="8"/>
      <c r="J613" s="15"/>
      <c r="K613" s="8"/>
      <c r="L613" s="8"/>
      <c r="M613" s="8"/>
      <c r="N613" s="8"/>
      <c r="O613" s="8"/>
    </row>
    <row r="614" spans="1:15" ht="14.25" customHeight="1" x14ac:dyDescent="0.25">
      <c r="A614" s="8"/>
      <c r="B614" s="9"/>
      <c r="C614" s="8"/>
      <c r="D614" s="8"/>
      <c r="E614" s="8"/>
      <c r="F614" s="9"/>
      <c r="G614" s="9"/>
      <c r="H614" s="8"/>
      <c r="I614" s="8"/>
      <c r="J614" s="15"/>
      <c r="K614" s="8"/>
      <c r="L614" s="8"/>
      <c r="M614" s="8"/>
      <c r="N614" s="8"/>
      <c r="O614" s="8"/>
    </row>
    <row r="615" spans="1:15" ht="14.25" customHeight="1" x14ac:dyDescent="0.25">
      <c r="A615" s="8"/>
      <c r="B615" s="9"/>
      <c r="C615" s="8"/>
      <c r="D615" s="8"/>
      <c r="E615" s="8"/>
      <c r="F615" s="9"/>
      <c r="G615" s="9"/>
      <c r="H615" s="8"/>
      <c r="I615" s="8"/>
      <c r="J615" s="15"/>
      <c r="K615" s="8"/>
      <c r="L615" s="8"/>
      <c r="M615" s="8"/>
      <c r="N615" s="8"/>
      <c r="O615" s="8"/>
    </row>
    <row r="616" spans="1:15" ht="14.25" customHeight="1" x14ac:dyDescent="0.25">
      <c r="A616" s="8"/>
      <c r="B616" s="9"/>
      <c r="C616" s="8"/>
      <c r="D616" s="8"/>
      <c r="E616" s="8"/>
      <c r="F616" s="9"/>
      <c r="G616" s="9"/>
      <c r="H616" s="8"/>
      <c r="I616" s="8"/>
      <c r="J616" s="15"/>
      <c r="K616" s="8"/>
      <c r="L616" s="8"/>
      <c r="M616" s="8"/>
      <c r="N616" s="8"/>
      <c r="O616" s="8"/>
    </row>
    <row r="617" spans="1:15" ht="14.25" customHeight="1" x14ac:dyDescent="0.25">
      <c r="A617" s="8"/>
      <c r="B617" s="9"/>
      <c r="C617" s="8"/>
      <c r="D617" s="8"/>
      <c r="E617" s="8"/>
      <c r="F617" s="9"/>
      <c r="G617" s="9"/>
      <c r="H617" s="8"/>
      <c r="I617" s="8"/>
      <c r="J617" s="15"/>
      <c r="K617" s="8"/>
      <c r="L617" s="8"/>
      <c r="M617" s="8"/>
      <c r="N617" s="8"/>
      <c r="O617" s="8"/>
    </row>
    <row r="618" spans="1:15" ht="14.25" customHeight="1" x14ac:dyDescent="0.25">
      <c r="A618" s="8"/>
      <c r="B618" s="9"/>
      <c r="C618" s="8"/>
      <c r="D618" s="8"/>
      <c r="E618" s="8"/>
      <c r="F618" s="9"/>
      <c r="G618" s="9"/>
      <c r="H618" s="8"/>
      <c r="I618" s="8"/>
      <c r="J618" s="15"/>
      <c r="K618" s="8"/>
      <c r="L618" s="8"/>
      <c r="M618" s="8"/>
      <c r="N618" s="8"/>
      <c r="O618" s="8"/>
    </row>
    <row r="619" spans="1:15" ht="14.25" customHeight="1" x14ac:dyDescent="0.25">
      <c r="A619" s="8"/>
      <c r="B619" s="9"/>
      <c r="C619" s="8"/>
      <c r="D619" s="8"/>
      <c r="E619" s="8"/>
      <c r="F619" s="9"/>
      <c r="G619" s="9"/>
      <c r="H619" s="8"/>
      <c r="I619" s="8"/>
      <c r="J619" s="15"/>
      <c r="K619" s="8"/>
      <c r="L619" s="8"/>
      <c r="M619" s="8"/>
      <c r="N619" s="8"/>
      <c r="O619" s="8"/>
    </row>
    <row r="620" spans="1:15" ht="14.25" customHeight="1" x14ac:dyDescent="0.25">
      <c r="A620" s="8"/>
      <c r="B620" s="9"/>
      <c r="C620" s="8"/>
      <c r="D620" s="8"/>
      <c r="E620" s="8"/>
      <c r="F620" s="9"/>
      <c r="G620" s="9"/>
      <c r="H620" s="8"/>
      <c r="I620" s="8"/>
      <c r="J620" s="15"/>
      <c r="K620" s="8"/>
      <c r="L620" s="8"/>
      <c r="M620" s="8"/>
      <c r="N620" s="8"/>
      <c r="O620" s="8"/>
    </row>
    <row r="621" spans="1:15" ht="14.25" customHeight="1" x14ac:dyDescent="0.25">
      <c r="A621" s="8"/>
      <c r="B621" s="9"/>
      <c r="C621" s="8"/>
      <c r="D621" s="8"/>
      <c r="E621" s="8"/>
      <c r="F621" s="9"/>
      <c r="G621" s="9"/>
      <c r="H621" s="8"/>
      <c r="I621" s="8"/>
      <c r="J621" s="15"/>
      <c r="K621" s="8"/>
      <c r="L621" s="8"/>
      <c r="M621" s="8"/>
      <c r="N621" s="8"/>
      <c r="O621" s="8"/>
    </row>
    <row r="622" spans="1:15" ht="14.25" customHeight="1" x14ac:dyDescent="0.25">
      <c r="A622" s="8"/>
      <c r="B622" s="9"/>
      <c r="C622" s="8"/>
      <c r="D622" s="8"/>
      <c r="E622" s="8"/>
      <c r="F622" s="9"/>
      <c r="G622" s="9"/>
      <c r="H622" s="8"/>
      <c r="I622" s="8"/>
      <c r="J622" s="15"/>
      <c r="K622" s="8"/>
      <c r="L622" s="8"/>
      <c r="M622" s="8"/>
      <c r="N622" s="8"/>
      <c r="O622" s="8"/>
    </row>
    <row r="623" spans="1:15" ht="14.25" customHeight="1" x14ac:dyDescent="0.25">
      <c r="A623" s="8"/>
      <c r="B623" s="9"/>
      <c r="C623" s="8"/>
      <c r="D623" s="8"/>
      <c r="E623" s="8"/>
      <c r="F623" s="9"/>
      <c r="G623" s="9"/>
      <c r="H623" s="8"/>
      <c r="I623" s="8"/>
      <c r="J623" s="15"/>
      <c r="K623" s="8"/>
      <c r="L623" s="8"/>
      <c r="M623" s="8"/>
      <c r="N623" s="8"/>
      <c r="O623" s="8"/>
    </row>
    <row r="624" spans="1:15" ht="14.25" customHeight="1" x14ac:dyDescent="0.25">
      <c r="A624" s="8"/>
      <c r="B624" s="9"/>
      <c r="C624" s="8"/>
      <c r="D624" s="8"/>
      <c r="E624" s="8"/>
      <c r="F624" s="9"/>
      <c r="G624" s="9"/>
      <c r="H624" s="8"/>
      <c r="I624" s="8"/>
      <c r="J624" s="15"/>
      <c r="K624" s="8"/>
      <c r="L624" s="8"/>
      <c r="M624" s="8"/>
      <c r="N624" s="8"/>
      <c r="O624" s="8"/>
    </row>
    <row r="625" spans="1:15" ht="14.25" customHeight="1" x14ac:dyDescent="0.25">
      <c r="A625" s="8"/>
      <c r="B625" s="9"/>
      <c r="C625" s="8"/>
      <c r="D625" s="8"/>
      <c r="E625" s="8"/>
      <c r="F625" s="9"/>
      <c r="G625" s="9"/>
      <c r="H625" s="8"/>
      <c r="I625" s="8"/>
      <c r="J625" s="15"/>
      <c r="K625" s="8"/>
      <c r="L625" s="8"/>
      <c r="M625" s="8"/>
      <c r="N625" s="8"/>
      <c r="O625" s="8"/>
    </row>
    <row r="626" spans="1:15" ht="14.25" customHeight="1" x14ac:dyDescent="0.25">
      <c r="A626" s="8"/>
      <c r="B626" s="9"/>
      <c r="C626" s="8"/>
      <c r="D626" s="8"/>
      <c r="E626" s="8"/>
      <c r="F626" s="9"/>
      <c r="G626" s="9"/>
      <c r="H626" s="8"/>
      <c r="I626" s="8"/>
      <c r="J626" s="15"/>
      <c r="K626" s="8"/>
      <c r="L626" s="8"/>
      <c r="M626" s="8"/>
      <c r="N626" s="8"/>
      <c r="O626" s="8"/>
    </row>
    <row r="627" spans="1:15" ht="14.25" customHeight="1" x14ac:dyDescent="0.25">
      <c r="A627" s="8"/>
      <c r="B627" s="9"/>
      <c r="C627" s="8"/>
      <c r="D627" s="8"/>
      <c r="E627" s="8"/>
      <c r="F627" s="9"/>
      <c r="G627" s="9"/>
      <c r="H627" s="8"/>
      <c r="I627" s="8"/>
      <c r="J627" s="15"/>
      <c r="K627" s="8"/>
      <c r="L627" s="8"/>
      <c r="M627" s="8"/>
      <c r="N627" s="8"/>
      <c r="O627" s="8"/>
    </row>
    <row r="628" spans="1:15" ht="14.25" customHeight="1" x14ac:dyDescent="0.25">
      <c r="A628" s="8"/>
      <c r="B628" s="9"/>
      <c r="C628" s="8"/>
      <c r="D628" s="8"/>
      <c r="E628" s="8"/>
      <c r="F628" s="9"/>
      <c r="G628" s="9"/>
      <c r="H628" s="8"/>
      <c r="I628" s="8"/>
      <c r="J628" s="15"/>
      <c r="K628" s="8"/>
      <c r="L628" s="8"/>
      <c r="M628" s="8"/>
      <c r="N628" s="8"/>
      <c r="O628" s="8"/>
    </row>
    <row r="629" spans="1:15" ht="14.25" customHeight="1" x14ac:dyDescent="0.25">
      <c r="A629" s="8"/>
      <c r="B629" s="9"/>
      <c r="C629" s="8"/>
      <c r="D629" s="8"/>
      <c r="E629" s="8"/>
      <c r="F629" s="9"/>
      <c r="G629" s="9"/>
      <c r="H629" s="8"/>
      <c r="I629" s="8"/>
      <c r="J629" s="15"/>
      <c r="K629" s="8"/>
      <c r="L629" s="8"/>
      <c r="M629" s="8"/>
      <c r="N629" s="8"/>
      <c r="O629" s="8"/>
    </row>
    <row r="630" spans="1:15" ht="14.25" customHeight="1" x14ac:dyDescent="0.25">
      <c r="A630" s="8"/>
      <c r="B630" s="9"/>
      <c r="C630" s="8"/>
      <c r="D630" s="8"/>
      <c r="E630" s="8"/>
      <c r="F630" s="9"/>
      <c r="G630" s="9"/>
      <c r="H630" s="8"/>
      <c r="I630" s="8"/>
      <c r="J630" s="15"/>
      <c r="K630" s="8"/>
      <c r="L630" s="8"/>
      <c r="M630" s="8"/>
      <c r="N630" s="8"/>
      <c r="O630" s="8"/>
    </row>
    <row r="631" spans="1:15" ht="14.25" customHeight="1" x14ac:dyDescent="0.25">
      <c r="A631" s="8"/>
      <c r="B631" s="9"/>
      <c r="C631" s="8"/>
      <c r="D631" s="8"/>
      <c r="E631" s="8"/>
      <c r="F631" s="9"/>
      <c r="G631" s="9"/>
      <c r="H631" s="8"/>
      <c r="I631" s="8"/>
      <c r="J631" s="15"/>
      <c r="K631" s="8"/>
      <c r="L631" s="8"/>
      <c r="M631" s="8"/>
      <c r="N631" s="8"/>
      <c r="O631" s="8"/>
    </row>
    <row r="632" spans="1:15" ht="14.25" customHeight="1" x14ac:dyDescent="0.25">
      <c r="A632" s="8"/>
      <c r="B632" s="9"/>
      <c r="C632" s="8"/>
      <c r="D632" s="8"/>
      <c r="E632" s="8"/>
      <c r="F632" s="9"/>
      <c r="G632" s="9"/>
      <c r="H632" s="8"/>
      <c r="I632" s="8"/>
      <c r="J632" s="15"/>
      <c r="K632" s="8"/>
      <c r="L632" s="8"/>
      <c r="M632" s="8"/>
      <c r="N632" s="8"/>
      <c r="O632" s="8"/>
    </row>
    <row r="633" spans="1:15" ht="14.25" customHeight="1" x14ac:dyDescent="0.25">
      <c r="A633" s="8"/>
      <c r="B633" s="9"/>
      <c r="C633" s="8"/>
      <c r="D633" s="8"/>
      <c r="E633" s="8"/>
      <c r="F633" s="9"/>
      <c r="G633" s="9"/>
      <c r="H633" s="8"/>
      <c r="I633" s="8"/>
      <c r="J633" s="15"/>
      <c r="K633" s="8"/>
      <c r="L633" s="8"/>
      <c r="M633" s="8"/>
      <c r="N633" s="8"/>
      <c r="O633" s="8"/>
    </row>
    <row r="634" spans="1:15" ht="14.25" customHeight="1" x14ac:dyDescent="0.25">
      <c r="A634" s="8"/>
      <c r="B634" s="9"/>
      <c r="C634" s="8"/>
      <c r="D634" s="8"/>
      <c r="E634" s="8"/>
      <c r="F634" s="9"/>
      <c r="G634" s="9"/>
      <c r="H634" s="8"/>
      <c r="I634" s="8"/>
      <c r="J634" s="15"/>
      <c r="K634" s="8"/>
      <c r="L634" s="8"/>
      <c r="M634" s="8"/>
      <c r="N634" s="8"/>
      <c r="O634" s="8"/>
    </row>
    <row r="635" spans="1:15" ht="14.25" customHeight="1" x14ac:dyDescent="0.25">
      <c r="A635" s="8"/>
      <c r="B635" s="9"/>
      <c r="C635" s="8"/>
      <c r="D635" s="8"/>
      <c r="E635" s="8"/>
      <c r="F635" s="9"/>
      <c r="G635" s="9"/>
      <c r="H635" s="8"/>
      <c r="I635" s="8"/>
      <c r="J635" s="15"/>
      <c r="K635" s="8"/>
      <c r="L635" s="8"/>
      <c r="M635" s="8"/>
      <c r="N635" s="8"/>
      <c r="O635" s="8"/>
    </row>
    <row r="636" spans="1:15" ht="14.25" customHeight="1" x14ac:dyDescent="0.25">
      <c r="A636" s="8"/>
      <c r="B636" s="9"/>
      <c r="C636" s="8"/>
      <c r="D636" s="8"/>
      <c r="E636" s="8"/>
      <c r="F636" s="9"/>
      <c r="G636" s="9"/>
      <c r="H636" s="8"/>
      <c r="I636" s="8"/>
      <c r="J636" s="15"/>
      <c r="K636" s="8"/>
      <c r="L636" s="8"/>
      <c r="M636" s="8"/>
      <c r="N636" s="8"/>
      <c r="O636" s="8"/>
    </row>
    <row r="637" spans="1:15" ht="14.25" customHeight="1" x14ac:dyDescent="0.25">
      <c r="A637" s="8"/>
      <c r="B637" s="9"/>
      <c r="C637" s="8"/>
      <c r="D637" s="8"/>
      <c r="E637" s="8"/>
      <c r="F637" s="9"/>
      <c r="G637" s="9"/>
      <c r="H637" s="8"/>
      <c r="I637" s="8"/>
      <c r="J637" s="15"/>
      <c r="K637" s="8"/>
      <c r="L637" s="8"/>
      <c r="M637" s="8"/>
      <c r="N637" s="8"/>
      <c r="O637" s="8"/>
    </row>
    <row r="638" spans="1:15" ht="14.25" customHeight="1" x14ac:dyDescent="0.25">
      <c r="A638" s="8"/>
      <c r="B638" s="9"/>
      <c r="C638" s="8"/>
      <c r="D638" s="8"/>
      <c r="E638" s="8"/>
      <c r="F638" s="9"/>
      <c r="G638" s="9"/>
      <c r="H638" s="8"/>
      <c r="I638" s="8"/>
      <c r="J638" s="15"/>
      <c r="K638" s="8"/>
      <c r="L638" s="8"/>
      <c r="M638" s="8"/>
      <c r="N638" s="8"/>
      <c r="O638" s="8"/>
    </row>
    <row r="639" spans="1:15" ht="14.25" customHeight="1" x14ac:dyDescent="0.25">
      <c r="A639" s="8"/>
      <c r="B639" s="9"/>
      <c r="C639" s="8"/>
      <c r="D639" s="8"/>
      <c r="E639" s="8"/>
      <c r="F639" s="9"/>
      <c r="G639" s="9"/>
      <c r="H639" s="8"/>
      <c r="I639" s="8"/>
      <c r="J639" s="15"/>
      <c r="K639" s="8"/>
      <c r="L639" s="8"/>
      <c r="M639" s="8"/>
      <c r="N639" s="8"/>
      <c r="O639" s="8"/>
    </row>
    <row r="640" spans="1:15" ht="14.25" customHeight="1" x14ac:dyDescent="0.25">
      <c r="A640" s="8"/>
      <c r="B640" s="9"/>
      <c r="C640" s="8"/>
      <c r="D640" s="8"/>
      <c r="E640" s="8"/>
      <c r="F640" s="9"/>
      <c r="G640" s="9"/>
      <c r="H640" s="8"/>
      <c r="I640" s="8"/>
      <c r="J640" s="15"/>
      <c r="K640" s="8"/>
      <c r="L640" s="8"/>
      <c r="M640" s="8"/>
      <c r="N640" s="8"/>
      <c r="O640" s="8"/>
    </row>
    <row r="641" spans="1:15" ht="14.25" customHeight="1" x14ac:dyDescent="0.25">
      <c r="A641" s="8"/>
      <c r="B641" s="9"/>
      <c r="C641" s="8"/>
      <c r="D641" s="8"/>
      <c r="E641" s="8"/>
      <c r="F641" s="9"/>
      <c r="G641" s="9"/>
      <c r="H641" s="8"/>
      <c r="I641" s="8"/>
      <c r="J641" s="15"/>
      <c r="K641" s="8"/>
      <c r="L641" s="8"/>
      <c r="M641" s="8"/>
      <c r="N641" s="8"/>
      <c r="O641" s="8"/>
    </row>
    <row r="642" spans="1:15" ht="14.25" customHeight="1" x14ac:dyDescent="0.25">
      <c r="A642" s="8"/>
      <c r="B642" s="9"/>
      <c r="C642" s="8"/>
      <c r="D642" s="8"/>
      <c r="E642" s="8"/>
      <c r="F642" s="9"/>
      <c r="G642" s="9"/>
      <c r="H642" s="8"/>
      <c r="I642" s="8"/>
      <c r="J642" s="15"/>
      <c r="K642" s="8"/>
      <c r="L642" s="8"/>
      <c r="M642" s="8"/>
      <c r="N642" s="8"/>
      <c r="O642" s="8"/>
    </row>
    <row r="643" spans="1:15" ht="14.25" customHeight="1" x14ac:dyDescent="0.25">
      <c r="A643" s="8"/>
      <c r="B643" s="9"/>
      <c r="C643" s="8"/>
      <c r="D643" s="8"/>
      <c r="E643" s="8"/>
      <c r="F643" s="9"/>
      <c r="G643" s="9"/>
      <c r="H643" s="8"/>
      <c r="I643" s="8"/>
      <c r="J643" s="15"/>
      <c r="K643" s="8"/>
      <c r="L643" s="8"/>
      <c r="M643" s="8"/>
      <c r="N643" s="8"/>
      <c r="O643" s="8"/>
    </row>
    <row r="644" spans="1:15" ht="14.25" customHeight="1" x14ac:dyDescent="0.25">
      <c r="A644" s="8"/>
      <c r="B644" s="9"/>
      <c r="C644" s="8"/>
      <c r="D644" s="8"/>
      <c r="E644" s="8"/>
      <c r="F644" s="9"/>
      <c r="G644" s="9"/>
      <c r="H644" s="8"/>
      <c r="I644" s="8"/>
      <c r="J644" s="15"/>
      <c r="K644" s="8"/>
      <c r="L644" s="8"/>
      <c r="M644" s="8"/>
      <c r="N644" s="8"/>
      <c r="O644" s="8"/>
    </row>
    <row r="645" spans="1:15" ht="14.25" customHeight="1" x14ac:dyDescent="0.25">
      <c r="A645" s="8"/>
      <c r="B645" s="9"/>
      <c r="C645" s="8"/>
      <c r="D645" s="8"/>
      <c r="E645" s="8"/>
      <c r="F645" s="9"/>
      <c r="G645" s="9"/>
      <c r="H645" s="8"/>
      <c r="I645" s="8"/>
      <c r="J645" s="15"/>
      <c r="K645" s="8"/>
      <c r="L645" s="8"/>
      <c r="M645" s="8"/>
      <c r="N645" s="8"/>
      <c r="O645" s="8"/>
    </row>
    <row r="646" spans="1:15" ht="14.25" customHeight="1" x14ac:dyDescent="0.25">
      <c r="A646" s="8"/>
      <c r="B646" s="9"/>
      <c r="C646" s="8"/>
      <c r="D646" s="8"/>
      <c r="E646" s="8"/>
      <c r="F646" s="9"/>
      <c r="G646" s="9"/>
      <c r="H646" s="8"/>
      <c r="I646" s="8"/>
      <c r="J646" s="15"/>
      <c r="K646" s="8"/>
      <c r="L646" s="8"/>
      <c r="M646" s="8"/>
      <c r="N646" s="8"/>
      <c r="O646" s="8"/>
    </row>
    <row r="647" spans="1:15" ht="14.25" customHeight="1" x14ac:dyDescent="0.25">
      <c r="A647" s="8"/>
      <c r="B647" s="9"/>
      <c r="C647" s="8"/>
      <c r="D647" s="8"/>
      <c r="E647" s="8"/>
      <c r="F647" s="9"/>
      <c r="G647" s="9"/>
      <c r="H647" s="8"/>
      <c r="I647" s="8"/>
      <c r="J647" s="15"/>
      <c r="K647" s="8"/>
      <c r="L647" s="8"/>
      <c r="M647" s="8"/>
      <c r="N647" s="8"/>
      <c r="O647" s="8"/>
    </row>
    <row r="648" spans="1:15" ht="14.25" customHeight="1" x14ac:dyDescent="0.25">
      <c r="A648" s="8"/>
      <c r="B648" s="9"/>
      <c r="C648" s="8"/>
      <c r="D648" s="8"/>
      <c r="E648" s="8"/>
      <c r="F648" s="9"/>
      <c r="G648" s="9"/>
      <c r="H648" s="8"/>
      <c r="I648" s="8"/>
      <c r="J648" s="15"/>
      <c r="K648" s="8"/>
      <c r="L648" s="8"/>
      <c r="M648" s="8"/>
      <c r="N648" s="8"/>
      <c r="O648" s="8"/>
    </row>
    <row r="649" spans="1:15" ht="14.25" customHeight="1" x14ac:dyDescent="0.25">
      <c r="A649" s="8"/>
      <c r="B649" s="9"/>
      <c r="C649" s="8"/>
      <c r="D649" s="8"/>
      <c r="E649" s="8"/>
      <c r="F649" s="9"/>
      <c r="G649" s="9"/>
      <c r="H649" s="8"/>
      <c r="I649" s="8"/>
      <c r="J649" s="15"/>
      <c r="K649" s="8"/>
      <c r="L649" s="8"/>
      <c r="M649" s="8"/>
      <c r="N649" s="8"/>
      <c r="O649" s="8"/>
    </row>
    <row r="650" spans="1:15" ht="14.25" customHeight="1" x14ac:dyDescent="0.25">
      <c r="A650" s="8"/>
      <c r="B650" s="9"/>
      <c r="C650" s="8"/>
      <c r="D650" s="8"/>
      <c r="E650" s="8"/>
      <c r="F650" s="9"/>
      <c r="G650" s="9"/>
      <c r="H650" s="8"/>
      <c r="I650" s="8"/>
      <c r="J650" s="15"/>
      <c r="K650" s="8"/>
      <c r="L650" s="8"/>
      <c r="M650" s="8"/>
      <c r="N650" s="8"/>
      <c r="O650" s="8"/>
    </row>
    <row r="651" spans="1:15" ht="14.25" customHeight="1" x14ac:dyDescent="0.25">
      <c r="A651" s="8"/>
      <c r="B651" s="9"/>
      <c r="C651" s="8"/>
      <c r="D651" s="8"/>
      <c r="E651" s="8"/>
      <c r="F651" s="9"/>
      <c r="G651" s="9"/>
      <c r="H651" s="8"/>
      <c r="I651" s="8"/>
      <c r="J651" s="15"/>
      <c r="K651" s="8"/>
      <c r="L651" s="8"/>
      <c r="M651" s="8"/>
      <c r="N651" s="8"/>
      <c r="O651" s="8"/>
    </row>
    <row r="652" spans="1:15" ht="14.25" customHeight="1" x14ac:dyDescent="0.25">
      <c r="A652" s="8"/>
      <c r="B652" s="9"/>
      <c r="C652" s="8"/>
      <c r="D652" s="8"/>
      <c r="E652" s="8"/>
      <c r="F652" s="9"/>
      <c r="G652" s="9"/>
      <c r="H652" s="8"/>
      <c r="I652" s="8"/>
      <c r="J652" s="15"/>
      <c r="K652" s="8"/>
      <c r="L652" s="8"/>
      <c r="M652" s="8"/>
      <c r="N652" s="8"/>
      <c r="O652" s="8"/>
    </row>
    <row r="653" spans="1:15" ht="14.25" customHeight="1" x14ac:dyDescent="0.25">
      <c r="A653" s="8"/>
      <c r="B653" s="9"/>
      <c r="C653" s="8"/>
      <c r="D653" s="8"/>
      <c r="E653" s="8"/>
      <c r="F653" s="9"/>
      <c r="G653" s="9"/>
      <c r="H653" s="8"/>
      <c r="I653" s="8"/>
      <c r="J653" s="15"/>
      <c r="K653" s="8"/>
      <c r="L653" s="8"/>
      <c r="M653" s="8"/>
      <c r="N653" s="8"/>
      <c r="O653" s="8"/>
    </row>
    <row r="654" spans="1:15" ht="14.25" customHeight="1" x14ac:dyDescent="0.25">
      <c r="A654" s="8"/>
      <c r="B654" s="9"/>
      <c r="C654" s="8"/>
      <c r="D654" s="8"/>
      <c r="E654" s="8"/>
      <c r="F654" s="9"/>
      <c r="G654" s="9"/>
      <c r="H654" s="8"/>
      <c r="I654" s="8"/>
      <c r="J654" s="15"/>
      <c r="K654" s="8"/>
      <c r="L654" s="8"/>
      <c r="M654" s="8"/>
      <c r="N654" s="8"/>
      <c r="O654" s="8"/>
    </row>
    <row r="655" spans="1:15" ht="14.25" customHeight="1" x14ac:dyDescent="0.25">
      <c r="A655" s="8"/>
      <c r="B655" s="9"/>
      <c r="C655" s="8"/>
      <c r="D655" s="8"/>
      <c r="E655" s="8"/>
      <c r="F655" s="9"/>
      <c r="G655" s="9"/>
      <c r="H655" s="8"/>
      <c r="I655" s="8"/>
      <c r="J655" s="15"/>
      <c r="K655" s="8"/>
      <c r="L655" s="8"/>
      <c r="M655" s="8"/>
      <c r="N655" s="8"/>
      <c r="O655" s="8"/>
    </row>
    <row r="656" spans="1:15" ht="14.25" customHeight="1" x14ac:dyDescent="0.25">
      <c r="A656" s="8"/>
      <c r="B656" s="9"/>
      <c r="C656" s="8"/>
      <c r="D656" s="8"/>
      <c r="E656" s="8"/>
      <c r="F656" s="9"/>
      <c r="G656" s="9"/>
      <c r="H656" s="8"/>
      <c r="I656" s="8"/>
      <c r="J656" s="15"/>
      <c r="K656" s="8"/>
      <c r="L656" s="8"/>
      <c r="M656" s="8"/>
      <c r="N656" s="8"/>
      <c r="O656" s="8"/>
    </row>
    <row r="657" spans="1:15" ht="14.25" customHeight="1" x14ac:dyDescent="0.25">
      <c r="A657" s="8"/>
      <c r="B657" s="9"/>
      <c r="C657" s="8"/>
      <c r="D657" s="8"/>
      <c r="E657" s="8"/>
      <c r="F657" s="9"/>
      <c r="G657" s="9"/>
      <c r="H657" s="8"/>
      <c r="I657" s="8"/>
      <c r="J657" s="15"/>
      <c r="K657" s="8"/>
      <c r="L657" s="8"/>
      <c r="M657" s="8"/>
      <c r="N657" s="8"/>
      <c r="O657" s="8"/>
    </row>
    <row r="658" spans="1:15" ht="14.25" customHeight="1" x14ac:dyDescent="0.25">
      <c r="A658" s="8"/>
      <c r="B658" s="9"/>
      <c r="C658" s="8"/>
      <c r="D658" s="8"/>
      <c r="E658" s="8"/>
      <c r="F658" s="9"/>
      <c r="G658" s="9"/>
      <c r="H658" s="8"/>
      <c r="I658" s="8"/>
      <c r="J658" s="15"/>
      <c r="K658" s="8"/>
      <c r="L658" s="8"/>
      <c r="M658" s="8"/>
      <c r="N658" s="8"/>
      <c r="O658" s="8"/>
    </row>
    <row r="659" spans="1:15" ht="14.25" customHeight="1" x14ac:dyDescent="0.25">
      <c r="A659" s="8"/>
      <c r="B659" s="9"/>
      <c r="C659" s="8"/>
      <c r="D659" s="8"/>
      <c r="E659" s="8"/>
      <c r="F659" s="9"/>
      <c r="G659" s="9"/>
      <c r="H659" s="8"/>
      <c r="I659" s="8"/>
      <c r="J659" s="15"/>
      <c r="K659" s="8"/>
      <c r="L659" s="8"/>
      <c r="M659" s="8"/>
      <c r="N659" s="8"/>
      <c r="O659" s="8"/>
    </row>
    <row r="660" spans="1:15" ht="14.25" customHeight="1" x14ac:dyDescent="0.25">
      <c r="A660" s="8"/>
      <c r="B660" s="9"/>
      <c r="C660" s="8"/>
      <c r="D660" s="8"/>
      <c r="E660" s="8"/>
      <c r="F660" s="9"/>
      <c r="G660" s="9"/>
      <c r="H660" s="8"/>
      <c r="I660" s="8"/>
      <c r="J660" s="15"/>
      <c r="K660" s="8"/>
      <c r="L660" s="8"/>
      <c r="M660" s="8"/>
      <c r="N660" s="8"/>
      <c r="O660" s="8"/>
    </row>
    <row r="661" spans="1:15" ht="14.25" customHeight="1" x14ac:dyDescent="0.25">
      <c r="A661" s="8"/>
      <c r="B661" s="9"/>
      <c r="C661" s="8"/>
      <c r="D661" s="8"/>
      <c r="E661" s="8"/>
      <c r="F661" s="9"/>
      <c r="G661" s="9"/>
      <c r="H661" s="8"/>
      <c r="I661" s="8"/>
      <c r="J661" s="15"/>
      <c r="K661" s="8"/>
      <c r="L661" s="8"/>
      <c r="M661" s="8"/>
      <c r="N661" s="8"/>
      <c r="O661" s="8"/>
    </row>
    <row r="662" spans="1:15" ht="14.25" customHeight="1" x14ac:dyDescent="0.25">
      <c r="A662" s="8"/>
      <c r="B662" s="9"/>
      <c r="C662" s="8"/>
      <c r="D662" s="8"/>
      <c r="E662" s="8"/>
      <c r="F662" s="9"/>
      <c r="G662" s="9"/>
      <c r="H662" s="8"/>
      <c r="I662" s="8"/>
      <c r="J662" s="15"/>
      <c r="K662" s="8"/>
      <c r="L662" s="8"/>
      <c r="M662" s="8"/>
      <c r="N662" s="8"/>
      <c r="O662" s="8"/>
    </row>
    <row r="663" spans="1:15" ht="14.25" customHeight="1" x14ac:dyDescent="0.25">
      <c r="A663" s="8"/>
      <c r="B663" s="9"/>
      <c r="C663" s="8"/>
      <c r="D663" s="8"/>
      <c r="E663" s="8"/>
      <c r="F663" s="9"/>
      <c r="G663" s="9"/>
      <c r="H663" s="8"/>
      <c r="I663" s="8"/>
      <c r="J663" s="15"/>
      <c r="K663" s="8"/>
      <c r="L663" s="8"/>
      <c r="M663" s="8"/>
      <c r="N663" s="8"/>
      <c r="O663" s="8"/>
    </row>
    <row r="664" spans="1:15" ht="14.25" customHeight="1" x14ac:dyDescent="0.25">
      <c r="A664" s="8"/>
      <c r="B664" s="9"/>
      <c r="C664" s="8"/>
      <c r="D664" s="8"/>
      <c r="E664" s="8"/>
      <c r="F664" s="9"/>
      <c r="G664" s="9"/>
      <c r="H664" s="8"/>
      <c r="I664" s="8"/>
      <c r="J664" s="15"/>
      <c r="K664" s="8"/>
      <c r="L664" s="8"/>
      <c r="M664" s="8"/>
      <c r="N664" s="8"/>
      <c r="O664" s="8"/>
    </row>
    <row r="665" spans="1:15" ht="14.25" customHeight="1" x14ac:dyDescent="0.25">
      <c r="A665" s="8"/>
      <c r="B665" s="9"/>
      <c r="C665" s="8"/>
      <c r="D665" s="8"/>
      <c r="E665" s="8"/>
      <c r="F665" s="9"/>
      <c r="G665" s="9"/>
      <c r="H665" s="8"/>
      <c r="I665" s="8"/>
      <c r="J665" s="15"/>
      <c r="K665" s="8"/>
      <c r="L665" s="8"/>
      <c r="M665" s="8"/>
      <c r="N665" s="8"/>
      <c r="O665" s="8"/>
    </row>
    <row r="666" spans="1:15" ht="14.25" customHeight="1" x14ac:dyDescent="0.25">
      <c r="A666" s="8"/>
      <c r="B666" s="9"/>
      <c r="C666" s="8"/>
      <c r="D666" s="8"/>
      <c r="E666" s="8"/>
      <c r="F666" s="9"/>
      <c r="G666" s="9"/>
      <c r="H666" s="8"/>
      <c r="I666" s="8"/>
      <c r="J666" s="15"/>
      <c r="K666" s="8"/>
      <c r="L666" s="8"/>
      <c r="M666" s="8"/>
      <c r="N666" s="8"/>
      <c r="O666" s="8"/>
    </row>
    <row r="667" spans="1:15" ht="14.25" customHeight="1" x14ac:dyDescent="0.25">
      <c r="A667" s="8"/>
      <c r="B667" s="9"/>
      <c r="C667" s="8"/>
      <c r="D667" s="8"/>
      <c r="E667" s="8"/>
      <c r="F667" s="9"/>
      <c r="G667" s="9"/>
      <c r="H667" s="8"/>
      <c r="I667" s="8"/>
      <c r="J667" s="15"/>
      <c r="K667" s="8"/>
      <c r="L667" s="8"/>
      <c r="M667" s="8"/>
      <c r="N667" s="8"/>
      <c r="O667" s="8"/>
    </row>
    <row r="668" spans="1:15" ht="14.25" customHeight="1" x14ac:dyDescent="0.25">
      <c r="A668" s="8"/>
      <c r="B668" s="9"/>
      <c r="C668" s="8"/>
      <c r="D668" s="8"/>
      <c r="E668" s="8"/>
      <c r="F668" s="9"/>
      <c r="G668" s="9"/>
      <c r="H668" s="8"/>
      <c r="I668" s="8"/>
      <c r="J668" s="15"/>
      <c r="K668" s="8"/>
      <c r="L668" s="8"/>
      <c r="M668" s="8"/>
      <c r="N668" s="8"/>
      <c r="O668" s="8"/>
    </row>
    <row r="669" spans="1:15" ht="14.25" customHeight="1" x14ac:dyDescent="0.25">
      <c r="A669" s="8"/>
      <c r="B669" s="9"/>
      <c r="C669" s="8"/>
      <c r="D669" s="8"/>
      <c r="E669" s="8"/>
      <c r="F669" s="9"/>
      <c r="G669" s="9"/>
      <c r="H669" s="8"/>
      <c r="I669" s="8"/>
      <c r="J669" s="15"/>
      <c r="K669" s="8"/>
      <c r="L669" s="8"/>
      <c r="M669" s="8"/>
      <c r="N669" s="8"/>
      <c r="O669" s="8"/>
    </row>
    <row r="670" spans="1:15" ht="14.25" customHeight="1" x14ac:dyDescent="0.25">
      <c r="A670" s="8"/>
      <c r="B670" s="9"/>
      <c r="C670" s="8"/>
      <c r="D670" s="8"/>
      <c r="E670" s="8"/>
      <c r="F670" s="9"/>
      <c r="G670" s="9"/>
      <c r="H670" s="8"/>
      <c r="I670" s="8"/>
      <c r="J670" s="15"/>
      <c r="K670" s="8"/>
      <c r="L670" s="8"/>
      <c r="M670" s="8"/>
      <c r="N670" s="8"/>
      <c r="O670" s="8"/>
    </row>
    <row r="671" spans="1:15" ht="14.25" customHeight="1" x14ac:dyDescent="0.25">
      <c r="A671" s="8"/>
      <c r="B671" s="9"/>
      <c r="C671" s="8"/>
      <c r="D671" s="8"/>
      <c r="E671" s="8"/>
      <c r="F671" s="9"/>
      <c r="G671" s="9"/>
      <c r="H671" s="8"/>
      <c r="I671" s="8"/>
      <c r="J671" s="15"/>
      <c r="K671" s="8"/>
      <c r="L671" s="8"/>
      <c r="M671" s="8"/>
      <c r="N671" s="8"/>
      <c r="O671" s="8"/>
    </row>
    <row r="672" spans="1:15" ht="14.25" customHeight="1" x14ac:dyDescent="0.25">
      <c r="A672" s="8"/>
      <c r="B672" s="9"/>
      <c r="C672" s="8"/>
      <c r="D672" s="8"/>
      <c r="E672" s="8"/>
      <c r="F672" s="9"/>
      <c r="G672" s="9"/>
      <c r="H672" s="8"/>
      <c r="I672" s="8"/>
      <c r="J672" s="15"/>
      <c r="K672" s="8"/>
      <c r="L672" s="8"/>
      <c r="M672" s="8"/>
      <c r="N672" s="8"/>
      <c r="O672" s="8"/>
    </row>
    <row r="673" spans="1:15" ht="14.25" customHeight="1" x14ac:dyDescent="0.25">
      <c r="A673" s="8"/>
      <c r="B673" s="9"/>
      <c r="C673" s="8"/>
      <c r="D673" s="8"/>
      <c r="E673" s="8"/>
      <c r="F673" s="9"/>
      <c r="G673" s="9"/>
      <c r="H673" s="8"/>
      <c r="I673" s="8"/>
      <c r="J673" s="15"/>
      <c r="K673" s="8"/>
      <c r="L673" s="8"/>
      <c r="M673" s="8"/>
      <c r="N673" s="8"/>
      <c r="O673" s="8"/>
    </row>
    <row r="674" spans="1:15" ht="14.25" customHeight="1" x14ac:dyDescent="0.25">
      <c r="A674" s="8"/>
      <c r="B674" s="9"/>
      <c r="C674" s="8"/>
      <c r="D674" s="8"/>
      <c r="E674" s="8"/>
      <c r="F674" s="9"/>
      <c r="G674" s="9"/>
      <c r="H674" s="8"/>
      <c r="I674" s="8"/>
      <c r="J674" s="15"/>
      <c r="K674" s="8"/>
      <c r="L674" s="8"/>
      <c r="M674" s="8"/>
      <c r="N674" s="8"/>
      <c r="O674" s="8"/>
    </row>
    <row r="675" spans="1:15" ht="14.25" customHeight="1" x14ac:dyDescent="0.25">
      <c r="A675" s="8"/>
      <c r="B675" s="9"/>
      <c r="C675" s="8"/>
      <c r="D675" s="8"/>
      <c r="E675" s="8"/>
      <c r="F675" s="9"/>
      <c r="G675" s="9"/>
      <c r="H675" s="8"/>
      <c r="I675" s="8"/>
      <c r="J675" s="15"/>
      <c r="K675" s="8"/>
      <c r="L675" s="8"/>
      <c r="M675" s="8"/>
      <c r="N675" s="8"/>
      <c r="O675" s="8"/>
    </row>
    <row r="676" spans="1:15" ht="14.25" customHeight="1" x14ac:dyDescent="0.25">
      <c r="A676" s="8"/>
      <c r="B676" s="9"/>
      <c r="C676" s="8"/>
      <c r="D676" s="8"/>
      <c r="E676" s="8"/>
      <c r="F676" s="9"/>
      <c r="G676" s="9"/>
      <c r="H676" s="8"/>
      <c r="I676" s="8"/>
      <c r="J676" s="15"/>
      <c r="K676" s="8"/>
      <c r="L676" s="8"/>
      <c r="M676" s="8"/>
      <c r="N676" s="8"/>
      <c r="O676" s="8"/>
    </row>
    <row r="677" spans="1:15" ht="14.25" customHeight="1" x14ac:dyDescent="0.25">
      <c r="A677" s="8"/>
      <c r="B677" s="9"/>
      <c r="C677" s="8"/>
      <c r="D677" s="8"/>
      <c r="E677" s="8"/>
      <c r="F677" s="9"/>
      <c r="G677" s="9"/>
      <c r="H677" s="8"/>
      <c r="I677" s="8"/>
      <c r="J677" s="15"/>
      <c r="K677" s="8"/>
      <c r="L677" s="8"/>
      <c r="M677" s="8"/>
      <c r="N677" s="8"/>
      <c r="O677" s="8"/>
    </row>
    <row r="678" spans="1:15" ht="14.25" customHeight="1" x14ac:dyDescent="0.25">
      <c r="A678" s="8"/>
      <c r="B678" s="9"/>
      <c r="C678" s="8"/>
      <c r="D678" s="8"/>
      <c r="E678" s="8"/>
      <c r="F678" s="9"/>
      <c r="G678" s="9"/>
      <c r="H678" s="8"/>
      <c r="I678" s="8"/>
      <c r="J678" s="15"/>
      <c r="K678" s="8"/>
      <c r="L678" s="8"/>
      <c r="M678" s="8"/>
      <c r="N678" s="8"/>
      <c r="O678" s="8"/>
    </row>
    <row r="679" spans="1:15" ht="14.25" customHeight="1" x14ac:dyDescent="0.25">
      <c r="A679" s="8"/>
      <c r="B679" s="9"/>
      <c r="C679" s="8"/>
      <c r="D679" s="8"/>
      <c r="E679" s="8"/>
      <c r="F679" s="9"/>
      <c r="G679" s="9"/>
      <c r="H679" s="8"/>
      <c r="I679" s="8"/>
      <c r="J679" s="15"/>
      <c r="K679" s="8"/>
      <c r="L679" s="8"/>
      <c r="M679" s="8"/>
      <c r="N679" s="8"/>
      <c r="O679" s="8"/>
    </row>
    <row r="680" spans="1:15" ht="14.25" customHeight="1" x14ac:dyDescent="0.25">
      <c r="A680" s="8"/>
      <c r="B680" s="9"/>
      <c r="C680" s="8"/>
      <c r="D680" s="8"/>
      <c r="E680" s="8"/>
      <c r="F680" s="9"/>
      <c r="G680" s="9"/>
      <c r="H680" s="8"/>
      <c r="I680" s="8"/>
      <c r="J680" s="15"/>
      <c r="K680" s="8"/>
      <c r="L680" s="8"/>
      <c r="M680" s="8"/>
      <c r="N680" s="8"/>
      <c r="O680" s="8"/>
    </row>
    <row r="681" spans="1:15" ht="14.25" customHeight="1" x14ac:dyDescent="0.25">
      <c r="A681" s="8"/>
      <c r="B681" s="9"/>
      <c r="C681" s="8"/>
      <c r="D681" s="8"/>
      <c r="E681" s="8"/>
      <c r="F681" s="9"/>
      <c r="G681" s="9"/>
      <c r="H681" s="8"/>
      <c r="I681" s="8"/>
      <c r="J681" s="15"/>
      <c r="K681" s="8"/>
      <c r="L681" s="8"/>
      <c r="M681" s="8"/>
      <c r="N681" s="8"/>
      <c r="O681" s="8"/>
    </row>
    <row r="682" spans="1:15" ht="14.25" customHeight="1" x14ac:dyDescent="0.25">
      <c r="A682" s="8"/>
      <c r="B682" s="9"/>
      <c r="C682" s="8"/>
      <c r="D682" s="8"/>
      <c r="E682" s="8"/>
      <c r="F682" s="9"/>
      <c r="G682" s="9"/>
      <c r="H682" s="8"/>
      <c r="I682" s="8"/>
      <c r="J682" s="15"/>
      <c r="K682" s="8"/>
      <c r="L682" s="8"/>
      <c r="M682" s="8"/>
      <c r="N682" s="8"/>
      <c r="O682" s="8"/>
    </row>
    <row r="683" spans="1:15" ht="14.25" customHeight="1" x14ac:dyDescent="0.25">
      <c r="A683" s="8"/>
      <c r="B683" s="9"/>
      <c r="C683" s="8"/>
      <c r="D683" s="8"/>
      <c r="E683" s="8"/>
      <c r="F683" s="9"/>
      <c r="G683" s="9"/>
      <c r="H683" s="8"/>
      <c r="I683" s="8"/>
      <c r="J683" s="15"/>
      <c r="K683" s="8"/>
      <c r="L683" s="8"/>
      <c r="M683" s="8"/>
      <c r="N683" s="8"/>
      <c r="O683" s="8"/>
    </row>
    <row r="684" spans="1:15" ht="14.25" customHeight="1" x14ac:dyDescent="0.25">
      <c r="A684" s="8"/>
      <c r="B684" s="9"/>
      <c r="C684" s="8"/>
      <c r="D684" s="8"/>
      <c r="E684" s="8"/>
      <c r="F684" s="9"/>
      <c r="G684" s="9"/>
      <c r="H684" s="8"/>
      <c r="I684" s="8"/>
      <c r="J684" s="15"/>
      <c r="K684" s="8"/>
      <c r="L684" s="8"/>
      <c r="M684" s="8"/>
      <c r="N684" s="8"/>
      <c r="O684" s="8"/>
    </row>
    <row r="685" spans="1:15" ht="14.25" customHeight="1" x14ac:dyDescent="0.25">
      <c r="A685" s="8"/>
      <c r="B685" s="9"/>
      <c r="C685" s="8"/>
      <c r="D685" s="8"/>
      <c r="E685" s="8"/>
      <c r="F685" s="9"/>
      <c r="G685" s="9"/>
      <c r="H685" s="8"/>
      <c r="I685" s="8"/>
      <c r="J685" s="15"/>
      <c r="K685" s="8"/>
      <c r="L685" s="8"/>
      <c r="M685" s="8"/>
      <c r="N685" s="8"/>
      <c r="O685" s="8"/>
    </row>
    <row r="686" spans="1:15" ht="14.25" customHeight="1" x14ac:dyDescent="0.25">
      <c r="A686" s="8"/>
      <c r="B686" s="9"/>
      <c r="C686" s="8"/>
      <c r="D686" s="8"/>
      <c r="E686" s="8"/>
      <c r="F686" s="9"/>
      <c r="G686" s="9"/>
      <c r="H686" s="8"/>
      <c r="I686" s="8"/>
      <c r="J686" s="15"/>
      <c r="K686" s="8"/>
      <c r="L686" s="8"/>
      <c r="M686" s="8"/>
      <c r="N686" s="8"/>
      <c r="O686" s="8"/>
    </row>
    <row r="687" spans="1:15" ht="14.25" customHeight="1" x14ac:dyDescent="0.25">
      <c r="A687" s="8"/>
      <c r="B687" s="9"/>
      <c r="C687" s="8"/>
      <c r="D687" s="8"/>
      <c r="E687" s="8"/>
      <c r="F687" s="9"/>
      <c r="G687" s="9"/>
      <c r="H687" s="8"/>
      <c r="I687" s="8"/>
      <c r="J687" s="15"/>
      <c r="K687" s="8"/>
      <c r="L687" s="8"/>
      <c r="M687" s="8"/>
      <c r="N687" s="8"/>
      <c r="O687" s="8"/>
    </row>
    <row r="688" spans="1:15" ht="14.25" customHeight="1" x14ac:dyDescent="0.25">
      <c r="A688" s="8"/>
      <c r="B688" s="9"/>
      <c r="C688" s="8"/>
      <c r="D688" s="8"/>
      <c r="E688" s="8"/>
      <c r="F688" s="9"/>
      <c r="G688" s="9"/>
      <c r="H688" s="8"/>
      <c r="I688" s="8"/>
      <c r="J688" s="15"/>
      <c r="K688" s="8"/>
      <c r="L688" s="8"/>
      <c r="M688" s="8"/>
      <c r="N688" s="8"/>
      <c r="O688" s="8"/>
    </row>
    <row r="689" spans="1:15" ht="14.25" customHeight="1" x14ac:dyDescent="0.25">
      <c r="A689" s="8"/>
      <c r="B689" s="9"/>
      <c r="C689" s="8"/>
      <c r="D689" s="8"/>
      <c r="E689" s="8"/>
      <c r="F689" s="9"/>
      <c r="G689" s="9"/>
      <c r="H689" s="8"/>
      <c r="I689" s="8"/>
      <c r="J689" s="15"/>
      <c r="K689" s="8"/>
      <c r="L689" s="8"/>
      <c r="M689" s="8"/>
      <c r="N689" s="8"/>
      <c r="O689" s="8"/>
    </row>
    <row r="690" spans="1:15" ht="14.25" customHeight="1" x14ac:dyDescent="0.25">
      <c r="A690" s="8"/>
      <c r="B690" s="9"/>
      <c r="C690" s="8"/>
      <c r="D690" s="8"/>
      <c r="E690" s="8"/>
      <c r="F690" s="9"/>
      <c r="G690" s="9"/>
      <c r="H690" s="8"/>
      <c r="I690" s="8"/>
      <c r="J690" s="15"/>
      <c r="K690" s="8"/>
      <c r="L690" s="8"/>
      <c r="M690" s="8"/>
      <c r="N690" s="8"/>
      <c r="O690" s="8"/>
    </row>
    <row r="691" spans="1:15" ht="14.25" customHeight="1" x14ac:dyDescent="0.25">
      <c r="A691" s="8"/>
      <c r="B691" s="9"/>
      <c r="C691" s="8"/>
      <c r="D691" s="8"/>
      <c r="E691" s="8"/>
      <c r="F691" s="9"/>
      <c r="G691" s="9"/>
      <c r="H691" s="8"/>
      <c r="I691" s="8"/>
      <c r="J691" s="15"/>
      <c r="K691" s="8"/>
      <c r="L691" s="8"/>
      <c r="M691" s="8"/>
      <c r="N691" s="8"/>
      <c r="O691" s="8"/>
    </row>
    <row r="692" spans="1:15" ht="14.25" customHeight="1" x14ac:dyDescent="0.25">
      <c r="A692" s="8"/>
      <c r="B692" s="9"/>
      <c r="C692" s="8"/>
      <c r="D692" s="8"/>
      <c r="E692" s="8"/>
      <c r="F692" s="9"/>
      <c r="G692" s="9"/>
      <c r="H692" s="8"/>
      <c r="I692" s="8"/>
      <c r="J692" s="15"/>
      <c r="K692" s="8"/>
      <c r="L692" s="8"/>
      <c r="M692" s="8"/>
      <c r="N692" s="8"/>
      <c r="O692" s="8"/>
    </row>
    <row r="693" spans="1:15" ht="14.25" customHeight="1" x14ac:dyDescent="0.25">
      <c r="A693" s="8"/>
      <c r="B693" s="9"/>
      <c r="C693" s="8"/>
      <c r="D693" s="8"/>
      <c r="E693" s="8"/>
      <c r="F693" s="9"/>
      <c r="G693" s="9"/>
      <c r="H693" s="8"/>
      <c r="I693" s="8"/>
      <c r="J693" s="15"/>
      <c r="K693" s="8"/>
      <c r="L693" s="8"/>
      <c r="M693" s="8"/>
      <c r="N693" s="8"/>
      <c r="O693" s="8"/>
    </row>
    <row r="694" spans="1:15" ht="14.25" customHeight="1" x14ac:dyDescent="0.25">
      <c r="A694" s="8"/>
      <c r="B694" s="9"/>
      <c r="C694" s="8"/>
      <c r="D694" s="8"/>
      <c r="E694" s="8"/>
      <c r="F694" s="9"/>
      <c r="G694" s="9"/>
      <c r="H694" s="8"/>
      <c r="I694" s="8"/>
      <c r="J694" s="15"/>
      <c r="K694" s="8"/>
      <c r="L694" s="8"/>
      <c r="M694" s="8"/>
      <c r="N694" s="8"/>
      <c r="O694" s="8"/>
    </row>
    <row r="695" spans="1:15" ht="14.25" customHeight="1" x14ac:dyDescent="0.25">
      <c r="A695" s="8"/>
      <c r="B695" s="9"/>
      <c r="C695" s="8"/>
      <c r="D695" s="8"/>
      <c r="E695" s="8"/>
      <c r="F695" s="9"/>
      <c r="G695" s="9"/>
      <c r="H695" s="8"/>
      <c r="I695" s="8"/>
      <c r="J695" s="15"/>
      <c r="K695" s="8"/>
      <c r="L695" s="8"/>
      <c r="M695" s="8"/>
      <c r="N695" s="8"/>
      <c r="O695" s="8"/>
    </row>
    <row r="696" spans="1:15" ht="14.25" customHeight="1" x14ac:dyDescent="0.25">
      <c r="A696" s="8"/>
      <c r="B696" s="9"/>
      <c r="C696" s="8"/>
      <c r="D696" s="8"/>
      <c r="E696" s="8"/>
      <c r="F696" s="9"/>
      <c r="G696" s="9"/>
      <c r="H696" s="8"/>
      <c r="I696" s="8"/>
      <c r="J696" s="15"/>
      <c r="K696" s="8"/>
      <c r="L696" s="8"/>
      <c r="M696" s="8"/>
      <c r="N696" s="8"/>
      <c r="O696" s="8"/>
    </row>
    <row r="697" spans="1:15" ht="14.25" customHeight="1" x14ac:dyDescent="0.25">
      <c r="A697" s="8"/>
      <c r="B697" s="9"/>
      <c r="C697" s="8"/>
      <c r="D697" s="8"/>
      <c r="E697" s="8"/>
      <c r="F697" s="9"/>
      <c r="G697" s="9"/>
      <c r="H697" s="8"/>
      <c r="I697" s="8"/>
      <c r="J697" s="15"/>
      <c r="K697" s="8"/>
      <c r="L697" s="8"/>
      <c r="M697" s="8"/>
      <c r="N697" s="8"/>
      <c r="O697" s="8"/>
    </row>
    <row r="698" spans="1:15" ht="14.25" customHeight="1" x14ac:dyDescent="0.25">
      <c r="A698" s="8"/>
      <c r="B698" s="9"/>
      <c r="C698" s="8"/>
      <c r="D698" s="8"/>
      <c r="E698" s="8"/>
      <c r="F698" s="9"/>
      <c r="G698" s="9"/>
      <c r="H698" s="8"/>
      <c r="I698" s="8"/>
      <c r="J698" s="15"/>
      <c r="K698" s="8"/>
      <c r="L698" s="8"/>
      <c r="M698" s="8"/>
      <c r="N698" s="8"/>
      <c r="O698" s="8"/>
    </row>
    <row r="699" spans="1:15" ht="14.25" customHeight="1" x14ac:dyDescent="0.25">
      <c r="A699" s="8"/>
      <c r="B699" s="9"/>
      <c r="C699" s="8"/>
      <c r="D699" s="8"/>
      <c r="E699" s="8"/>
      <c r="F699" s="9"/>
      <c r="G699" s="9"/>
      <c r="H699" s="8"/>
      <c r="I699" s="8"/>
      <c r="J699" s="15"/>
      <c r="K699" s="8"/>
      <c r="L699" s="8"/>
      <c r="M699" s="8"/>
      <c r="N699" s="8"/>
      <c r="O699" s="8"/>
    </row>
    <row r="700" spans="1:15" ht="14.25" customHeight="1" x14ac:dyDescent="0.25">
      <c r="A700" s="8"/>
      <c r="B700" s="9"/>
      <c r="C700" s="8"/>
      <c r="D700" s="8"/>
      <c r="E700" s="8"/>
      <c r="F700" s="9"/>
      <c r="G700" s="9"/>
      <c r="H700" s="8"/>
      <c r="I700" s="8"/>
      <c r="J700" s="15"/>
      <c r="K700" s="8"/>
      <c r="L700" s="8"/>
      <c r="M700" s="8"/>
      <c r="N700" s="8"/>
      <c r="O700" s="8"/>
    </row>
    <row r="701" spans="1:15" ht="14.25" customHeight="1" x14ac:dyDescent="0.25">
      <c r="A701" s="8"/>
      <c r="B701" s="9"/>
      <c r="C701" s="8"/>
      <c r="D701" s="8"/>
      <c r="E701" s="8"/>
      <c r="F701" s="9"/>
      <c r="G701" s="9"/>
      <c r="H701" s="8"/>
      <c r="I701" s="8"/>
      <c r="J701" s="15"/>
      <c r="K701" s="8"/>
      <c r="L701" s="8"/>
      <c r="M701" s="8"/>
      <c r="N701" s="8"/>
      <c r="O701" s="8"/>
    </row>
    <row r="702" spans="1:15" ht="14.25" customHeight="1" x14ac:dyDescent="0.25">
      <c r="A702" s="8"/>
      <c r="B702" s="9"/>
      <c r="C702" s="8"/>
      <c r="D702" s="8"/>
      <c r="E702" s="8"/>
      <c r="F702" s="9"/>
      <c r="G702" s="9"/>
      <c r="H702" s="8"/>
      <c r="I702" s="8"/>
      <c r="J702" s="15"/>
      <c r="K702" s="8"/>
      <c r="L702" s="8"/>
      <c r="M702" s="8"/>
      <c r="N702" s="8"/>
      <c r="O702" s="8"/>
    </row>
    <row r="703" spans="1:15" ht="14.25" customHeight="1" x14ac:dyDescent="0.25">
      <c r="A703" s="8"/>
      <c r="B703" s="9"/>
      <c r="C703" s="8"/>
      <c r="D703" s="8"/>
      <c r="E703" s="8"/>
      <c r="F703" s="9"/>
      <c r="G703" s="9"/>
      <c r="H703" s="8"/>
      <c r="I703" s="8"/>
      <c r="J703" s="15"/>
      <c r="K703" s="8"/>
      <c r="L703" s="8"/>
      <c r="M703" s="8"/>
      <c r="N703" s="8"/>
      <c r="O703" s="8"/>
    </row>
    <row r="704" spans="1:15" ht="14.25" customHeight="1" x14ac:dyDescent="0.25">
      <c r="A704" s="8"/>
      <c r="B704" s="9"/>
      <c r="C704" s="8"/>
      <c r="D704" s="8"/>
      <c r="E704" s="8"/>
      <c r="F704" s="9"/>
      <c r="G704" s="9"/>
      <c r="H704" s="8"/>
      <c r="I704" s="8"/>
      <c r="J704" s="15"/>
      <c r="K704" s="8"/>
      <c r="L704" s="8"/>
      <c r="M704" s="8"/>
      <c r="N704" s="8"/>
      <c r="O704" s="8"/>
    </row>
    <row r="705" spans="1:15" ht="14.25" customHeight="1" x14ac:dyDescent="0.25">
      <c r="A705" s="8"/>
      <c r="B705" s="9"/>
      <c r="C705" s="8"/>
      <c r="D705" s="8"/>
      <c r="E705" s="8"/>
      <c r="F705" s="9"/>
      <c r="G705" s="9"/>
      <c r="H705" s="8"/>
      <c r="I705" s="8"/>
      <c r="J705" s="15"/>
      <c r="K705" s="8"/>
      <c r="L705" s="8"/>
      <c r="M705" s="8"/>
      <c r="N705" s="8"/>
      <c r="O705" s="8"/>
    </row>
    <row r="706" spans="1:15" ht="14.25" customHeight="1" x14ac:dyDescent="0.25">
      <c r="A706" s="8"/>
      <c r="B706" s="9"/>
      <c r="C706" s="8"/>
      <c r="D706" s="8"/>
      <c r="E706" s="8"/>
      <c r="F706" s="9"/>
      <c r="G706" s="9"/>
      <c r="H706" s="8"/>
      <c r="I706" s="8"/>
      <c r="J706" s="15"/>
      <c r="K706" s="8"/>
      <c r="L706" s="8"/>
      <c r="M706" s="8"/>
      <c r="N706" s="8"/>
      <c r="O706" s="8"/>
    </row>
    <row r="707" spans="1:15" ht="14.25" customHeight="1" x14ac:dyDescent="0.25">
      <c r="A707" s="8"/>
      <c r="B707" s="9"/>
      <c r="C707" s="8"/>
      <c r="D707" s="8"/>
      <c r="E707" s="8"/>
      <c r="F707" s="9"/>
      <c r="G707" s="9"/>
      <c r="H707" s="8"/>
      <c r="I707" s="8"/>
      <c r="J707" s="15"/>
      <c r="K707" s="8"/>
      <c r="L707" s="8"/>
      <c r="M707" s="8"/>
      <c r="N707" s="8"/>
      <c r="O707" s="8"/>
    </row>
    <row r="708" spans="1:15" ht="14.25" customHeight="1" x14ac:dyDescent="0.25">
      <c r="A708" s="8"/>
      <c r="B708" s="9"/>
      <c r="C708" s="8"/>
      <c r="D708" s="8"/>
      <c r="E708" s="8"/>
      <c r="F708" s="9"/>
      <c r="G708" s="9"/>
      <c r="H708" s="8"/>
      <c r="I708" s="8"/>
      <c r="J708" s="15"/>
      <c r="K708" s="8"/>
      <c r="L708" s="8"/>
      <c r="M708" s="8"/>
      <c r="N708" s="8"/>
      <c r="O708" s="8"/>
    </row>
    <row r="709" spans="1:15" ht="14.25" customHeight="1" x14ac:dyDescent="0.25">
      <c r="A709" s="8"/>
      <c r="B709" s="9"/>
      <c r="C709" s="8"/>
      <c r="D709" s="8"/>
      <c r="E709" s="8"/>
      <c r="F709" s="9"/>
      <c r="G709" s="9"/>
      <c r="H709" s="8"/>
      <c r="I709" s="8"/>
      <c r="J709" s="15"/>
      <c r="K709" s="8"/>
      <c r="L709" s="8"/>
      <c r="M709" s="8"/>
      <c r="N709" s="8"/>
      <c r="O709" s="8"/>
    </row>
    <row r="710" spans="1:15" ht="14.25" customHeight="1" x14ac:dyDescent="0.25">
      <c r="A710" s="8"/>
      <c r="B710" s="9"/>
      <c r="C710" s="8"/>
      <c r="D710" s="8"/>
      <c r="E710" s="8"/>
      <c r="F710" s="9"/>
      <c r="G710" s="9"/>
      <c r="H710" s="8"/>
      <c r="I710" s="8"/>
      <c r="J710" s="15"/>
      <c r="K710" s="8"/>
      <c r="L710" s="8"/>
      <c r="M710" s="8"/>
      <c r="N710" s="8"/>
      <c r="O710" s="8"/>
    </row>
    <row r="711" spans="1:15" ht="14.25" customHeight="1" x14ac:dyDescent="0.25">
      <c r="A711" s="8"/>
      <c r="B711" s="9"/>
      <c r="C711" s="8"/>
      <c r="D711" s="8"/>
      <c r="E711" s="8"/>
      <c r="F711" s="9"/>
      <c r="G711" s="9"/>
      <c r="H711" s="8"/>
      <c r="I711" s="8"/>
      <c r="J711" s="15"/>
      <c r="K711" s="8"/>
      <c r="L711" s="8"/>
      <c r="M711" s="8"/>
      <c r="N711" s="8"/>
      <c r="O711" s="8"/>
    </row>
    <row r="712" spans="1:15" ht="14.25" customHeight="1" x14ac:dyDescent="0.25">
      <c r="A712" s="8"/>
      <c r="B712" s="9"/>
      <c r="C712" s="8"/>
      <c r="D712" s="8"/>
      <c r="E712" s="8"/>
      <c r="F712" s="9"/>
      <c r="G712" s="9"/>
      <c r="H712" s="8"/>
      <c r="I712" s="8"/>
      <c r="J712" s="15"/>
      <c r="K712" s="8"/>
      <c r="L712" s="8"/>
      <c r="M712" s="8"/>
      <c r="N712" s="8"/>
      <c r="O712" s="8"/>
    </row>
    <row r="713" spans="1:15" ht="14.25" customHeight="1" x14ac:dyDescent="0.25">
      <c r="A713" s="8"/>
      <c r="B713" s="9"/>
      <c r="C713" s="8"/>
      <c r="D713" s="8"/>
      <c r="E713" s="8"/>
      <c r="F713" s="9"/>
      <c r="G713" s="9"/>
      <c r="H713" s="8"/>
      <c r="I713" s="8"/>
      <c r="J713" s="15"/>
      <c r="K713" s="8"/>
      <c r="L713" s="8"/>
      <c r="M713" s="8"/>
      <c r="N713" s="8"/>
      <c r="O713" s="8"/>
    </row>
    <row r="714" spans="1:15" ht="14.25" customHeight="1" x14ac:dyDescent="0.25">
      <c r="A714" s="8"/>
      <c r="B714" s="9"/>
      <c r="C714" s="8"/>
      <c r="D714" s="8"/>
      <c r="E714" s="8"/>
      <c r="F714" s="9"/>
      <c r="G714" s="9"/>
      <c r="H714" s="8"/>
      <c r="I714" s="8"/>
      <c r="J714" s="15"/>
      <c r="K714" s="8"/>
      <c r="L714" s="8"/>
      <c r="M714" s="8"/>
      <c r="N714" s="8"/>
      <c r="O714" s="8"/>
    </row>
    <row r="715" spans="1:15" ht="14.25" customHeight="1" x14ac:dyDescent="0.25">
      <c r="A715" s="8"/>
      <c r="B715" s="9"/>
      <c r="C715" s="8"/>
      <c r="D715" s="8"/>
      <c r="E715" s="8"/>
      <c r="F715" s="9"/>
      <c r="G715" s="9"/>
      <c r="H715" s="8"/>
      <c r="I715" s="8"/>
      <c r="J715" s="15"/>
      <c r="K715" s="8"/>
      <c r="L715" s="8"/>
      <c r="M715" s="8"/>
      <c r="N715" s="8"/>
      <c r="O715" s="8"/>
    </row>
    <row r="716" spans="1:15" ht="14.25" customHeight="1" x14ac:dyDescent="0.25">
      <c r="A716" s="8"/>
      <c r="B716" s="9"/>
      <c r="C716" s="8"/>
      <c r="D716" s="8"/>
      <c r="E716" s="8"/>
      <c r="F716" s="9"/>
      <c r="G716" s="9"/>
      <c r="H716" s="8"/>
      <c r="I716" s="8"/>
      <c r="J716" s="15"/>
      <c r="K716" s="8"/>
      <c r="L716" s="8"/>
      <c r="M716" s="8"/>
      <c r="N716" s="8"/>
      <c r="O716" s="8"/>
    </row>
    <row r="717" spans="1:15" ht="14.25" customHeight="1" x14ac:dyDescent="0.25">
      <c r="A717" s="8"/>
      <c r="B717" s="9"/>
      <c r="C717" s="8"/>
      <c r="D717" s="8"/>
      <c r="E717" s="8"/>
      <c r="F717" s="9"/>
      <c r="G717" s="9"/>
      <c r="H717" s="8"/>
      <c r="I717" s="8"/>
      <c r="J717" s="15"/>
      <c r="K717" s="8"/>
      <c r="L717" s="8"/>
      <c r="M717" s="8"/>
      <c r="N717" s="8"/>
      <c r="O717" s="8"/>
    </row>
    <row r="718" spans="1:15" ht="14.25" customHeight="1" x14ac:dyDescent="0.25">
      <c r="A718" s="8"/>
      <c r="B718" s="9"/>
      <c r="C718" s="8"/>
      <c r="D718" s="8"/>
      <c r="E718" s="8"/>
      <c r="F718" s="9"/>
      <c r="G718" s="9"/>
      <c r="H718" s="8"/>
      <c r="I718" s="8"/>
      <c r="J718" s="15"/>
      <c r="K718" s="8"/>
      <c r="L718" s="8"/>
      <c r="M718" s="8"/>
      <c r="N718" s="8"/>
      <c r="O718" s="8"/>
    </row>
    <row r="719" spans="1:15" ht="14.25" customHeight="1" x14ac:dyDescent="0.25">
      <c r="A719" s="8"/>
      <c r="B719" s="9"/>
      <c r="C719" s="8"/>
      <c r="D719" s="8"/>
      <c r="E719" s="8"/>
      <c r="F719" s="9"/>
      <c r="G719" s="9"/>
      <c r="H719" s="8"/>
      <c r="I719" s="8"/>
      <c r="J719" s="15"/>
      <c r="K719" s="8"/>
      <c r="L719" s="8"/>
      <c r="M719" s="8"/>
      <c r="N719" s="8"/>
      <c r="O719" s="8"/>
    </row>
    <row r="720" spans="1:15" ht="14.25" customHeight="1" x14ac:dyDescent="0.25">
      <c r="A720" s="8"/>
      <c r="B720" s="9"/>
      <c r="C720" s="8"/>
      <c r="D720" s="8"/>
      <c r="E720" s="8"/>
      <c r="F720" s="9"/>
      <c r="G720" s="9"/>
      <c r="H720" s="8"/>
      <c r="I720" s="8"/>
      <c r="J720" s="15"/>
      <c r="K720" s="8"/>
      <c r="L720" s="8"/>
      <c r="M720" s="8"/>
      <c r="N720" s="8"/>
      <c r="O720" s="8"/>
    </row>
    <row r="721" spans="1:15" ht="14.25" customHeight="1" x14ac:dyDescent="0.25">
      <c r="A721" s="8"/>
      <c r="B721" s="9"/>
      <c r="C721" s="8"/>
      <c r="D721" s="8"/>
      <c r="E721" s="8"/>
      <c r="F721" s="9"/>
      <c r="G721" s="9"/>
      <c r="H721" s="8"/>
      <c r="I721" s="8"/>
      <c r="J721" s="15"/>
      <c r="K721" s="8"/>
      <c r="L721" s="8"/>
      <c r="M721" s="8"/>
      <c r="N721" s="8"/>
      <c r="O721" s="8"/>
    </row>
    <row r="722" spans="1:15" ht="14.25" customHeight="1" x14ac:dyDescent="0.25">
      <c r="A722" s="8"/>
      <c r="B722" s="9"/>
      <c r="C722" s="8"/>
      <c r="D722" s="8"/>
      <c r="E722" s="8"/>
      <c r="F722" s="9"/>
      <c r="G722" s="9"/>
      <c r="H722" s="8"/>
      <c r="I722" s="8"/>
      <c r="J722" s="15"/>
      <c r="K722" s="8"/>
      <c r="L722" s="8"/>
      <c r="M722" s="8"/>
      <c r="N722" s="8"/>
      <c r="O722" s="8"/>
    </row>
    <row r="723" spans="1:15" ht="14.25" customHeight="1" x14ac:dyDescent="0.25">
      <c r="A723" s="8"/>
      <c r="B723" s="9"/>
      <c r="C723" s="8"/>
      <c r="D723" s="8"/>
      <c r="E723" s="8"/>
      <c r="F723" s="9"/>
      <c r="G723" s="9"/>
      <c r="H723" s="8"/>
      <c r="I723" s="8"/>
      <c r="J723" s="15"/>
      <c r="K723" s="8"/>
      <c r="L723" s="8"/>
      <c r="M723" s="8"/>
      <c r="N723" s="8"/>
      <c r="O723" s="8"/>
    </row>
    <row r="724" spans="1:15" ht="14.25" customHeight="1" x14ac:dyDescent="0.25">
      <c r="A724" s="8"/>
      <c r="B724" s="9"/>
      <c r="C724" s="8"/>
      <c r="D724" s="8"/>
      <c r="E724" s="8"/>
      <c r="F724" s="9"/>
      <c r="G724" s="9"/>
      <c r="H724" s="8"/>
      <c r="I724" s="8"/>
      <c r="J724" s="15"/>
      <c r="K724" s="8"/>
      <c r="L724" s="8"/>
      <c r="M724" s="8"/>
      <c r="N724" s="8"/>
      <c r="O724" s="8"/>
    </row>
    <row r="725" spans="1:15" ht="14.25" customHeight="1" x14ac:dyDescent="0.25">
      <c r="A725" s="8"/>
      <c r="B725" s="9"/>
      <c r="C725" s="8"/>
      <c r="D725" s="8"/>
      <c r="E725" s="8"/>
      <c r="F725" s="9"/>
      <c r="G725" s="9"/>
      <c r="H725" s="8"/>
      <c r="I725" s="8"/>
      <c r="J725" s="15"/>
      <c r="K725" s="8"/>
      <c r="L725" s="8"/>
      <c r="M725" s="8"/>
      <c r="N725" s="8"/>
      <c r="O725" s="8"/>
    </row>
    <row r="726" spans="1:15" ht="14.25" customHeight="1" x14ac:dyDescent="0.25">
      <c r="A726" s="8"/>
      <c r="B726" s="9"/>
      <c r="C726" s="8"/>
      <c r="D726" s="8"/>
      <c r="E726" s="8"/>
      <c r="F726" s="9"/>
      <c r="G726" s="9"/>
      <c r="H726" s="8"/>
      <c r="I726" s="8"/>
      <c r="J726" s="15"/>
      <c r="K726" s="8"/>
      <c r="L726" s="8"/>
      <c r="M726" s="8"/>
      <c r="N726" s="8"/>
      <c r="O726" s="8"/>
    </row>
    <row r="727" spans="1:15" ht="14.25" customHeight="1" x14ac:dyDescent="0.25">
      <c r="A727" s="8"/>
      <c r="B727" s="9"/>
      <c r="C727" s="8"/>
      <c r="D727" s="8"/>
      <c r="E727" s="8"/>
      <c r="F727" s="9"/>
      <c r="G727" s="9"/>
      <c r="H727" s="8"/>
      <c r="I727" s="8"/>
      <c r="J727" s="15"/>
      <c r="K727" s="8"/>
      <c r="L727" s="8"/>
      <c r="M727" s="8"/>
      <c r="N727" s="8"/>
      <c r="O727" s="8"/>
    </row>
    <row r="728" spans="1:15" ht="14.25" customHeight="1" x14ac:dyDescent="0.25">
      <c r="A728" s="8"/>
      <c r="B728" s="9"/>
      <c r="C728" s="8"/>
      <c r="D728" s="8"/>
      <c r="E728" s="8"/>
      <c r="F728" s="9"/>
      <c r="G728" s="9"/>
      <c r="H728" s="8"/>
      <c r="I728" s="8"/>
      <c r="J728" s="15"/>
      <c r="K728" s="8"/>
      <c r="L728" s="8"/>
      <c r="M728" s="8"/>
      <c r="N728" s="8"/>
      <c r="O728" s="8"/>
    </row>
    <row r="729" spans="1:15" ht="14.25" customHeight="1" x14ac:dyDescent="0.25">
      <c r="A729" s="8"/>
      <c r="B729" s="9"/>
      <c r="C729" s="8"/>
      <c r="D729" s="8"/>
      <c r="E729" s="8"/>
      <c r="F729" s="9"/>
      <c r="G729" s="9"/>
      <c r="H729" s="8"/>
      <c r="I729" s="8"/>
      <c r="J729" s="15"/>
      <c r="K729" s="8"/>
      <c r="L729" s="8"/>
      <c r="M729" s="8"/>
      <c r="N729" s="8"/>
      <c r="O729" s="8"/>
    </row>
    <row r="730" spans="1:15" ht="14.25" customHeight="1" x14ac:dyDescent="0.25">
      <c r="A730" s="8"/>
      <c r="B730" s="9"/>
      <c r="C730" s="8"/>
      <c r="D730" s="8"/>
      <c r="E730" s="8"/>
      <c r="F730" s="9"/>
      <c r="G730" s="9"/>
      <c r="H730" s="8"/>
      <c r="I730" s="8"/>
      <c r="J730" s="15"/>
      <c r="K730" s="8"/>
      <c r="L730" s="8"/>
      <c r="M730" s="8"/>
      <c r="N730" s="8"/>
      <c r="O730" s="8"/>
    </row>
    <row r="731" spans="1:15" ht="14.25" customHeight="1" x14ac:dyDescent="0.25">
      <c r="A731" s="8"/>
      <c r="B731" s="9"/>
      <c r="C731" s="8"/>
      <c r="D731" s="8"/>
      <c r="E731" s="8"/>
      <c r="F731" s="9"/>
      <c r="G731" s="9"/>
      <c r="H731" s="8"/>
      <c r="I731" s="8"/>
      <c r="J731" s="15"/>
      <c r="K731" s="8"/>
      <c r="L731" s="8"/>
      <c r="M731" s="8"/>
      <c r="N731" s="8"/>
      <c r="O731" s="8"/>
    </row>
    <row r="732" spans="1:15" ht="14.25" customHeight="1" x14ac:dyDescent="0.25">
      <c r="A732" s="8"/>
      <c r="B732" s="9"/>
      <c r="C732" s="8"/>
      <c r="D732" s="8"/>
      <c r="E732" s="8"/>
      <c r="F732" s="9"/>
      <c r="G732" s="9"/>
      <c r="H732" s="8"/>
      <c r="I732" s="8"/>
      <c r="J732" s="15"/>
      <c r="K732" s="8"/>
      <c r="L732" s="8"/>
      <c r="M732" s="8"/>
      <c r="N732" s="8"/>
      <c r="O732" s="8"/>
    </row>
    <row r="733" spans="1:15" ht="14.25" customHeight="1" x14ac:dyDescent="0.25">
      <c r="A733" s="8"/>
      <c r="B733" s="9"/>
      <c r="C733" s="8"/>
      <c r="D733" s="8"/>
      <c r="E733" s="8"/>
      <c r="F733" s="9"/>
      <c r="G733" s="9"/>
      <c r="H733" s="8"/>
      <c r="I733" s="8"/>
      <c r="J733" s="15"/>
      <c r="K733" s="8"/>
      <c r="L733" s="8"/>
      <c r="M733" s="8"/>
      <c r="N733" s="8"/>
      <c r="O733" s="8"/>
    </row>
    <row r="734" spans="1:15" ht="14.25" customHeight="1" x14ac:dyDescent="0.25">
      <c r="A734" s="8"/>
      <c r="B734" s="9"/>
      <c r="C734" s="8"/>
      <c r="D734" s="8"/>
      <c r="E734" s="8"/>
      <c r="F734" s="9"/>
      <c r="G734" s="9"/>
      <c r="H734" s="8"/>
      <c r="I734" s="8"/>
      <c r="J734" s="15"/>
      <c r="K734" s="8"/>
      <c r="L734" s="8"/>
      <c r="M734" s="8"/>
      <c r="N734" s="8"/>
      <c r="O734" s="8"/>
    </row>
    <row r="735" spans="1:15" ht="14.25" customHeight="1" x14ac:dyDescent="0.25">
      <c r="A735" s="8"/>
      <c r="B735" s="9"/>
      <c r="C735" s="8"/>
      <c r="D735" s="8"/>
      <c r="E735" s="8"/>
      <c r="F735" s="9"/>
      <c r="G735" s="9"/>
      <c r="H735" s="8"/>
      <c r="I735" s="8"/>
      <c r="J735" s="15"/>
      <c r="K735" s="8"/>
      <c r="L735" s="8"/>
      <c r="M735" s="8"/>
      <c r="N735" s="8"/>
      <c r="O735" s="8"/>
    </row>
    <row r="736" spans="1:15" ht="14.25" customHeight="1" x14ac:dyDescent="0.25">
      <c r="A736" s="8"/>
      <c r="B736" s="9"/>
      <c r="C736" s="8"/>
      <c r="D736" s="8"/>
      <c r="E736" s="8"/>
      <c r="F736" s="9"/>
      <c r="G736" s="9"/>
      <c r="H736" s="8"/>
      <c r="I736" s="8"/>
      <c r="J736" s="15"/>
      <c r="K736" s="8"/>
      <c r="L736" s="8"/>
      <c r="M736" s="8"/>
      <c r="N736" s="8"/>
      <c r="O736" s="8"/>
    </row>
    <row r="737" spans="1:15" ht="14.25" customHeight="1" x14ac:dyDescent="0.25">
      <c r="A737" s="8"/>
      <c r="B737" s="9"/>
      <c r="C737" s="8"/>
      <c r="D737" s="8"/>
      <c r="E737" s="8"/>
      <c r="F737" s="9"/>
      <c r="G737" s="9"/>
      <c r="H737" s="8"/>
      <c r="I737" s="8"/>
      <c r="J737" s="15"/>
      <c r="K737" s="8"/>
      <c r="L737" s="8"/>
      <c r="M737" s="8"/>
      <c r="N737" s="8"/>
      <c r="O737" s="8"/>
    </row>
    <row r="738" spans="1:15" ht="14.25" customHeight="1" x14ac:dyDescent="0.25">
      <c r="A738" s="8"/>
      <c r="B738" s="9"/>
      <c r="C738" s="8"/>
      <c r="D738" s="8"/>
      <c r="E738" s="8"/>
      <c r="F738" s="9"/>
      <c r="G738" s="9"/>
      <c r="H738" s="8"/>
      <c r="I738" s="8"/>
      <c r="J738" s="15"/>
      <c r="K738" s="8"/>
      <c r="L738" s="8"/>
      <c r="M738" s="8"/>
      <c r="N738" s="8"/>
      <c r="O738" s="8"/>
    </row>
    <row r="739" spans="1:15" ht="14.25" customHeight="1" x14ac:dyDescent="0.25">
      <c r="A739" s="8"/>
      <c r="B739" s="9"/>
      <c r="C739" s="8"/>
      <c r="D739" s="8"/>
      <c r="E739" s="8"/>
      <c r="F739" s="9"/>
      <c r="G739" s="9"/>
      <c r="H739" s="8"/>
      <c r="I739" s="8"/>
      <c r="J739" s="15"/>
      <c r="K739" s="8"/>
      <c r="L739" s="8"/>
      <c r="M739" s="8"/>
      <c r="N739" s="8"/>
      <c r="O739" s="8"/>
    </row>
    <row r="740" spans="1:15" ht="14.25" customHeight="1" x14ac:dyDescent="0.25">
      <c r="A740" s="8"/>
      <c r="B740" s="9"/>
      <c r="C740" s="8"/>
      <c r="D740" s="8"/>
      <c r="E740" s="8"/>
      <c r="F740" s="9"/>
      <c r="G740" s="9"/>
      <c r="H740" s="8"/>
      <c r="I740" s="8"/>
      <c r="J740" s="15"/>
      <c r="K740" s="8"/>
      <c r="L740" s="8"/>
      <c r="M740" s="8"/>
      <c r="N740" s="8"/>
      <c r="O740" s="8"/>
    </row>
    <row r="741" spans="1:15" ht="14.25" customHeight="1" x14ac:dyDescent="0.25">
      <c r="A741" s="8"/>
      <c r="B741" s="9"/>
      <c r="C741" s="8"/>
      <c r="D741" s="8"/>
      <c r="E741" s="8"/>
      <c r="F741" s="9"/>
      <c r="G741" s="9"/>
      <c r="H741" s="8"/>
      <c r="I741" s="8"/>
      <c r="J741" s="15"/>
      <c r="K741" s="8"/>
      <c r="L741" s="8"/>
      <c r="M741" s="8"/>
      <c r="N741" s="8"/>
      <c r="O741" s="8"/>
    </row>
    <row r="742" spans="1:15" ht="14.25" customHeight="1" x14ac:dyDescent="0.25">
      <c r="A742" s="8"/>
      <c r="B742" s="9"/>
      <c r="C742" s="8"/>
      <c r="D742" s="8"/>
      <c r="E742" s="8"/>
      <c r="F742" s="9"/>
      <c r="G742" s="9"/>
      <c r="H742" s="8"/>
      <c r="I742" s="8"/>
      <c r="J742" s="15"/>
      <c r="K742" s="8"/>
      <c r="L742" s="8"/>
      <c r="M742" s="8"/>
      <c r="N742" s="8"/>
      <c r="O742" s="8"/>
    </row>
    <row r="743" spans="1:15" ht="14.25" customHeight="1" x14ac:dyDescent="0.25">
      <c r="A743" s="8"/>
      <c r="B743" s="9"/>
      <c r="C743" s="8"/>
      <c r="D743" s="8"/>
      <c r="E743" s="8"/>
      <c r="F743" s="9"/>
      <c r="G743" s="9"/>
      <c r="H743" s="8"/>
      <c r="I743" s="8"/>
      <c r="J743" s="15"/>
      <c r="K743" s="8"/>
      <c r="L743" s="8"/>
      <c r="M743" s="8"/>
      <c r="N743" s="8"/>
      <c r="O743" s="8"/>
    </row>
    <row r="744" spans="1:15" ht="14.25" customHeight="1" x14ac:dyDescent="0.25">
      <c r="A744" s="8"/>
      <c r="B744" s="9"/>
      <c r="C744" s="8"/>
      <c r="D744" s="8"/>
      <c r="E744" s="8"/>
      <c r="F744" s="9"/>
      <c r="G744" s="9"/>
      <c r="H744" s="8"/>
      <c r="I744" s="8"/>
      <c r="J744" s="15"/>
      <c r="K744" s="8"/>
      <c r="L744" s="8"/>
      <c r="M744" s="8"/>
      <c r="N744" s="8"/>
      <c r="O744" s="8"/>
    </row>
    <row r="745" spans="1:15" ht="14.25" customHeight="1" x14ac:dyDescent="0.25">
      <c r="A745" s="8"/>
      <c r="B745" s="9"/>
      <c r="C745" s="8"/>
      <c r="D745" s="8"/>
      <c r="E745" s="8"/>
      <c r="F745" s="9"/>
      <c r="G745" s="9"/>
      <c r="H745" s="8"/>
      <c r="I745" s="8"/>
      <c r="J745" s="15"/>
      <c r="K745" s="8"/>
      <c r="L745" s="8"/>
      <c r="M745" s="8"/>
      <c r="N745" s="8"/>
      <c r="O745" s="8"/>
    </row>
    <row r="746" spans="1:15" ht="14.25" customHeight="1" x14ac:dyDescent="0.25">
      <c r="A746" s="8"/>
      <c r="B746" s="9"/>
      <c r="C746" s="8"/>
      <c r="D746" s="8"/>
      <c r="E746" s="8"/>
      <c r="F746" s="9"/>
      <c r="G746" s="9"/>
      <c r="H746" s="8"/>
      <c r="I746" s="8"/>
      <c r="J746" s="15"/>
      <c r="K746" s="8"/>
      <c r="L746" s="8"/>
      <c r="M746" s="8"/>
      <c r="N746" s="8"/>
      <c r="O746" s="8"/>
    </row>
    <row r="747" spans="1:15" ht="14.25" customHeight="1" x14ac:dyDescent="0.25">
      <c r="A747" s="8"/>
      <c r="B747" s="9"/>
      <c r="C747" s="8"/>
      <c r="D747" s="8"/>
      <c r="E747" s="8"/>
      <c r="F747" s="9"/>
      <c r="G747" s="9"/>
      <c r="H747" s="8"/>
      <c r="I747" s="8"/>
      <c r="J747" s="15"/>
      <c r="K747" s="8"/>
      <c r="L747" s="8"/>
      <c r="M747" s="8"/>
      <c r="N747" s="8"/>
      <c r="O747" s="8"/>
    </row>
    <row r="748" spans="1:15" ht="14.25" customHeight="1" x14ac:dyDescent="0.25">
      <c r="A748" s="8"/>
      <c r="B748" s="9"/>
      <c r="C748" s="8"/>
      <c r="D748" s="8"/>
      <c r="E748" s="8"/>
      <c r="F748" s="9"/>
      <c r="G748" s="9"/>
      <c r="H748" s="8"/>
      <c r="I748" s="8"/>
      <c r="J748" s="15"/>
      <c r="K748" s="8"/>
      <c r="L748" s="8"/>
      <c r="M748" s="8"/>
      <c r="N748" s="8"/>
      <c r="O748" s="8"/>
    </row>
    <row r="749" spans="1:15" ht="14.25" customHeight="1" x14ac:dyDescent="0.25">
      <c r="A749" s="8"/>
      <c r="B749" s="9"/>
      <c r="C749" s="8"/>
      <c r="D749" s="8"/>
      <c r="E749" s="8"/>
      <c r="F749" s="9"/>
      <c r="G749" s="9"/>
      <c r="H749" s="8"/>
      <c r="I749" s="8"/>
      <c r="J749" s="15"/>
      <c r="K749" s="8"/>
      <c r="L749" s="8"/>
      <c r="M749" s="8"/>
      <c r="N749" s="8"/>
      <c r="O749" s="8"/>
    </row>
    <row r="750" spans="1:15" ht="14.25" customHeight="1" x14ac:dyDescent="0.25">
      <c r="A750" s="8"/>
      <c r="B750" s="9"/>
      <c r="C750" s="8"/>
      <c r="D750" s="8"/>
      <c r="E750" s="8"/>
      <c r="F750" s="9"/>
      <c r="G750" s="9"/>
      <c r="H750" s="8"/>
      <c r="I750" s="8"/>
      <c r="J750" s="15"/>
      <c r="K750" s="8"/>
      <c r="L750" s="8"/>
      <c r="M750" s="8"/>
      <c r="N750" s="8"/>
      <c r="O750" s="8"/>
    </row>
    <row r="751" spans="1:15" ht="14.25" customHeight="1" x14ac:dyDescent="0.25">
      <c r="A751" s="8"/>
      <c r="B751" s="9"/>
      <c r="C751" s="8"/>
      <c r="D751" s="8"/>
      <c r="E751" s="8"/>
      <c r="F751" s="9"/>
      <c r="G751" s="9"/>
      <c r="H751" s="8"/>
      <c r="I751" s="8"/>
      <c r="J751" s="15"/>
      <c r="K751" s="8"/>
      <c r="L751" s="8"/>
      <c r="M751" s="8"/>
      <c r="N751" s="8"/>
      <c r="O751" s="8"/>
    </row>
    <row r="752" spans="1:15" ht="14.25" customHeight="1" x14ac:dyDescent="0.25">
      <c r="A752" s="8"/>
      <c r="B752" s="9"/>
      <c r="C752" s="8"/>
      <c r="D752" s="8"/>
      <c r="E752" s="8"/>
      <c r="F752" s="9"/>
      <c r="G752" s="9"/>
      <c r="H752" s="8"/>
      <c r="I752" s="8"/>
      <c r="J752" s="15"/>
      <c r="K752" s="8"/>
      <c r="L752" s="8"/>
      <c r="M752" s="8"/>
      <c r="N752" s="8"/>
      <c r="O752" s="8"/>
    </row>
    <row r="753" spans="1:15" ht="14.25" customHeight="1" x14ac:dyDescent="0.25">
      <c r="A753" s="8"/>
      <c r="B753" s="9"/>
      <c r="C753" s="8"/>
      <c r="D753" s="8"/>
      <c r="E753" s="8"/>
      <c r="F753" s="9"/>
      <c r="G753" s="9"/>
      <c r="H753" s="8"/>
      <c r="I753" s="8"/>
      <c r="J753" s="15"/>
      <c r="K753" s="8"/>
      <c r="L753" s="8"/>
      <c r="M753" s="8"/>
      <c r="N753" s="8"/>
      <c r="O753" s="8"/>
    </row>
    <row r="754" spans="1:15" ht="14.25" customHeight="1" x14ac:dyDescent="0.25">
      <c r="A754" s="8"/>
      <c r="B754" s="9"/>
      <c r="C754" s="8"/>
      <c r="D754" s="8"/>
      <c r="E754" s="8"/>
      <c r="F754" s="9"/>
      <c r="G754" s="9"/>
      <c r="H754" s="8"/>
      <c r="I754" s="8"/>
      <c r="J754" s="15"/>
      <c r="K754" s="8"/>
      <c r="L754" s="8"/>
      <c r="M754" s="8"/>
      <c r="N754" s="8"/>
      <c r="O754" s="8"/>
    </row>
    <row r="755" spans="1:15" ht="14.25" customHeight="1" x14ac:dyDescent="0.25">
      <c r="A755" s="8"/>
      <c r="B755" s="9"/>
      <c r="C755" s="8"/>
      <c r="D755" s="8"/>
      <c r="E755" s="8"/>
      <c r="F755" s="9"/>
      <c r="G755" s="9"/>
      <c r="H755" s="8"/>
      <c r="I755" s="8"/>
      <c r="J755" s="15"/>
      <c r="K755" s="8"/>
      <c r="L755" s="8"/>
      <c r="M755" s="8"/>
      <c r="N755" s="8"/>
      <c r="O755" s="8"/>
    </row>
    <row r="756" spans="1:15" ht="14.25" customHeight="1" x14ac:dyDescent="0.25">
      <c r="A756" s="8"/>
      <c r="B756" s="9"/>
      <c r="C756" s="8"/>
      <c r="D756" s="8"/>
      <c r="E756" s="8"/>
      <c r="F756" s="9"/>
      <c r="G756" s="9"/>
      <c r="H756" s="8"/>
      <c r="I756" s="8"/>
      <c r="J756" s="15"/>
      <c r="K756" s="8"/>
      <c r="L756" s="8"/>
      <c r="M756" s="8"/>
      <c r="N756" s="8"/>
      <c r="O756" s="8"/>
    </row>
    <row r="757" spans="1:15" ht="14.25" customHeight="1" x14ac:dyDescent="0.25">
      <c r="A757" s="8"/>
      <c r="B757" s="9"/>
      <c r="C757" s="8"/>
      <c r="D757" s="8"/>
      <c r="E757" s="8"/>
      <c r="F757" s="9"/>
      <c r="G757" s="9"/>
      <c r="H757" s="8"/>
      <c r="I757" s="8"/>
      <c r="J757" s="15"/>
      <c r="K757" s="8"/>
      <c r="L757" s="8"/>
      <c r="M757" s="8"/>
      <c r="N757" s="8"/>
      <c r="O757" s="8"/>
    </row>
    <row r="758" spans="1:15" ht="14.25" customHeight="1" x14ac:dyDescent="0.25">
      <c r="A758" s="8"/>
      <c r="B758" s="9"/>
      <c r="C758" s="8"/>
      <c r="D758" s="8"/>
      <c r="E758" s="8"/>
      <c r="F758" s="9"/>
      <c r="G758" s="9"/>
      <c r="H758" s="8"/>
      <c r="I758" s="8"/>
      <c r="J758" s="15"/>
      <c r="K758" s="8"/>
      <c r="L758" s="8"/>
      <c r="M758" s="8"/>
      <c r="N758" s="8"/>
      <c r="O758" s="8"/>
    </row>
    <row r="759" spans="1:15" ht="14.25" customHeight="1" x14ac:dyDescent="0.25">
      <c r="A759" s="8"/>
      <c r="B759" s="9"/>
      <c r="C759" s="8"/>
      <c r="D759" s="8"/>
      <c r="E759" s="8"/>
      <c r="F759" s="9"/>
      <c r="G759" s="9"/>
      <c r="H759" s="8"/>
      <c r="I759" s="8"/>
      <c r="J759" s="15"/>
      <c r="K759" s="8"/>
      <c r="L759" s="8"/>
      <c r="M759" s="8"/>
      <c r="N759" s="8"/>
      <c r="O759" s="8"/>
    </row>
    <row r="760" spans="1:15" ht="14.25" customHeight="1" x14ac:dyDescent="0.25">
      <c r="A760" s="8"/>
      <c r="B760" s="9"/>
      <c r="C760" s="8"/>
      <c r="D760" s="8"/>
      <c r="E760" s="8"/>
      <c r="F760" s="9"/>
      <c r="G760" s="9"/>
      <c r="H760" s="8"/>
      <c r="I760" s="8"/>
      <c r="J760" s="15"/>
      <c r="K760" s="8"/>
      <c r="L760" s="8"/>
      <c r="M760" s="8"/>
      <c r="N760" s="8"/>
      <c r="O760" s="8"/>
    </row>
    <row r="761" spans="1:15" ht="14.25" customHeight="1" x14ac:dyDescent="0.25">
      <c r="A761" s="8"/>
      <c r="B761" s="9"/>
      <c r="C761" s="8"/>
      <c r="D761" s="8"/>
      <c r="E761" s="8"/>
      <c r="F761" s="9"/>
      <c r="G761" s="9"/>
      <c r="H761" s="8"/>
      <c r="I761" s="8"/>
      <c r="J761" s="15"/>
      <c r="K761" s="8"/>
      <c r="L761" s="8"/>
      <c r="M761" s="8"/>
      <c r="N761" s="8"/>
      <c r="O761" s="8"/>
    </row>
    <row r="762" spans="1:15" ht="14.25" customHeight="1" x14ac:dyDescent="0.25">
      <c r="A762" s="8"/>
      <c r="B762" s="9"/>
      <c r="C762" s="8"/>
      <c r="D762" s="8"/>
      <c r="E762" s="8"/>
      <c r="F762" s="9"/>
      <c r="G762" s="9"/>
      <c r="H762" s="8"/>
      <c r="I762" s="8"/>
      <c r="J762" s="15"/>
      <c r="K762" s="8"/>
      <c r="L762" s="8"/>
      <c r="M762" s="8"/>
      <c r="N762" s="8"/>
      <c r="O762" s="8"/>
    </row>
    <row r="763" spans="1:15" ht="14.25" customHeight="1" x14ac:dyDescent="0.25">
      <c r="A763" s="8"/>
      <c r="B763" s="9"/>
      <c r="C763" s="8"/>
      <c r="D763" s="8"/>
      <c r="E763" s="8"/>
      <c r="F763" s="9"/>
      <c r="G763" s="9"/>
      <c r="H763" s="8"/>
      <c r="I763" s="8"/>
      <c r="J763" s="15"/>
      <c r="K763" s="8"/>
      <c r="L763" s="8"/>
      <c r="M763" s="8"/>
      <c r="N763" s="8"/>
      <c r="O763" s="8"/>
    </row>
    <row r="764" spans="1:15" ht="14.25" customHeight="1" x14ac:dyDescent="0.25">
      <c r="A764" s="8"/>
      <c r="B764" s="9"/>
      <c r="C764" s="8"/>
      <c r="D764" s="8"/>
      <c r="E764" s="8"/>
      <c r="F764" s="9"/>
      <c r="G764" s="9"/>
      <c r="H764" s="8"/>
      <c r="I764" s="8"/>
      <c r="J764" s="15"/>
      <c r="K764" s="8"/>
      <c r="L764" s="8"/>
      <c r="M764" s="8"/>
      <c r="N764" s="8"/>
      <c r="O764" s="8"/>
    </row>
    <row r="765" spans="1:15" ht="14.25" customHeight="1" x14ac:dyDescent="0.25">
      <c r="A765" s="8"/>
      <c r="B765" s="9"/>
      <c r="C765" s="8"/>
      <c r="D765" s="8"/>
      <c r="E765" s="8"/>
      <c r="F765" s="9"/>
      <c r="G765" s="9"/>
      <c r="H765" s="8"/>
      <c r="I765" s="8"/>
      <c r="J765" s="15"/>
      <c r="K765" s="8"/>
      <c r="L765" s="8"/>
      <c r="M765" s="8"/>
      <c r="N765" s="8"/>
      <c r="O765" s="8"/>
    </row>
    <row r="766" spans="1:15" ht="14.25" customHeight="1" x14ac:dyDescent="0.25">
      <c r="A766" s="8"/>
      <c r="B766" s="9"/>
      <c r="C766" s="8"/>
      <c r="D766" s="8"/>
      <c r="E766" s="8"/>
      <c r="F766" s="9"/>
      <c r="G766" s="9"/>
      <c r="H766" s="8"/>
      <c r="I766" s="8"/>
      <c r="J766" s="15"/>
      <c r="K766" s="8"/>
      <c r="L766" s="8"/>
      <c r="M766" s="8"/>
      <c r="N766" s="8"/>
      <c r="O766" s="8"/>
    </row>
    <row r="767" spans="1:15" ht="14.25" customHeight="1" x14ac:dyDescent="0.25">
      <c r="A767" s="8"/>
      <c r="B767" s="9"/>
      <c r="C767" s="8"/>
      <c r="D767" s="8"/>
      <c r="E767" s="8"/>
      <c r="F767" s="9"/>
      <c r="G767" s="9"/>
      <c r="H767" s="8"/>
      <c r="I767" s="8"/>
      <c r="J767" s="15"/>
      <c r="K767" s="8"/>
      <c r="L767" s="8"/>
      <c r="M767" s="8"/>
      <c r="N767" s="8"/>
      <c r="O767" s="8"/>
    </row>
    <row r="768" spans="1:15" ht="14.25" customHeight="1" x14ac:dyDescent="0.25">
      <c r="A768" s="8"/>
      <c r="B768" s="9"/>
      <c r="C768" s="8"/>
      <c r="D768" s="8"/>
      <c r="E768" s="8"/>
      <c r="F768" s="9"/>
      <c r="G768" s="9"/>
      <c r="H768" s="8"/>
      <c r="I768" s="8"/>
      <c r="J768" s="15"/>
      <c r="K768" s="8"/>
      <c r="L768" s="8"/>
      <c r="M768" s="8"/>
      <c r="N768" s="8"/>
      <c r="O768" s="8"/>
    </row>
    <row r="769" spans="1:15" ht="14.25" customHeight="1" x14ac:dyDescent="0.25">
      <c r="A769" s="8"/>
      <c r="B769" s="9"/>
      <c r="C769" s="8"/>
      <c r="D769" s="8"/>
      <c r="E769" s="8"/>
      <c r="F769" s="9"/>
      <c r="G769" s="9"/>
      <c r="H769" s="8"/>
      <c r="I769" s="8"/>
      <c r="J769" s="15"/>
      <c r="K769" s="8"/>
      <c r="L769" s="8"/>
      <c r="M769" s="8"/>
      <c r="N769" s="8"/>
      <c r="O769" s="8"/>
    </row>
    <row r="770" spans="1:15" ht="14.25" customHeight="1" x14ac:dyDescent="0.25">
      <c r="A770" s="8"/>
      <c r="B770" s="9"/>
      <c r="C770" s="8"/>
      <c r="D770" s="8"/>
      <c r="E770" s="8"/>
      <c r="F770" s="9"/>
      <c r="G770" s="9"/>
      <c r="H770" s="8"/>
      <c r="I770" s="8"/>
      <c r="J770" s="15"/>
      <c r="K770" s="8"/>
      <c r="L770" s="8"/>
      <c r="M770" s="8"/>
      <c r="N770" s="8"/>
      <c r="O770" s="8"/>
    </row>
    <row r="771" spans="1:15" ht="14.25" customHeight="1" x14ac:dyDescent="0.25">
      <c r="A771" s="8"/>
      <c r="B771" s="9"/>
      <c r="C771" s="8"/>
      <c r="D771" s="8"/>
      <c r="E771" s="8"/>
      <c r="F771" s="9"/>
      <c r="G771" s="9"/>
      <c r="H771" s="8"/>
      <c r="I771" s="8"/>
      <c r="J771" s="15"/>
      <c r="K771" s="8"/>
      <c r="L771" s="8"/>
      <c r="M771" s="8"/>
      <c r="N771" s="8"/>
      <c r="O771" s="8"/>
    </row>
    <row r="772" spans="1:15" ht="14.25" customHeight="1" x14ac:dyDescent="0.25">
      <c r="A772" s="8"/>
      <c r="B772" s="9"/>
      <c r="C772" s="8"/>
      <c r="D772" s="8"/>
      <c r="E772" s="8"/>
      <c r="F772" s="9"/>
      <c r="G772" s="9"/>
      <c r="H772" s="8"/>
      <c r="I772" s="8"/>
      <c r="J772" s="15"/>
      <c r="K772" s="8"/>
      <c r="L772" s="8"/>
      <c r="M772" s="8"/>
      <c r="N772" s="8"/>
      <c r="O772" s="8"/>
    </row>
    <row r="773" spans="1:15" ht="14.25" customHeight="1" x14ac:dyDescent="0.25">
      <c r="A773" s="8"/>
      <c r="B773" s="9"/>
      <c r="C773" s="8"/>
      <c r="D773" s="8"/>
      <c r="E773" s="8"/>
      <c r="F773" s="9"/>
      <c r="G773" s="9"/>
      <c r="H773" s="8"/>
      <c r="I773" s="8"/>
      <c r="J773" s="15"/>
      <c r="K773" s="8"/>
      <c r="L773" s="8"/>
      <c r="M773" s="8"/>
      <c r="N773" s="8"/>
      <c r="O773" s="8"/>
    </row>
    <row r="774" spans="1:15" ht="14.25" customHeight="1" x14ac:dyDescent="0.25">
      <c r="A774" s="8"/>
      <c r="B774" s="9"/>
      <c r="C774" s="8"/>
      <c r="D774" s="8"/>
      <c r="E774" s="8"/>
      <c r="F774" s="9"/>
      <c r="G774" s="9"/>
      <c r="H774" s="8"/>
      <c r="I774" s="8"/>
      <c r="J774" s="15"/>
      <c r="K774" s="8"/>
      <c r="L774" s="8"/>
      <c r="M774" s="8"/>
      <c r="N774" s="8"/>
      <c r="O774" s="8"/>
    </row>
    <row r="775" spans="1:15" ht="14.25" customHeight="1" x14ac:dyDescent="0.25">
      <c r="A775" s="8"/>
      <c r="B775" s="9"/>
      <c r="C775" s="8"/>
      <c r="D775" s="8"/>
      <c r="E775" s="8"/>
      <c r="F775" s="9"/>
      <c r="G775" s="9"/>
      <c r="H775" s="8"/>
      <c r="I775" s="8"/>
      <c r="J775" s="15"/>
      <c r="K775" s="8"/>
      <c r="L775" s="8"/>
      <c r="M775" s="8"/>
      <c r="N775" s="8"/>
      <c r="O775" s="8"/>
    </row>
    <row r="776" spans="1:15" ht="14.25" customHeight="1" x14ac:dyDescent="0.25">
      <c r="A776" s="8"/>
      <c r="B776" s="9"/>
      <c r="C776" s="8"/>
      <c r="D776" s="8"/>
      <c r="E776" s="8"/>
      <c r="F776" s="9"/>
      <c r="G776" s="9"/>
      <c r="H776" s="8"/>
      <c r="I776" s="8"/>
      <c r="J776" s="15"/>
      <c r="K776" s="8"/>
      <c r="L776" s="8"/>
      <c r="M776" s="8"/>
      <c r="N776" s="8"/>
      <c r="O776" s="8"/>
    </row>
    <row r="777" spans="1:15" ht="14.25" customHeight="1" x14ac:dyDescent="0.25">
      <c r="A777" s="8"/>
      <c r="B777" s="9"/>
      <c r="C777" s="8"/>
      <c r="D777" s="8"/>
      <c r="E777" s="8"/>
      <c r="F777" s="9"/>
      <c r="G777" s="9"/>
      <c r="H777" s="8"/>
      <c r="I777" s="8"/>
      <c r="J777" s="15"/>
      <c r="K777" s="8"/>
      <c r="L777" s="8"/>
      <c r="M777" s="8"/>
      <c r="N777" s="8"/>
      <c r="O777" s="8"/>
    </row>
    <row r="778" spans="1:15" ht="14.25" customHeight="1" x14ac:dyDescent="0.25">
      <c r="A778" s="8"/>
      <c r="B778" s="9"/>
      <c r="C778" s="8"/>
      <c r="D778" s="8"/>
      <c r="E778" s="8"/>
      <c r="F778" s="9"/>
      <c r="G778" s="9"/>
      <c r="H778" s="8"/>
      <c r="I778" s="8"/>
      <c r="J778" s="15"/>
      <c r="K778" s="8"/>
      <c r="L778" s="8"/>
      <c r="M778" s="8"/>
      <c r="N778" s="8"/>
      <c r="O778" s="8"/>
    </row>
    <row r="779" spans="1:15" ht="14.25" customHeight="1" x14ac:dyDescent="0.25">
      <c r="A779" s="8"/>
      <c r="B779" s="9"/>
      <c r="C779" s="8"/>
      <c r="D779" s="8"/>
      <c r="E779" s="8"/>
      <c r="F779" s="9"/>
      <c r="G779" s="9"/>
      <c r="H779" s="8"/>
      <c r="I779" s="8"/>
      <c r="J779" s="15"/>
      <c r="K779" s="8"/>
      <c r="L779" s="8"/>
      <c r="M779" s="8"/>
      <c r="N779" s="8"/>
      <c r="O779" s="8"/>
    </row>
    <row r="780" spans="1:15" ht="14.25" customHeight="1" x14ac:dyDescent="0.25">
      <c r="A780" s="8"/>
      <c r="B780" s="9"/>
      <c r="C780" s="8"/>
      <c r="D780" s="8"/>
      <c r="E780" s="8"/>
      <c r="F780" s="9"/>
      <c r="G780" s="9"/>
      <c r="H780" s="8"/>
      <c r="I780" s="8"/>
      <c r="J780" s="15"/>
      <c r="K780" s="8"/>
      <c r="L780" s="8"/>
      <c r="M780" s="8"/>
      <c r="N780" s="8"/>
      <c r="O780" s="8"/>
    </row>
    <row r="781" spans="1:15" ht="14.25" customHeight="1" x14ac:dyDescent="0.25">
      <c r="A781" s="8"/>
      <c r="B781" s="9"/>
      <c r="C781" s="8"/>
      <c r="D781" s="8"/>
      <c r="E781" s="8"/>
      <c r="F781" s="9"/>
      <c r="G781" s="9"/>
      <c r="H781" s="8"/>
      <c r="I781" s="8"/>
      <c r="J781" s="15"/>
      <c r="K781" s="8"/>
      <c r="L781" s="8"/>
      <c r="M781" s="8"/>
      <c r="N781" s="8"/>
      <c r="O781" s="8"/>
    </row>
    <row r="782" spans="1:15" ht="14.25" customHeight="1" x14ac:dyDescent="0.25">
      <c r="A782" s="8"/>
      <c r="B782" s="9"/>
      <c r="C782" s="8"/>
      <c r="D782" s="8"/>
      <c r="E782" s="8"/>
      <c r="F782" s="9"/>
      <c r="G782" s="9"/>
      <c r="H782" s="8"/>
      <c r="I782" s="8"/>
      <c r="J782" s="15"/>
      <c r="K782" s="8"/>
      <c r="L782" s="8"/>
      <c r="M782" s="8"/>
      <c r="N782" s="8"/>
      <c r="O782" s="8"/>
    </row>
    <row r="783" spans="1:15" ht="14.25" customHeight="1" x14ac:dyDescent="0.25">
      <c r="A783" s="8"/>
      <c r="B783" s="9"/>
      <c r="C783" s="8"/>
      <c r="D783" s="8"/>
      <c r="E783" s="8"/>
      <c r="F783" s="9"/>
      <c r="G783" s="9"/>
      <c r="H783" s="8"/>
      <c r="I783" s="8"/>
      <c r="J783" s="15"/>
      <c r="K783" s="8"/>
      <c r="L783" s="8"/>
      <c r="M783" s="8"/>
      <c r="N783" s="8"/>
      <c r="O783" s="8"/>
    </row>
    <row r="784" spans="1:15" ht="14.25" customHeight="1" x14ac:dyDescent="0.25">
      <c r="A784" s="8"/>
      <c r="B784" s="9"/>
      <c r="C784" s="8"/>
      <c r="D784" s="8"/>
      <c r="E784" s="8"/>
      <c r="F784" s="9"/>
      <c r="G784" s="9"/>
      <c r="H784" s="8"/>
      <c r="I784" s="8"/>
      <c r="J784" s="15"/>
      <c r="K784" s="8"/>
      <c r="L784" s="8"/>
      <c r="M784" s="8"/>
      <c r="N784" s="8"/>
      <c r="O784" s="8"/>
    </row>
    <row r="785" spans="1:15" ht="14.25" customHeight="1" x14ac:dyDescent="0.25">
      <c r="A785" s="8"/>
      <c r="B785" s="9"/>
      <c r="C785" s="8"/>
      <c r="D785" s="8"/>
      <c r="E785" s="8"/>
      <c r="F785" s="9"/>
      <c r="G785" s="9"/>
      <c r="H785" s="8"/>
      <c r="I785" s="8"/>
      <c r="J785" s="15"/>
      <c r="K785" s="8"/>
      <c r="L785" s="8"/>
      <c r="M785" s="8"/>
      <c r="N785" s="8"/>
      <c r="O785" s="8"/>
    </row>
    <row r="786" spans="1:15" ht="14.25" customHeight="1" x14ac:dyDescent="0.25">
      <c r="A786" s="8"/>
      <c r="B786" s="9"/>
      <c r="C786" s="8"/>
      <c r="D786" s="8"/>
      <c r="E786" s="8"/>
      <c r="F786" s="9"/>
      <c r="G786" s="9"/>
      <c r="H786" s="8"/>
      <c r="I786" s="8"/>
      <c r="J786" s="15"/>
      <c r="K786" s="8"/>
      <c r="L786" s="8"/>
      <c r="M786" s="8"/>
      <c r="N786" s="8"/>
      <c r="O786" s="8"/>
    </row>
    <row r="787" spans="1:15" ht="14.25" customHeight="1" x14ac:dyDescent="0.25">
      <c r="A787" s="8"/>
      <c r="B787" s="9"/>
      <c r="C787" s="8"/>
      <c r="D787" s="8"/>
      <c r="E787" s="8"/>
      <c r="F787" s="9"/>
      <c r="G787" s="9"/>
      <c r="H787" s="8"/>
      <c r="I787" s="8"/>
      <c r="J787" s="15"/>
      <c r="K787" s="8"/>
      <c r="L787" s="8"/>
      <c r="M787" s="8"/>
      <c r="N787" s="8"/>
      <c r="O787" s="8"/>
    </row>
    <row r="788" spans="1:15" ht="14.25" customHeight="1" x14ac:dyDescent="0.25">
      <c r="A788" s="8"/>
      <c r="B788" s="9"/>
      <c r="C788" s="8"/>
      <c r="D788" s="8"/>
      <c r="E788" s="8"/>
      <c r="F788" s="9"/>
      <c r="G788" s="9"/>
      <c r="H788" s="8"/>
      <c r="I788" s="8"/>
      <c r="J788" s="15"/>
      <c r="K788" s="8"/>
      <c r="L788" s="8"/>
      <c r="M788" s="8"/>
      <c r="N788" s="8"/>
      <c r="O788" s="8"/>
    </row>
    <row r="789" spans="1:15" ht="14.25" customHeight="1" x14ac:dyDescent="0.25">
      <c r="A789" s="8"/>
      <c r="B789" s="9"/>
      <c r="C789" s="8"/>
      <c r="D789" s="8"/>
      <c r="E789" s="8"/>
      <c r="F789" s="9"/>
      <c r="G789" s="9"/>
      <c r="H789" s="8"/>
      <c r="I789" s="8"/>
      <c r="J789" s="15"/>
      <c r="K789" s="8"/>
      <c r="L789" s="8"/>
      <c r="M789" s="8"/>
      <c r="N789" s="8"/>
      <c r="O789" s="8"/>
    </row>
    <row r="790" spans="1:15" ht="14.25" customHeight="1" x14ac:dyDescent="0.25">
      <c r="A790" s="8"/>
      <c r="B790" s="9"/>
      <c r="C790" s="8"/>
      <c r="D790" s="8"/>
      <c r="E790" s="8"/>
      <c r="F790" s="9"/>
      <c r="G790" s="9"/>
      <c r="H790" s="8"/>
      <c r="I790" s="8"/>
      <c r="J790" s="15"/>
      <c r="K790" s="8"/>
      <c r="L790" s="8"/>
      <c r="M790" s="8"/>
      <c r="N790" s="8"/>
      <c r="O790" s="8"/>
    </row>
    <row r="791" spans="1:15" ht="14.25" customHeight="1" x14ac:dyDescent="0.25">
      <c r="A791" s="8"/>
      <c r="B791" s="9"/>
      <c r="C791" s="8"/>
      <c r="D791" s="8"/>
      <c r="E791" s="8"/>
      <c r="F791" s="9"/>
      <c r="G791" s="9"/>
      <c r="H791" s="8"/>
      <c r="I791" s="8"/>
      <c r="J791" s="15"/>
      <c r="K791" s="8"/>
      <c r="L791" s="8"/>
      <c r="M791" s="8"/>
      <c r="N791" s="8"/>
      <c r="O791" s="8"/>
    </row>
    <row r="792" spans="1:15" ht="14.25" customHeight="1" x14ac:dyDescent="0.25">
      <c r="A792" s="8"/>
      <c r="B792" s="9"/>
      <c r="C792" s="8"/>
      <c r="D792" s="8"/>
      <c r="E792" s="8"/>
      <c r="F792" s="9"/>
      <c r="G792" s="9"/>
      <c r="H792" s="8"/>
      <c r="I792" s="8"/>
      <c r="J792" s="15"/>
      <c r="K792" s="8"/>
      <c r="L792" s="8"/>
      <c r="M792" s="8"/>
      <c r="N792" s="8"/>
      <c r="O792" s="8"/>
    </row>
    <row r="793" spans="1:15" ht="14.25" customHeight="1" x14ac:dyDescent="0.25">
      <c r="A793" s="8"/>
      <c r="B793" s="9"/>
      <c r="C793" s="8"/>
      <c r="D793" s="8"/>
      <c r="E793" s="8"/>
      <c r="F793" s="9"/>
      <c r="G793" s="9"/>
      <c r="H793" s="8"/>
      <c r="I793" s="8"/>
      <c r="J793" s="15"/>
      <c r="K793" s="8"/>
      <c r="L793" s="8"/>
      <c r="M793" s="8"/>
      <c r="N793" s="8"/>
      <c r="O793" s="8"/>
    </row>
    <row r="794" spans="1:15" ht="14.25" customHeight="1" x14ac:dyDescent="0.25">
      <c r="A794" s="8"/>
      <c r="B794" s="9"/>
      <c r="C794" s="8"/>
      <c r="D794" s="8"/>
      <c r="E794" s="8"/>
      <c r="F794" s="9"/>
      <c r="G794" s="9"/>
      <c r="H794" s="8"/>
      <c r="I794" s="8"/>
      <c r="J794" s="15"/>
      <c r="K794" s="8"/>
      <c r="L794" s="8"/>
      <c r="M794" s="8"/>
      <c r="N794" s="8"/>
      <c r="O794" s="8"/>
    </row>
    <row r="795" spans="1:15" ht="14.25" customHeight="1" x14ac:dyDescent="0.25">
      <c r="A795" s="8"/>
      <c r="B795" s="9"/>
      <c r="C795" s="8"/>
      <c r="D795" s="8"/>
      <c r="E795" s="8"/>
      <c r="F795" s="9"/>
      <c r="G795" s="9"/>
      <c r="H795" s="8"/>
      <c r="I795" s="8"/>
      <c r="J795" s="15"/>
      <c r="K795" s="8"/>
      <c r="L795" s="8"/>
      <c r="M795" s="8"/>
      <c r="N795" s="8"/>
      <c r="O795" s="8"/>
    </row>
    <row r="796" spans="1:15" ht="14.25" customHeight="1" x14ac:dyDescent="0.25">
      <c r="A796" s="8"/>
      <c r="B796" s="9"/>
      <c r="C796" s="8"/>
      <c r="D796" s="8"/>
      <c r="E796" s="8"/>
      <c r="F796" s="9"/>
      <c r="G796" s="9"/>
      <c r="H796" s="8"/>
      <c r="I796" s="8"/>
      <c r="J796" s="15"/>
      <c r="K796" s="8"/>
      <c r="L796" s="8"/>
      <c r="M796" s="8"/>
      <c r="N796" s="8"/>
      <c r="O796" s="8"/>
    </row>
    <row r="797" spans="1:15" ht="14.25" customHeight="1" x14ac:dyDescent="0.25">
      <c r="A797" s="8"/>
      <c r="B797" s="9"/>
      <c r="C797" s="8"/>
      <c r="D797" s="8"/>
      <c r="E797" s="8"/>
      <c r="F797" s="9"/>
      <c r="G797" s="9"/>
      <c r="H797" s="8"/>
      <c r="I797" s="8"/>
      <c r="J797" s="15"/>
      <c r="K797" s="8"/>
      <c r="L797" s="8"/>
      <c r="M797" s="8"/>
      <c r="N797" s="8"/>
      <c r="O797" s="8"/>
    </row>
    <row r="798" spans="1:15" ht="14.25" customHeight="1" x14ac:dyDescent="0.25">
      <c r="A798" s="8"/>
      <c r="B798" s="9"/>
      <c r="C798" s="8"/>
      <c r="D798" s="8"/>
      <c r="E798" s="8"/>
      <c r="F798" s="9"/>
      <c r="G798" s="9"/>
      <c r="H798" s="8"/>
      <c r="I798" s="8"/>
      <c r="J798" s="15"/>
      <c r="K798" s="8"/>
      <c r="L798" s="8"/>
      <c r="M798" s="8"/>
      <c r="N798" s="8"/>
      <c r="O798" s="8"/>
    </row>
    <row r="799" spans="1:15" ht="14.25" customHeight="1" x14ac:dyDescent="0.25">
      <c r="A799" s="8"/>
      <c r="B799" s="9"/>
      <c r="C799" s="8"/>
      <c r="D799" s="8"/>
      <c r="E799" s="8"/>
      <c r="F799" s="9"/>
      <c r="G799" s="9"/>
      <c r="H799" s="8"/>
      <c r="I799" s="8"/>
      <c r="J799" s="15"/>
      <c r="K799" s="8"/>
      <c r="L799" s="8"/>
      <c r="M799" s="8"/>
      <c r="N799" s="8"/>
      <c r="O799" s="8"/>
    </row>
    <row r="800" spans="1:15" ht="14.25" customHeight="1" x14ac:dyDescent="0.25">
      <c r="A800" s="8"/>
      <c r="B800" s="9"/>
      <c r="C800" s="8"/>
      <c r="D800" s="8"/>
      <c r="E800" s="8"/>
      <c r="F800" s="9"/>
      <c r="G800" s="9"/>
      <c r="H800" s="8"/>
      <c r="I800" s="8"/>
      <c r="J800" s="15"/>
      <c r="K800" s="8"/>
      <c r="L800" s="8"/>
      <c r="M800" s="8"/>
      <c r="N800" s="8"/>
      <c r="O800" s="8"/>
    </row>
    <row r="801" spans="1:15" ht="14.25" customHeight="1" x14ac:dyDescent="0.25">
      <c r="A801" s="8"/>
      <c r="B801" s="9"/>
      <c r="C801" s="8"/>
      <c r="D801" s="8"/>
      <c r="E801" s="8"/>
      <c r="F801" s="9"/>
      <c r="G801" s="9"/>
      <c r="H801" s="8"/>
      <c r="I801" s="8"/>
      <c r="J801" s="15"/>
      <c r="K801" s="8"/>
      <c r="L801" s="8"/>
      <c r="M801" s="8"/>
      <c r="N801" s="8"/>
      <c r="O801" s="8"/>
    </row>
    <row r="802" spans="1:15" ht="14.25" customHeight="1" x14ac:dyDescent="0.25">
      <c r="A802" s="8"/>
      <c r="B802" s="9"/>
      <c r="C802" s="8"/>
      <c r="D802" s="8"/>
      <c r="E802" s="8"/>
      <c r="F802" s="9"/>
      <c r="G802" s="9"/>
      <c r="H802" s="8"/>
      <c r="I802" s="8"/>
      <c r="J802" s="15"/>
      <c r="K802" s="8"/>
      <c r="L802" s="8"/>
      <c r="M802" s="8"/>
      <c r="N802" s="8"/>
      <c r="O802" s="8"/>
    </row>
    <row r="803" spans="1:15" ht="14.25" customHeight="1" x14ac:dyDescent="0.25">
      <c r="A803" s="8"/>
      <c r="B803" s="9"/>
      <c r="C803" s="8"/>
      <c r="D803" s="8"/>
      <c r="E803" s="8"/>
      <c r="F803" s="9"/>
      <c r="G803" s="9"/>
      <c r="H803" s="8"/>
      <c r="I803" s="8"/>
      <c r="J803" s="15"/>
      <c r="K803" s="8"/>
      <c r="L803" s="8"/>
      <c r="M803" s="8"/>
      <c r="N803" s="8"/>
      <c r="O803" s="8"/>
    </row>
    <row r="804" spans="1:15" ht="14.25" customHeight="1" x14ac:dyDescent="0.25">
      <c r="A804" s="8"/>
      <c r="B804" s="9"/>
      <c r="C804" s="8"/>
      <c r="D804" s="8"/>
      <c r="E804" s="8"/>
      <c r="F804" s="9"/>
      <c r="G804" s="9"/>
      <c r="H804" s="8"/>
      <c r="I804" s="8"/>
      <c r="J804" s="15"/>
      <c r="K804" s="8"/>
      <c r="L804" s="8"/>
      <c r="M804" s="8"/>
      <c r="N804" s="8"/>
      <c r="O804" s="8"/>
    </row>
    <row r="805" spans="1:15" ht="14.25" customHeight="1" x14ac:dyDescent="0.25">
      <c r="A805" s="8"/>
      <c r="B805" s="9"/>
      <c r="C805" s="8"/>
      <c r="D805" s="8"/>
      <c r="E805" s="8"/>
      <c r="F805" s="9"/>
      <c r="G805" s="9"/>
      <c r="H805" s="8"/>
      <c r="I805" s="8"/>
      <c r="J805" s="15"/>
      <c r="K805" s="8"/>
      <c r="L805" s="8"/>
      <c r="M805" s="8"/>
      <c r="N805" s="8"/>
      <c r="O805" s="8"/>
    </row>
    <row r="806" spans="1:15" ht="14.25" customHeight="1" x14ac:dyDescent="0.25">
      <c r="A806" s="8"/>
      <c r="B806" s="9"/>
      <c r="C806" s="8"/>
      <c r="D806" s="8"/>
      <c r="E806" s="8"/>
      <c r="F806" s="9"/>
      <c r="G806" s="9"/>
      <c r="H806" s="8"/>
      <c r="I806" s="8"/>
      <c r="J806" s="15"/>
      <c r="K806" s="8"/>
      <c r="L806" s="8"/>
      <c r="M806" s="8"/>
      <c r="N806" s="8"/>
      <c r="O806" s="8"/>
    </row>
    <row r="807" spans="1:15" ht="14.25" customHeight="1" x14ac:dyDescent="0.25">
      <c r="A807" s="8"/>
      <c r="B807" s="9"/>
      <c r="C807" s="8"/>
      <c r="D807" s="8"/>
      <c r="E807" s="8"/>
      <c r="F807" s="9"/>
      <c r="G807" s="9"/>
      <c r="H807" s="8"/>
      <c r="I807" s="8"/>
      <c r="J807" s="15"/>
      <c r="K807" s="8"/>
      <c r="L807" s="8"/>
      <c r="M807" s="8"/>
      <c r="N807" s="8"/>
      <c r="O807" s="8"/>
    </row>
    <row r="808" spans="1:15" ht="14.25" customHeight="1" x14ac:dyDescent="0.25">
      <c r="A808" s="8"/>
      <c r="B808" s="9"/>
      <c r="C808" s="8"/>
      <c r="D808" s="8"/>
      <c r="E808" s="8"/>
      <c r="F808" s="9"/>
      <c r="G808" s="9"/>
      <c r="H808" s="8"/>
      <c r="I808" s="8"/>
      <c r="J808" s="15"/>
      <c r="K808" s="8"/>
      <c r="L808" s="8"/>
      <c r="M808" s="8"/>
      <c r="N808" s="8"/>
      <c r="O808" s="8"/>
    </row>
    <row r="809" spans="1:15" ht="14.25" customHeight="1" x14ac:dyDescent="0.25">
      <c r="A809" s="8"/>
      <c r="B809" s="9"/>
      <c r="C809" s="8"/>
      <c r="D809" s="8"/>
      <c r="E809" s="8"/>
      <c r="F809" s="9"/>
      <c r="G809" s="9"/>
      <c r="H809" s="8"/>
      <c r="I809" s="8"/>
      <c r="J809" s="15"/>
      <c r="K809" s="8"/>
      <c r="L809" s="8"/>
      <c r="M809" s="8"/>
      <c r="N809" s="8"/>
      <c r="O809" s="8"/>
    </row>
    <row r="810" spans="1:15" ht="14.25" customHeight="1" x14ac:dyDescent="0.25">
      <c r="A810" s="8"/>
      <c r="B810" s="9"/>
      <c r="C810" s="8"/>
      <c r="D810" s="8"/>
      <c r="E810" s="8"/>
      <c r="F810" s="9"/>
      <c r="G810" s="9"/>
      <c r="H810" s="8"/>
      <c r="I810" s="8"/>
      <c r="J810" s="15"/>
      <c r="K810" s="8"/>
      <c r="L810" s="8"/>
      <c r="M810" s="8"/>
      <c r="N810" s="8"/>
      <c r="O810" s="8"/>
    </row>
    <row r="811" spans="1:15" ht="14.25" customHeight="1" x14ac:dyDescent="0.25">
      <c r="A811" s="8"/>
      <c r="B811" s="9"/>
      <c r="C811" s="8"/>
      <c r="D811" s="8"/>
      <c r="E811" s="8"/>
      <c r="F811" s="9"/>
      <c r="G811" s="9"/>
      <c r="H811" s="8"/>
      <c r="I811" s="8"/>
      <c r="J811" s="15"/>
      <c r="K811" s="8"/>
      <c r="L811" s="8"/>
      <c r="M811" s="8"/>
      <c r="N811" s="8"/>
      <c r="O811" s="8"/>
    </row>
    <row r="812" spans="1:15" ht="14.25" customHeight="1" x14ac:dyDescent="0.25">
      <c r="A812" s="8"/>
      <c r="B812" s="9"/>
      <c r="C812" s="8"/>
      <c r="D812" s="8"/>
      <c r="E812" s="8"/>
      <c r="F812" s="9"/>
      <c r="G812" s="9"/>
      <c r="H812" s="8"/>
      <c r="I812" s="8"/>
      <c r="J812" s="15"/>
      <c r="K812" s="8"/>
      <c r="L812" s="8"/>
      <c r="M812" s="8"/>
      <c r="N812" s="8"/>
      <c r="O812" s="8"/>
    </row>
    <row r="813" spans="1:15" ht="14.25" customHeight="1" x14ac:dyDescent="0.25">
      <c r="A813" s="8"/>
      <c r="B813" s="9"/>
      <c r="C813" s="8"/>
      <c r="D813" s="8"/>
      <c r="E813" s="8"/>
      <c r="F813" s="9"/>
      <c r="G813" s="9"/>
      <c r="H813" s="8"/>
      <c r="I813" s="8"/>
      <c r="J813" s="15"/>
      <c r="K813" s="8"/>
      <c r="L813" s="8"/>
      <c r="M813" s="8"/>
      <c r="N813" s="8"/>
      <c r="O813" s="8"/>
    </row>
    <row r="814" spans="1:15" ht="14.25" customHeight="1" x14ac:dyDescent="0.25">
      <c r="A814" s="8"/>
      <c r="B814" s="9"/>
      <c r="C814" s="8"/>
      <c r="D814" s="8"/>
      <c r="E814" s="8"/>
      <c r="F814" s="9"/>
      <c r="G814" s="9"/>
      <c r="H814" s="8"/>
      <c r="I814" s="8"/>
      <c r="J814" s="15"/>
      <c r="K814" s="8"/>
      <c r="L814" s="8"/>
      <c r="M814" s="8"/>
      <c r="N814" s="8"/>
      <c r="O814" s="8"/>
    </row>
    <row r="815" spans="1:15" ht="14.25" customHeight="1" x14ac:dyDescent="0.25">
      <c r="A815" s="8"/>
      <c r="B815" s="9"/>
      <c r="C815" s="8"/>
      <c r="D815" s="8"/>
      <c r="E815" s="8"/>
      <c r="F815" s="9"/>
      <c r="G815" s="9"/>
      <c r="H815" s="8"/>
      <c r="I815" s="8"/>
      <c r="J815" s="15"/>
      <c r="K815" s="8"/>
      <c r="L815" s="8"/>
      <c r="M815" s="8"/>
      <c r="N815" s="8"/>
      <c r="O815" s="8"/>
    </row>
    <row r="816" spans="1:15" ht="14.25" customHeight="1" x14ac:dyDescent="0.25">
      <c r="A816" s="8"/>
      <c r="B816" s="9"/>
      <c r="C816" s="8"/>
      <c r="D816" s="8"/>
      <c r="E816" s="8"/>
      <c r="F816" s="9"/>
      <c r="G816" s="9"/>
      <c r="H816" s="8"/>
      <c r="I816" s="8"/>
      <c r="J816" s="15"/>
      <c r="K816" s="8"/>
      <c r="L816" s="8"/>
      <c r="M816" s="8"/>
      <c r="N816" s="8"/>
      <c r="O816" s="8"/>
    </row>
    <row r="817" spans="1:15" ht="14.25" customHeight="1" x14ac:dyDescent="0.25">
      <c r="A817" s="8"/>
      <c r="B817" s="9"/>
      <c r="C817" s="8"/>
      <c r="D817" s="8"/>
      <c r="E817" s="8"/>
      <c r="F817" s="9"/>
      <c r="G817" s="9"/>
      <c r="H817" s="8"/>
      <c r="I817" s="8"/>
      <c r="J817" s="15"/>
      <c r="K817" s="8"/>
      <c r="L817" s="8"/>
      <c r="M817" s="8"/>
      <c r="N817" s="8"/>
      <c r="O817" s="8"/>
    </row>
    <row r="818" spans="1:15" ht="14.25" customHeight="1" x14ac:dyDescent="0.25">
      <c r="A818" s="8"/>
      <c r="B818" s="9"/>
      <c r="C818" s="8"/>
      <c r="D818" s="8"/>
      <c r="E818" s="8"/>
      <c r="F818" s="9"/>
      <c r="G818" s="9"/>
      <c r="H818" s="8"/>
      <c r="I818" s="8"/>
      <c r="J818" s="15"/>
      <c r="K818" s="8"/>
      <c r="L818" s="8"/>
      <c r="M818" s="8"/>
      <c r="N818" s="8"/>
      <c r="O818" s="8"/>
    </row>
    <row r="819" spans="1:15" ht="14.25" customHeight="1" x14ac:dyDescent="0.25">
      <c r="A819" s="8"/>
      <c r="B819" s="9"/>
      <c r="C819" s="8"/>
      <c r="D819" s="8"/>
      <c r="E819" s="8"/>
      <c r="F819" s="9"/>
      <c r="G819" s="9"/>
      <c r="H819" s="8"/>
      <c r="I819" s="8"/>
      <c r="J819" s="15"/>
      <c r="K819" s="8"/>
      <c r="L819" s="8"/>
      <c r="M819" s="8"/>
      <c r="N819" s="8"/>
      <c r="O819" s="8"/>
    </row>
    <row r="820" spans="1:15" ht="14.25" customHeight="1" x14ac:dyDescent="0.25">
      <c r="A820" s="8"/>
      <c r="B820" s="9"/>
      <c r="C820" s="8"/>
      <c r="D820" s="8"/>
      <c r="E820" s="8"/>
      <c r="F820" s="9"/>
      <c r="G820" s="9"/>
      <c r="H820" s="8"/>
      <c r="I820" s="8"/>
      <c r="J820" s="15"/>
      <c r="K820" s="8"/>
      <c r="L820" s="8"/>
      <c r="M820" s="8"/>
      <c r="N820" s="8"/>
      <c r="O820" s="8"/>
    </row>
    <row r="821" spans="1:15" ht="14.25" customHeight="1" x14ac:dyDescent="0.25">
      <c r="A821" s="8"/>
      <c r="B821" s="9"/>
      <c r="C821" s="8"/>
      <c r="D821" s="8"/>
      <c r="E821" s="8"/>
      <c r="F821" s="9"/>
      <c r="G821" s="9"/>
      <c r="H821" s="8"/>
      <c r="I821" s="8"/>
      <c r="J821" s="15"/>
      <c r="K821" s="8"/>
      <c r="L821" s="8"/>
      <c r="M821" s="8"/>
      <c r="N821" s="8"/>
      <c r="O821" s="8"/>
    </row>
    <row r="822" spans="1:15" ht="14.25" customHeight="1" x14ac:dyDescent="0.25">
      <c r="A822" s="8"/>
      <c r="B822" s="9"/>
      <c r="C822" s="8"/>
      <c r="D822" s="8"/>
      <c r="E822" s="8"/>
      <c r="F822" s="9"/>
      <c r="G822" s="9"/>
      <c r="H822" s="8"/>
      <c r="I822" s="8"/>
      <c r="J822" s="15"/>
      <c r="K822" s="8"/>
      <c r="L822" s="8"/>
      <c r="M822" s="8"/>
      <c r="N822" s="8"/>
      <c r="O822" s="8"/>
    </row>
    <row r="823" spans="1:15" ht="14.25" customHeight="1" x14ac:dyDescent="0.25">
      <c r="A823" s="8"/>
      <c r="B823" s="9"/>
      <c r="C823" s="8"/>
      <c r="D823" s="8"/>
      <c r="E823" s="8"/>
      <c r="F823" s="9"/>
      <c r="G823" s="9"/>
      <c r="H823" s="8"/>
      <c r="I823" s="8"/>
      <c r="J823" s="15"/>
      <c r="K823" s="8"/>
      <c r="L823" s="8"/>
      <c r="M823" s="8"/>
      <c r="N823" s="8"/>
      <c r="O823" s="8"/>
    </row>
    <row r="824" spans="1:15" ht="14.25" customHeight="1" x14ac:dyDescent="0.25">
      <c r="A824" s="8"/>
      <c r="B824" s="9"/>
      <c r="C824" s="8"/>
      <c r="D824" s="8"/>
      <c r="E824" s="8"/>
      <c r="F824" s="9"/>
      <c r="G824" s="9"/>
      <c r="H824" s="8"/>
      <c r="I824" s="8"/>
      <c r="J824" s="15"/>
      <c r="K824" s="8"/>
      <c r="L824" s="8"/>
      <c r="M824" s="8"/>
      <c r="N824" s="8"/>
      <c r="O824" s="8"/>
    </row>
    <row r="825" spans="1:15" ht="14.25" customHeight="1" x14ac:dyDescent="0.25">
      <c r="A825" s="8"/>
      <c r="B825" s="9"/>
      <c r="C825" s="8"/>
      <c r="D825" s="8"/>
      <c r="E825" s="8"/>
      <c r="F825" s="9"/>
      <c r="G825" s="9"/>
      <c r="H825" s="8"/>
      <c r="I825" s="8"/>
      <c r="J825" s="15"/>
      <c r="K825" s="8"/>
      <c r="L825" s="8"/>
      <c r="M825" s="8"/>
      <c r="N825" s="8"/>
      <c r="O825" s="8"/>
    </row>
    <row r="826" spans="1:15" ht="14.25" customHeight="1" x14ac:dyDescent="0.25">
      <c r="A826" s="8"/>
      <c r="B826" s="9"/>
      <c r="C826" s="8"/>
      <c r="D826" s="8"/>
      <c r="E826" s="8"/>
      <c r="F826" s="9"/>
      <c r="G826" s="9"/>
      <c r="H826" s="8"/>
      <c r="I826" s="8"/>
      <c r="J826" s="15"/>
      <c r="K826" s="8"/>
      <c r="L826" s="8"/>
      <c r="M826" s="8"/>
      <c r="N826" s="8"/>
      <c r="O826" s="8"/>
    </row>
    <row r="827" spans="1:15" ht="14.25" customHeight="1" x14ac:dyDescent="0.25">
      <c r="A827" s="8"/>
      <c r="B827" s="9"/>
      <c r="C827" s="8"/>
      <c r="D827" s="8"/>
      <c r="E827" s="8"/>
      <c r="F827" s="9"/>
      <c r="G827" s="9"/>
      <c r="H827" s="8"/>
      <c r="I827" s="8"/>
      <c r="J827" s="15"/>
      <c r="K827" s="8"/>
      <c r="L827" s="8"/>
      <c r="M827" s="8"/>
      <c r="N827" s="8"/>
      <c r="O827" s="8"/>
    </row>
    <row r="828" spans="1:15" ht="14.25" customHeight="1" x14ac:dyDescent="0.25">
      <c r="A828" s="8"/>
      <c r="B828" s="9"/>
      <c r="C828" s="8"/>
      <c r="D828" s="8"/>
      <c r="E828" s="8"/>
      <c r="F828" s="9"/>
      <c r="G828" s="9"/>
      <c r="H828" s="8"/>
      <c r="I828" s="8"/>
      <c r="J828" s="15"/>
      <c r="K828" s="8"/>
      <c r="L828" s="8"/>
      <c r="M828" s="8"/>
      <c r="N828" s="8"/>
      <c r="O828" s="8"/>
    </row>
    <row r="829" spans="1:15" ht="14.25" customHeight="1" x14ac:dyDescent="0.25">
      <c r="A829" s="8"/>
      <c r="B829" s="9"/>
      <c r="C829" s="8"/>
      <c r="D829" s="8"/>
      <c r="E829" s="8"/>
      <c r="F829" s="9"/>
      <c r="G829" s="9"/>
      <c r="H829" s="8"/>
      <c r="I829" s="8"/>
      <c r="J829" s="15"/>
      <c r="K829" s="8"/>
      <c r="L829" s="8"/>
      <c r="M829" s="8"/>
      <c r="N829" s="8"/>
      <c r="O829" s="8"/>
    </row>
    <row r="830" spans="1:15" ht="14.25" customHeight="1" x14ac:dyDescent="0.25">
      <c r="A830" s="8"/>
      <c r="B830" s="9"/>
      <c r="C830" s="8"/>
      <c r="D830" s="8"/>
      <c r="E830" s="8"/>
      <c r="F830" s="9"/>
      <c r="G830" s="9"/>
      <c r="H830" s="8"/>
      <c r="I830" s="8"/>
      <c r="J830" s="15"/>
      <c r="K830" s="8"/>
      <c r="L830" s="8"/>
      <c r="M830" s="8"/>
      <c r="N830" s="8"/>
      <c r="O830" s="8"/>
    </row>
    <row r="831" spans="1:15" ht="14.25" customHeight="1" x14ac:dyDescent="0.25">
      <c r="A831" s="8"/>
      <c r="B831" s="9"/>
      <c r="C831" s="8"/>
      <c r="D831" s="8"/>
      <c r="E831" s="8"/>
      <c r="F831" s="9"/>
      <c r="G831" s="9"/>
      <c r="H831" s="8"/>
      <c r="I831" s="8"/>
      <c r="J831" s="15"/>
      <c r="K831" s="8"/>
      <c r="L831" s="8"/>
      <c r="M831" s="8"/>
      <c r="N831" s="8"/>
      <c r="O831" s="8"/>
    </row>
    <row r="832" spans="1:15" ht="14.25" customHeight="1" x14ac:dyDescent="0.25">
      <c r="A832" s="8"/>
      <c r="B832" s="9"/>
      <c r="C832" s="8"/>
      <c r="D832" s="8"/>
      <c r="E832" s="8"/>
      <c r="F832" s="9"/>
      <c r="G832" s="9"/>
      <c r="H832" s="8"/>
      <c r="I832" s="8"/>
      <c r="J832" s="15"/>
      <c r="K832" s="8"/>
      <c r="L832" s="8"/>
      <c r="M832" s="8"/>
      <c r="N832" s="8"/>
      <c r="O832" s="8"/>
    </row>
    <row r="833" spans="1:15" ht="14.25" customHeight="1" x14ac:dyDescent="0.25">
      <c r="A833" s="8"/>
      <c r="B833" s="9"/>
      <c r="C833" s="8"/>
      <c r="D833" s="8"/>
      <c r="E833" s="8"/>
      <c r="F833" s="9"/>
      <c r="G833" s="9"/>
      <c r="H833" s="8"/>
      <c r="I833" s="8"/>
      <c r="J833" s="15"/>
      <c r="K833" s="8"/>
      <c r="L833" s="8"/>
      <c r="M833" s="8"/>
      <c r="N833" s="8"/>
      <c r="O833" s="8"/>
    </row>
    <row r="834" spans="1:15" ht="14.25" customHeight="1" x14ac:dyDescent="0.25">
      <c r="A834" s="8"/>
      <c r="B834" s="9"/>
      <c r="C834" s="8"/>
      <c r="D834" s="8"/>
      <c r="E834" s="8"/>
      <c r="F834" s="9"/>
      <c r="G834" s="9"/>
      <c r="H834" s="8"/>
      <c r="I834" s="8"/>
      <c r="J834" s="15"/>
      <c r="K834" s="8"/>
      <c r="L834" s="8"/>
      <c r="M834" s="8"/>
      <c r="N834" s="8"/>
      <c r="O834" s="8"/>
    </row>
    <row r="835" spans="1:15" ht="14.25" customHeight="1" x14ac:dyDescent="0.25">
      <c r="A835" s="8"/>
      <c r="B835" s="9"/>
      <c r="C835" s="8"/>
      <c r="D835" s="8"/>
      <c r="E835" s="8"/>
      <c r="F835" s="9"/>
      <c r="G835" s="9"/>
      <c r="H835" s="8"/>
      <c r="I835" s="8"/>
      <c r="J835" s="15"/>
      <c r="K835" s="8"/>
      <c r="L835" s="8"/>
      <c r="M835" s="8"/>
      <c r="N835" s="8"/>
      <c r="O835" s="8"/>
    </row>
    <row r="836" spans="1:15" ht="14.25" customHeight="1" x14ac:dyDescent="0.25">
      <c r="A836" s="8"/>
      <c r="B836" s="9"/>
      <c r="C836" s="8"/>
      <c r="D836" s="8"/>
      <c r="E836" s="8"/>
      <c r="F836" s="9"/>
      <c r="G836" s="9"/>
      <c r="H836" s="8"/>
      <c r="I836" s="8"/>
      <c r="J836" s="15"/>
      <c r="K836" s="8"/>
      <c r="L836" s="8"/>
      <c r="M836" s="8"/>
      <c r="N836" s="8"/>
      <c r="O836" s="8"/>
    </row>
    <row r="837" spans="1:15" ht="14.25" customHeight="1" x14ac:dyDescent="0.25">
      <c r="A837" s="8"/>
      <c r="B837" s="9"/>
      <c r="C837" s="8"/>
      <c r="D837" s="8"/>
      <c r="E837" s="8"/>
      <c r="F837" s="9"/>
      <c r="G837" s="9"/>
      <c r="H837" s="8"/>
      <c r="I837" s="8"/>
      <c r="J837" s="15"/>
      <c r="K837" s="8"/>
      <c r="L837" s="8"/>
      <c r="M837" s="8"/>
      <c r="N837" s="8"/>
      <c r="O837" s="8"/>
    </row>
    <row r="838" spans="1:15" ht="14.25" customHeight="1" x14ac:dyDescent="0.25">
      <c r="A838" s="8"/>
      <c r="B838" s="9"/>
      <c r="C838" s="8"/>
      <c r="D838" s="8"/>
      <c r="E838" s="8"/>
      <c r="F838" s="9"/>
      <c r="G838" s="9"/>
      <c r="H838" s="8"/>
      <c r="I838" s="8"/>
      <c r="J838" s="15"/>
      <c r="K838" s="8"/>
      <c r="L838" s="8"/>
      <c r="M838" s="8"/>
      <c r="N838" s="8"/>
      <c r="O838" s="8"/>
    </row>
    <row r="839" spans="1:15" ht="14.25" customHeight="1" x14ac:dyDescent="0.25">
      <c r="A839" s="8"/>
      <c r="B839" s="9"/>
      <c r="C839" s="8"/>
      <c r="D839" s="8"/>
      <c r="E839" s="8"/>
      <c r="F839" s="9"/>
      <c r="G839" s="9"/>
      <c r="H839" s="8"/>
      <c r="I839" s="8"/>
      <c r="J839" s="15"/>
      <c r="K839" s="8"/>
      <c r="L839" s="8"/>
      <c r="M839" s="8"/>
      <c r="N839" s="8"/>
      <c r="O839" s="8"/>
    </row>
    <row r="840" spans="1:15" ht="14.25" customHeight="1" x14ac:dyDescent="0.25">
      <c r="A840" s="8"/>
      <c r="B840" s="9"/>
      <c r="C840" s="8"/>
      <c r="D840" s="8"/>
      <c r="E840" s="8"/>
      <c r="F840" s="9"/>
      <c r="G840" s="9"/>
      <c r="H840" s="8"/>
      <c r="I840" s="8"/>
      <c r="J840" s="15"/>
      <c r="K840" s="8"/>
      <c r="L840" s="8"/>
      <c r="M840" s="8"/>
      <c r="N840" s="8"/>
      <c r="O840" s="8"/>
    </row>
    <row r="841" spans="1:15" ht="14.25" customHeight="1" x14ac:dyDescent="0.25">
      <c r="A841" s="8"/>
      <c r="B841" s="9"/>
      <c r="C841" s="8"/>
      <c r="D841" s="8"/>
      <c r="E841" s="8"/>
      <c r="F841" s="9"/>
      <c r="G841" s="9"/>
      <c r="H841" s="8"/>
      <c r="I841" s="8"/>
      <c r="J841" s="15"/>
      <c r="K841" s="8"/>
      <c r="L841" s="8"/>
      <c r="M841" s="8"/>
      <c r="N841" s="8"/>
      <c r="O841" s="8"/>
    </row>
    <row r="842" spans="1:15" ht="14.25" customHeight="1" x14ac:dyDescent="0.25">
      <c r="A842" s="8"/>
      <c r="B842" s="9"/>
      <c r="C842" s="8"/>
      <c r="D842" s="8"/>
      <c r="E842" s="8"/>
      <c r="F842" s="9"/>
      <c r="G842" s="9"/>
      <c r="H842" s="8"/>
      <c r="I842" s="8"/>
      <c r="J842" s="15"/>
      <c r="K842" s="8"/>
      <c r="L842" s="8"/>
      <c r="M842" s="8"/>
      <c r="N842" s="8"/>
      <c r="O842" s="8"/>
    </row>
    <row r="843" spans="1:15" ht="14.25" customHeight="1" x14ac:dyDescent="0.25">
      <c r="A843" s="8"/>
      <c r="B843" s="9"/>
      <c r="C843" s="8"/>
      <c r="D843" s="8"/>
      <c r="E843" s="8"/>
      <c r="F843" s="9"/>
      <c r="G843" s="9"/>
      <c r="H843" s="8"/>
      <c r="I843" s="8"/>
      <c r="J843" s="15"/>
      <c r="K843" s="8"/>
      <c r="L843" s="8"/>
      <c r="M843" s="8"/>
      <c r="N843" s="8"/>
      <c r="O843" s="8"/>
    </row>
    <row r="844" spans="1:15" ht="14.25" customHeight="1" x14ac:dyDescent="0.25">
      <c r="A844" s="8"/>
      <c r="B844" s="9"/>
      <c r="C844" s="8"/>
      <c r="D844" s="8"/>
      <c r="E844" s="8"/>
      <c r="F844" s="9"/>
      <c r="G844" s="9"/>
      <c r="H844" s="8"/>
      <c r="I844" s="8"/>
      <c r="J844" s="15"/>
      <c r="K844" s="8"/>
      <c r="L844" s="8"/>
      <c r="M844" s="8"/>
      <c r="N844" s="8"/>
      <c r="O844" s="8"/>
    </row>
    <row r="845" spans="1:15" ht="14.25" customHeight="1" x14ac:dyDescent="0.25">
      <c r="A845" s="8"/>
      <c r="B845" s="9"/>
      <c r="C845" s="8"/>
      <c r="D845" s="8"/>
      <c r="E845" s="8"/>
      <c r="F845" s="9"/>
      <c r="G845" s="9"/>
      <c r="H845" s="8"/>
      <c r="I845" s="8"/>
      <c r="J845" s="15"/>
      <c r="K845" s="8"/>
      <c r="L845" s="8"/>
      <c r="M845" s="8"/>
      <c r="N845" s="8"/>
      <c r="O845" s="8"/>
    </row>
    <row r="846" spans="1:15" ht="14.25" customHeight="1" x14ac:dyDescent="0.25">
      <c r="A846" s="8"/>
      <c r="B846" s="9"/>
      <c r="C846" s="8"/>
      <c r="D846" s="8"/>
      <c r="E846" s="8"/>
      <c r="F846" s="9"/>
      <c r="G846" s="9"/>
      <c r="H846" s="8"/>
      <c r="I846" s="8"/>
      <c r="J846" s="15"/>
      <c r="K846" s="8"/>
      <c r="L846" s="8"/>
      <c r="M846" s="8"/>
      <c r="N846" s="8"/>
      <c r="O846" s="8"/>
    </row>
    <row r="847" spans="1:15" ht="14.25" customHeight="1" x14ac:dyDescent="0.25">
      <c r="A847" s="8"/>
      <c r="B847" s="9"/>
      <c r="C847" s="8"/>
      <c r="D847" s="8"/>
      <c r="E847" s="8"/>
      <c r="F847" s="9"/>
      <c r="G847" s="9"/>
      <c r="H847" s="8"/>
      <c r="I847" s="8"/>
      <c r="J847" s="15"/>
      <c r="K847" s="8"/>
      <c r="L847" s="8"/>
      <c r="M847" s="8"/>
      <c r="N847" s="8"/>
      <c r="O847" s="8"/>
    </row>
    <row r="848" spans="1:15" ht="14.25" customHeight="1" x14ac:dyDescent="0.25">
      <c r="A848" s="8"/>
      <c r="B848" s="9"/>
      <c r="C848" s="8"/>
      <c r="D848" s="8"/>
      <c r="E848" s="8"/>
      <c r="F848" s="9"/>
      <c r="G848" s="9"/>
      <c r="H848" s="8"/>
      <c r="I848" s="8"/>
      <c r="J848" s="15"/>
      <c r="K848" s="8"/>
      <c r="L848" s="8"/>
      <c r="M848" s="8"/>
      <c r="N848" s="8"/>
      <c r="O848" s="8"/>
    </row>
    <row r="849" spans="1:15" ht="14.25" customHeight="1" x14ac:dyDescent="0.25">
      <c r="A849" s="8"/>
      <c r="B849" s="9"/>
      <c r="C849" s="8"/>
      <c r="D849" s="8"/>
      <c r="E849" s="8"/>
      <c r="F849" s="9"/>
      <c r="G849" s="9"/>
      <c r="H849" s="8"/>
      <c r="I849" s="8"/>
      <c r="J849" s="15"/>
      <c r="K849" s="8"/>
      <c r="L849" s="8"/>
      <c r="M849" s="8"/>
      <c r="N849" s="8"/>
      <c r="O849" s="8"/>
    </row>
    <row r="850" spans="1:15" ht="14.25" customHeight="1" x14ac:dyDescent="0.25">
      <c r="A850" s="8"/>
      <c r="B850" s="9"/>
      <c r="C850" s="8"/>
      <c r="D850" s="8"/>
      <c r="E850" s="8"/>
      <c r="F850" s="9"/>
      <c r="G850" s="9"/>
      <c r="H850" s="8"/>
      <c r="I850" s="8"/>
      <c r="J850" s="15"/>
      <c r="K850" s="8"/>
      <c r="L850" s="8"/>
      <c r="M850" s="8"/>
      <c r="N850" s="8"/>
      <c r="O850" s="8"/>
    </row>
    <row r="851" spans="1:15" ht="14.25" customHeight="1" x14ac:dyDescent="0.25">
      <c r="A851" s="8"/>
      <c r="B851" s="9"/>
      <c r="C851" s="8"/>
      <c r="D851" s="8"/>
      <c r="E851" s="8"/>
      <c r="F851" s="9"/>
      <c r="G851" s="9"/>
      <c r="H851" s="8"/>
      <c r="I851" s="8"/>
      <c r="J851" s="15"/>
      <c r="K851" s="8"/>
      <c r="L851" s="8"/>
      <c r="M851" s="8"/>
      <c r="N851" s="8"/>
      <c r="O851" s="8"/>
    </row>
    <row r="852" spans="1:15" ht="14.25" customHeight="1" x14ac:dyDescent="0.25">
      <c r="A852" s="8"/>
      <c r="B852" s="9"/>
      <c r="C852" s="8"/>
      <c r="D852" s="8"/>
      <c r="E852" s="8"/>
      <c r="F852" s="9"/>
      <c r="G852" s="9"/>
      <c r="H852" s="8"/>
      <c r="I852" s="8"/>
      <c r="J852" s="15"/>
      <c r="K852" s="8"/>
      <c r="L852" s="8"/>
      <c r="M852" s="8"/>
      <c r="N852" s="8"/>
      <c r="O852" s="8"/>
    </row>
    <row r="853" spans="1:15" ht="14.25" customHeight="1" x14ac:dyDescent="0.25">
      <c r="A853" s="8"/>
      <c r="B853" s="9"/>
      <c r="C853" s="8"/>
      <c r="D853" s="8"/>
      <c r="E853" s="8"/>
      <c r="F853" s="9"/>
      <c r="G853" s="9"/>
      <c r="H853" s="8"/>
      <c r="I853" s="8"/>
      <c r="J853" s="15"/>
      <c r="K853" s="8"/>
      <c r="L853" s="8"/>
      <c r="M853" s="8"/>
      <c r="N853" s="8"/>
      <c r="O853" s="8"/>
    </row>
    <row r="854" spans="1:15" ht="14.25" customHeight="1" x14ac:dyDescent="0.25">
      <c r="A854" s="8"/>
      <c r="B854" s="9"/>
      <c r="C854" s="8"/>
      <c r="D854" s="8"/>
      <c r="E854" s="8"/>
      <c r="F854" s="9"/>
      <c r="G854" s="9"/>
      <c r="H854" s="8"/>
      <c r="I854" s="8"/>
      <c r="J854" s="15"/>
      <c r="K854" s="8"/>
      <c r="L854" s="8"/>
      <c r="M854" s="8"/>
      <c r="N854" s="8"/>
      <c r="O854" s="8"/>
    </row>
    <row r="855" spans="1:15" ht="14.25" customHeight="1" x14ac:dyDescent="0.25">
      <c r="A855" s="8"/>
      <c r="B855" s="9"/>
      <c r="C855" s="8"/>
      <c r="D855" s="8"/>
      <c r="E855" s="8"/>
      <c r="F855" s="9"/>
      <c r="G855" s="9"/>
      <c r="H855" s="8"/>
      <c r="I855" s="8"/>
      <c r="J855" s="15"/>
      <c r="K855" s="8"/>
      <c r="L855" s="8"/>
      <c r="M855" s="8"/>
      <c r="N855" s="8"/>
      <c r="O855" s="8"/>
    </row>
    <row r="856" spans="1:15" ht="14.25" customHeight="1" x14ac:dyDescent="0.25">
      <c r="A856" s="8"/>
      <c r="B856" s="9"/>
      <c r="C856" s="8"/>
      <c r="D856" s="8"/>
      <c r="E856" s="8"/>
      <c r="F856" s="9"/>
      <c r="G856" s="9"/>
      <c r="H856" s="8"/>
      <c r="I856" s="8"/>
      <c r="J856" s="15"/>
      <c r="K856" s="8"/>
      <c r="L856" s="8"/>
      <c r="M856" s="8"/>
      <c r="N856" s="8"/>
      <c r="O856" s="8"/>
    </row>
    <row r="857" spans="1:15" ht="14.25" customHeight="1" x14ac:dyDescent="0.25">
      <c r="A857" s="8"/>
      <c r="B857" s="9"/>
      <c r="C857" s="8"/>
      <c r="D857" s="8"/>
      <c r="E857" s="8"/>
      <c r="F857" s="9"/>
      <c r="G857" s="9"/>
      <c r="H857" s="8"/>
      <c r="I857" s="8"/>
      <c r="J857" s="15"/>
      <c r="K857" s="8"/>
      <c r="L857" s="8"/>
      <c r="M857" s="8"/>
      <c r="N857" s="8"/>
      <c r="O857" s="8"/>
    </row>
    <row r="858" spans="1:15" ht="14.25" customHeight="1" x14ac:dyDescent="0.25">
      <c r="A858" s="8"/>
      <c r="B858" s="9"/>
      <c r="C858" s="8"/>
      <c r="D858" s="8"/>
      <c r="E858" s="8"/>
      <c r="F858" s="9"/>
      <c r="G858" s="9"/>
      <c r="H858" s="8"/>
      <c r="I858" s="8"/>
      <c r="J858" s="15"/>
      <c r="K858" s="8"/>
      <c r="L858" s="8"/>
      <c r="M858" s="8"/>
      <c r="N858" s="8"/>
      <c r="O858" s="8"/>
    </row>
    <row r="859" spans="1:15" ht="14.25" customHeight="1" x14ac:dyDescent="0.25">
      <c r="A859" s="8"/>
      <c r="B859" s="9"/>
      <c r="C859" s="8"/>
      <c r="D859" s="8"/>
      <c r="E859" s="8"/>
      <c r="F859" s="9"/>
      <c r="G859" s="9"/>
      <c r="H859" s="8"/>
      <c r="I859" s="8"/>
      <c r="J859" s="15"/>
      <c r="K859" s="8"/>
      <c r="L859" s="8"/>
      <c r="M859" s="8"/>
      <c r="N859" s="8"/>
      <c r="O859" s="8"/>
    </row>
    <row r="860" spans="1:15" ht="14.25" customHeight="1" x14ac:dyDescent="0.25">
      <c r="A860" s="8"/>
      <c r="B860" s="9"/>
      <c r="C860" s="8"/>
      <c r="D860" s="8"/>
      <c r="E860" s="8"/>
      <c r="F860" s="9"/>
      <c r="G860" s="9"/>
      <c r="H860" s="8"/>
      <c r="I860" s="8"/>
      <c r="J860" s="15"/>
      <c r="K860" s="8"/>
      <c r="L860" s="8"/>
      <c r="M860" s="8"/>
      <c r="N860" s="8"/>
      <c r="O860" s="8"/>
    </row>
    <row r="861" spans="1:15" ht="14.25" customHeight="1" x14ac:dyDescent="0.25">
      <c r="A861" s="8"/>
      <c r="B861" s="9"/>
      <c r="C861" s="8"/>
      <c r="D861" s="8"/>
      <c r="E861" s="8"/>
      <c r="F861" s="9"/>
      <c r="G861" s="9"/>
      <c r="H861" s="8"/>
      <c r="I861" s="8"/>
      <c r="J861" s="15"/>
      <c r="K861" s="8"/>
      <c r="L861" s="8"/>
      <c r="M861" s="8"/>
      <c r="N861" s="8"/>
      <c r="O861" s="8"/>
    </row>
    <row r="862" spans="1:15" ht="14.25" customHeight="1" x14ac:dyDescent="0.25">
      <c r="A862" s="8"/>
      <c r="B862" s="9"/>
      <c r="C862" s="8"/>
      <c r="D862" s="8"/>
      <c r="E862" s="8"/>
      <c r="F862" s="9"/>
      <c r="G862" s="9"/>
      <c r="H862" s="8"/>
      <c r="I862" s="8"/>
      <c r="J862" s="15"/>
      <c r="K862" s="8"/>
      <c r="L862" s="8"/>
      <c r="M862" s="8"/>
      <c r="N862" s="8"/>
      <c r="O862" s="8"/>
    </row>
    <row r="863" spans="1:15" ht="14.25" customHeight="1" x14ac:dyDescent="0.25">
      <c r="A863" s="8"/>
      <c r="B863" s="9"/>
      <c r="C863" s="8"/>
      <c r="D863" s="8"/>
      <c r="E863" s="8"/>
      <c r="F863" s="9"/>
      <c r="G863" s="9"/>
      <c r="H863" s="8"/>
      <c r="I863" s="8"/>
      <c r="J863" s="15"/>
      <c r="K863" s="8"/>
      <c r="L863" s="8"/>
      <c r="M863" s="8"/>
      <c r="N863" s="8"/>
      <c r="O863" s="8"/>
    </row>
    <row r="864" spans="1:15" ht="14.25" customHeight="1" x14ac:dyDescent="0.25">
      <c r="A864" s="8"/>
      <c r="B864" s="9"/>
      <c r="C864" s="8"/>
      <c r="D864" s="8"/>
      <c r="E864" s="8"/>
      <c r="F864" s="9"/>
      <c r="G864" s="9"/>
      <c r="H864" s="8"/>
      <c r="I864" s="8"/>
      <c r="J864" s="15"/>
      <c r="K864" s="8"/>
      <c r="L864" s="8"/>
      <c r="M864" s="8"/>
      <c r="N864" s="8"/>
      <c r="O864" s="8"/>
    </row>
    <row r="865" spans="1:15" ht="14.25" customHeight="1" x14ac:dyDescent="0.25">
      <c r="A865" s="8"/>
      <c r="B865" s="9"/>
      <c r="C865" s="8"/>
      <c r="D865" s="8"/>
      <c r="E865" s="8"/>
      <c r="F865" s="9"/>
      <c r="G865" s="9"/>
      <c r="H865" s="8"/>
      <c r="I865" s="8"/>
      <c r="J865" s="15"/>
      <c r="K865" s="8"/>
      <c r="L865" s="8"/>
      <c r="M865" s="8"/>
      <c r="N865" s="8"/>
      <c r="O865" s="8"/>
    </row>
    <row r="866" spans="1:15" ht="14.25" customHeight="1" x14ac:dyDescent="0.25">
      <c r="A866" s="8"/>
      <c r="B866" s="9"/>
      <c r="C866" s="8"/>
      <c r="D866" s="8"/>
      <c r="E866" s="8"/>
      <c r="F866" s="9"/>
      <c r="G866" s="9"/>
      <c r="H866" s="8"/>
      <c r="I866" s="8"/>
      <c r="J866" s="15"/>
      <c r="K866" s="8"/>
      <c r="L866" s="8"/>
      <c r="M866" s="8"/>
      <c r="N866" s="8"/>
      <c r="O866" s="8"/>
    </row>
    <row r="867" spans="1:15" ht="14.25" customHeight="1" x14ac:dyDescent="0.25">
      <c r="A867" s="8"/>
      <c r="B867" s="9"/>
      <c r="C867" s="8"/>
      <c r="D867" s="8"/>
      <c r="E867" s="8"/>
      <c r="F867" s="9"/>
      <c r="G867" s="9"/>
      <c r="H867" s="8"/>
      <c r="I867" s="8"/>
      <c r="J867" s="15"/>
      <c r="K867" s="8"/>
      <c r="L867" s="8"/>
      <c r="M867" s="8"/>
      <c r="N867" s="8"/>
      <c r="O867" s="8"/>
    </row>
    <row r="868" spans="1:15" ht="14.25" customHeight="1" x14ac:dyDescent="0.25">
      <c r="A868" s="8"/>
      <c r="B868" s="9"/>
      <c r="C868" s="8"/>
      <c r="D868" s="8"/>
      <c r="E868" s="8"/>
      <c r="F868" s="9"/>
      <c r="G868" s="9"/>
      <c r="H868" s="8"/>
      <c r="I868" s="8"/>
      <c r="J868" s="15"/>
      <c r="K868" s="8"/>
      <c r="L868" s="8"/>
      <c r="M868" s="8"/>
      <c r="N868" s="8"/>
      <c r="O868" s="8"/>
    </row>
    <row r="869" spans="1:15" ht="14.25" customHeight="1" x14ac:dyDescent="0.25">
      <c r="A869" s="8"/>
      <c r="B869" s="9"/>
      <c r="C869" s="8"/>
      <c r="D869" s="8"/>
      <c r="E869" s="8"/>
      <c r="F869" s="9"/>
      <c r="G869" s="9"/>
      <c r="H869" s="8"/>
      <c r="I869" s="8"/>
      <c r="J869" s="15"/>
      <c r="K869" s="8"/>
      <c r="L869" s="8"/>
      <c r="M869" s="8"/>
      <c r="N869" s="8"/>
      <c r="O869" s="8"/>
    </row>
    <row r="870" spans="1:15" ht="14.25" customHeight="1" x14ac:dyDescent="0.25">
      <c r="A870" s="8"/>
      <c r="B870" s="9"/>
      <c r="C870" s="8"/>
      <c r="D870" s="8"/>
      <c r="E870" s="8"/>
      <c r="F870" s="9"/>
      <c r="G870" s="9"/>
      <c r="H870" s="8"/>
      <c r="I870" s="8"/>
      <c r="J870" s="15"/>
      <c r="K870" s="8"/>
      <c r="L870" s="8"/>
      <c r="M870" s="8"/>
      <c r="N870" s="8"/>
      <c r="O870" s="8"/>
    </row>
    <row r="871" spans="1:15" ht="14.25" customHeight="1" x14ac:dyDescent="0.25">
      <c r="A871" s="8"/>
      <c r="B871" s="9"/>
      <c r="C871" s="8"/>
      <c r="D871" s="8"/>
      <c r="E871" s="8"/>
      <c r="F871" s="9"/>
      <c r="G871" s="9"/>
      <c r="H871" s="8"/>
      <c r="I871" s="8"/>
      <c r="J871" s="15"/>
      <c r="K871" s="8"/>
      <c r="L871" s="8"/>
      <c r="M871" s="8"/>
      <c r="N871" s="8"/>
      <c r="O871" s="8"/>
    </row>
    <row r="872" spans="1:15" ht="14.25" customHeight="1" x14ac:dyDescent="0.25">
      <c r="A872" s="8"/>
      <c r="B872" s="9"/>
      <c r="C872" s="8"/>
      <c r="D872" s="8"/>
      <c r="E872" s="8"/>
      <c r="F872" s="9"/>
      <c r="G872" s="9"/>
      <c r="H872" s="8"/>
      <c r="I872" s="8"/>
      <c r="J872" s="15"/>
      <c r="K872" s="8"/>
      <c r="L872" s="8"/>
      <c r="M872" s="8"/>
      <c r="N872" s="8"/>
      <c r="O872" s="8"/>
    </row>
    <row r="873" spans="1:15" ht="14.25" customHeight="1" x14ac:dyDescent="0.25">
      <c r="A873" s="8"/>
      <c r="B873" s="9"/>
      <c r="C873" s="8"/>
      <c r="D873" s="8"/>
      <c r="E873" s="8"/>
      <c r="F873" s="9"/>
      <c r="G873" s="9"/>
      <c r="H873" s="8"/>
      <c r="I873" s="8"/>
      <c r="J873" s="15"/>
      <c r="K873" s="8"/>
      <c r="L873" s="8"/>
      <c r="M873" s="8"/>
      <c r="N873" s="8"/>
      <c r="O873" s="8"/>
    </row>
    <row r="874" spans="1:15" ht="14.25" customHeight="1" x14ac:dyDescent="0.25">
      <c r="A874" s="8"/>
      <c r="B874" s="9"/>
      <c r="C874" s="8"/>
      <c r="D874" s="8"/>
      <c r="E874" s="8"/>
      <c r="F874" s="9"/>
      <c r="G874" s="9"/>
      <c r="H874" s="8"/>
      <c r="I874" s="8"/>
      <c r="J874" s="15"/>
      <c r="K874" s="8"/>
      <c r="L874" s="8"/>
      <c r="M874" s="8"/>
      <c r="N874" s="8"/>
      <c r="O874" s="8"/>
    </row>
    <row r="875" spans="1:15" ht="14.25" customHeight="1" x14ac:dyDescent="0.25">
      <c r="A875" s="8"/>
      <c r="B875" s="9"/>
      <c r="C875" s="8"/>
      <c r="D875" s="8"/>
      <c r="E875" s="8"/>
      <c r="F875" s="9"/>
      <c r="G875" s="9"/>
      <c r="H875" s="8"/>
      <c r="I875" s="8"/>
      <c r="J875" s="15"/>
      <c r="K875" s="8"/>
      <c r="L875" s="8"/>
      <c r="M875" s="8"/>
      <c r="N875" s="8"/>
      <c r="O875" s="8"/>
    </row>
    <row r="876" spans="1:15" ht="14.25" customHeight="1" x14ac:dyDescent="0.25">
      <c r="A876" s="8"/>
      <c r="B876" s="9"/>
      <c r="C876" s="8"/>
      <c r="D876" s="8"/>
      <c r="E876" s="8"/>
      <c r="F876" s="9"/>
      <c r="G876" s="9"/>
      <c r="H876" s="8"/>
      <c r="I876" s="8"/>
      <c r="J876" s="15"/>
      <c r="K876" s="8"/>
      <c r="L876" s="8"/>
      <c r="M876" s="8"/>
      <c r="N876" s="8"/>
      <c r="O876" s="8"/>
    </row>
    <row r="877" spans="1:15" ht="14.25" customHeight="1" x14ac:dyDescent="0.25">
      <c r="A877" s="8"/>
      <c r="B877" s="9"/>
      <c r="C877" s="8"/>
      <c r="D877" s="8"/>
      <c r="E877" s="8"/>
      <c r="F877" s="9"/>
      <c r="G877" s="9"/>
      <c r="H877" s="8"/>
      <c r="I877" s="8"/>
      <c r="J877" s="15"/>
      <c r="K877" s="8"/>
      <c r="L877" s="8"/>
      <c r="M877" s="8"/>
      <c r="N877" s="8"/>
      <c r="O877" s="8"/>
    </row>
    <row r="878" spans="1:15" ht="14.25" customHeight="1" x14ac:dyDescent="0.25">
      <c r="A878" s="8"/>
      <c r="B878" s="9"/>
      <c r="C878" s="8"/>
      <c r="D878" s="8"/>
      <c r="E878" s="8"/>
      <c r="F878" s="9"/>
      <c r="G878" s="9"/>
      <c r="H878" s="8"/>
      <c r="I878" s="8"/>
      <c r="J878" s="15"/>
      <c r="K878" s="8"/>
      <c r="L878" s="8"/>
      <c r="M878" s="8"/>
      <c r="N878" s="8"/>
      <c r="O878" s="8"/>
    </row>
    <row r="879" spans="1:15" ht="14.25" customHeight="1" x14ac:dyDescent="0.25">
      <c r="A879" s="8"/>
      <c r="B879" s="9"/>
      <c r="C879" s="8"/>
      <c r="D879" s="8"/>
      <c r="E879" s="8"/>
      <c r="F879" s="9"/>
      <c r="G879" s="9"/>
      <c r="H879" s="8"/>
      <c r="I879" s="8"/>
      <c r="J879" s="15"/>
      <c r="K879" s="8"/>
      <c r="L879" s="8"/>
      <c r="M879" s="8"/>
      <c r="N879" s="8"/>
      <c r="O879" s="8"/>
    </row>
    <row r="880" spans="1:15" ht="14.25" customHeight="1" x14ac:dyDescent="0.25">
      <c r="A880" s="8"/>
      <c r="B880" s="9"/>
      <c r="C880" s="8"/>
      <c r="D880" s="8"/>
      <c r="E880" s="8"/>
      <c r="F880" s="9"/>
      <c r="G880" s="9"/>
      <c r="H880" s="8"/>
      <c r="I880" s="8"/>
      <c r="J880" s="15"/>
      <c r="K880" s="8"/>
      <c r="L880" s="8"/>
      <c r="M880" s="8"/>
      <c r="N880" s="8"/>
      <c r="O880" s="8"/>
    </row>
    <row r="881" spans="1:15" ht="14.25" customHeight="1" x14ac:dyDescent="0.25">
      <c r="A881" s="8"/>
      <c r="B881" s="9"/>
      <c r="C881" s="8"/>
      <c r="D881" s="8"/>
      <c r="E881" s="8"/>
      <c r="F881" s="9"/>
      <c r="G881" s="9"/>
      <c r="H881" s="8"/>
      <c r="I881" s="8"/>
      <c r="J881" s="15"/>
      <c r="K881" s="8"/>
      <c r="L881" s="8"/>
      <c r="M881" s="8"/>
      <c r="N881" s="8"/>
      <c r="O881" s="8"/>
    </row>
    <row r="882" spans="1:15" ht="14.25" customHeight="1" x14ac:dyDescent="0.25">
      <c r="A882" s="8"/>
      <c r="B882" s="9"/>
      <c r="C882" s="8"/>
      <c r="D882" s="8"/>
      <c r="E882" s="8"/>
      <c r="F882" s="9"/>
      <c r="G882" s="9"/>
      <c r="H882" s="8"/>
      <c r="I882" s="8"/>
      <c r="J882" s="15"/>
      <c r="K882" s="8"/>
      <c r="L882" s="8"/>
      <c r="M882" s="8"/>
      <c r="N882" s="8"/>
      <c r="O882" s="8"/>
    </row>
    <row r="883" spans="1:15" ht="14.25" customHeight="1" x14ac:dyDescent="0.25">
      <c r="A883" s="8"/>
      <c r="B883" s="9"/>
      <c r="C883" s="8"/>
      <c r="D883" s="8"/>
      <c r="E883" s="8"/>
      <c r="F883" s="9"/>
      <c r="G883" s="9"/>
      <c r="H883" s="8"/>
      <c r="I883" s="8"/>
      <c r="J883" s="15"/>
      <c r="K883" s="8"/>
      <c r="L883" s="8"/>
      <c r="M883" s="8"/>
      <c r="N883" s="8"/>
      <c r="O883" s="8"/>
    </row>
    <row r="884" spans="1:15" ht="14.25" customHeight="1" x14ac:dyDescent="0.25">
      <c r="A884" s="8"/>
      <c r="B884" s="9"/>
      <c r="C884" s="8"/>
      <c r="D884" s="8"/>
      <c r="E884" s="8"/>
      <c r="F884" s="9"/>
      <c r="G884" s="9"/>
      <c r="H884" s="8"/>
      <c r="I884" s="8"/>
      <c r="J884" s="15"/>
      <c r="K884" s="8"/>
      <c r="L884" s="8"/>
      <c r="M884" s="8"/>
      <c r="N884" s="8"/>
      <c r="O884" s="8"/>
    </row>
    <row r="885" spans="1:15" ht="14.25" customHeight="1" x14ac:dyDescent="0.25">
      <c r="A885" s="8"/>
      <c r="B885" s="9"/>
      <c r="C885" s="8"/>
      <c r="D885" s="8"/>
      <c r="E885" s="8"/>
      <c r="F885" s="9"/>
      <c r="G885" s="9"/>
      <c r="H885" s="8"/>
      <c r="I885" s="8"/>
      <c r="J885" s="15"/>
      <c r="K885" s="8"/>
      <c r="L885" s="8"/>
      <c r="M885" s="8"/>
      <c r="N885" s="8"/>
      <c r="O885" s="8"/>
    </row>
    <row r="886" spans="1:15" ht="14.25" customHeight="1" x14ac:dyDescent="0.25">
      <c r="A886" s="8"/>
      <c r="B886" s="9"/>
      <c r="C886" s="8"/>
      <c r="D886" s="8"/>
      <c r="E886" s="8"/>
      <c r="F886" s="9"/>
      <c r="G886" s="9"/>
      <c r="H886" s="8"/>
      <c r="I886" s="8"/>
      <c r="J886" s="15"/>
      <c r="K886" s="8"/>
      <c r="L886" s="8"/>
      <c r="M886" s="8"/>
      <c r="N886" s="8"/>
      <c r="O886" s="8"/>
    </row>
    <row r="887" spans="1:15" ht="14.25" customHeight="1" x14ac:dyDescent="0.25">
      <c r="A887" s="8"/>
      <c r="B887" s="9"/>
      <c r="C887" s="8"/>
      <c r="D887" s="8"/>
      <c r="E887" s="8"/>
      <c r="F887" s="9"/>
      <c r="G887" s="9"/>
      <c r="H887" s="8"/>
      <c r="I887" s="8"/>
      <c r="J887" s="15"/>
      <c r="K887" s="8"/>
      <c r="L887" s="8"/>
      <c r="M887" s="8"/>
      <c r="N887" s="8"/>
      <c r="O887" s="8"/>
    </row>
    <row r="888" spans="1:15" ht="14.25" customHeight="1" x14ac:dyDescent="0.25">
      <c r="A888" s="8"/>
      <c r="B888" s="9"/>
      <c r="C888" s="8"/>
      <c r="D888" s="8"/>
      <c r="E888" s="8"/>
      <c r="F888" s="9"/>
      <c r="G888" s="9"/>
      <c r="H888" s="8"/>
      <c r="I888" s="8"/>
      <c r="J888" s="15"/>
      <c r="K888" s="8"/>
      <c r="L888" s="8"/>
      <c r="M888" s="8"/>
      <c r="N888" s="8"/>
      <c r="O888" s="8"/>
    </row>
    <row r="889" spans="1:15" ht="14.25" customHeight="1" x14ac:dyDescent="0.25">
      <c r="A889" s="8"/>
      <c r="B889" s="9"/>
      <c r="C889" s="8"/>
      <c r="D889" s="8"/>
      <c r="E889" s="8"/>
      <c r="F889" s="9"/>
      <c r="G889" s="9"/>
      <c r="H889" s="8"/>
      <c r="I889" s="8"/>
      <c r="J889" s="15"/>
      <c r="K889" s="8"/>
      <c r="L889" s="8"/>
      <c r="M889" s="8"/>
      <c r="N889" s="8"/>
      <c r="O889" s="8"/>
    </row>
    <row r="890" spans="1:15" ht="14.25" customHeight="1" x14ac:dyDescent="0.25">
      <c r="A890" s="8"/>
      <c r="B890" s="9"/>
      <c r="C890" s="8"/>
      <c r="D890" s="8"/>
      <c r="E890" s="8"/>
      <c r="F890" s="9"/>
      <c r="G890" s="9"/>
      <c r="H890" s="8"/>
      <c r="I890" s="8"/>
      <c r="J890" s="15"/>
      <c r="K890" s="8"/>
      <c r="L890" s="8"/>
      <c r="M890" s="8"/>
      <c r="N890" s="8"/>
      <c r="O890" s="8"/>
    </row>
    <row r="891" spans="1:15" ht="14.25" customHeight="1" x14ac:dyDescent="0.25">
      <c r="A891" s="8"/>
      <c r="B891" s="9"/>
      <c r="C891" s="8"/>
      <c r="D891" s="8"/>
      <c r="E891" s="8"/>
      <c r="F891" s="9"/>
      <c r="G891" s="9"/>
      <c r="H891" s="8"/>
      <c r="I891" s="8"/>
      <c r="J891" s="15"/>
      <c r="K891" s="8"/>
      <c r="L891" s="8"/>
      <c r="M891" s="8"/>
      <c r="N891" s="8"/>
      <c r="O891" s="8"/>
    </row>
    <row r="892" spans="1:15" ht="14.25" customHeight="1" x14ac:dyDescent="0.25">
      <c r="A892" s="8"/>
      <c r="B892" s="9"/>
      <c r="C892" s="8"/>
      <c r="D892" s="8"/>
      <c r="E892" s="8"/>
      <c r="F892" s="9"/>
      <c r="G892" s="9"/>
      <c r="H892" s="8"/>
      <c r="I892" s="8"/>
      <c r="J892" s="15"/>
      <c r="K892" s="8"/>
      <c r="L892" s="8"/>
      <c r="M892" s="8"/>
      <c r="N892" s="8"/>
      <c r="O892" s="8"/>
    </row>
    <row r="893" spans="1:15" ht="14.25" customHeight="1" x14ac:dyDescent="0.25">
      <c r="A893" s="8"/>
      <c r="B893" s="9"/>
      <c r="C893" s="8"/>
      <c r="D893" s="8"/>
      <c r="E893" s="8"/>
      <c r="F893" s="9"/>
      <c r="G893" s="9"/>
      <c r="H893" s="8"/>
      <c r="I893" s="8"/>
      <c r="J893" s="15"/>
      <c r="K893" s="8"/>
      <c r="L893" s="8"/>
      <c r="M893" s="8"/>
      <c r="N893" s="8"/>
      <c r="O893" s="8"/>
    </row>
    <row r="894" spans="1:15" ht="14.25" customHeight="1" x14ac:dyDescent="0.25">
      <c r="A894" s="8"/>
      <c r="B894" s="9"/>
      <c r="C894" s="8"/>
      <c r="D894" s="8"/>
      <c r="E894" s="8"/>
      <c r="F894" s="9"/>
      <c r="G894" s="9"/>
      <c r="H894" s="8"/>
      <c r="I894" s="8"/>
      <c r="J894" s="15"/>
      <c r="K894" s="8"/>
      <c r="L894" s="8"/>
      <c r="M894" s="8"/>
      <c r="N894" s="8"/>
      <c r="O894" s="8"/>
    </row>
    <row r="895" spans="1:15" ht="14.25" customHeight="1" x14ac:dyDescent="0.25">
      <c r="A895" s="8"/>
      <c r="B895" s="9"/>
      <c r="C895" s="8"/>
      <c r="D895" s="8"/>
      <c r="E895" s="8"/>
      <c r="F895" s="9"/>
      <c r="G895" s="9"/>
      <c r="H895" s="8"/>
      <c r="I895" s="8"/>
      <c r="J895" s="15"/>
      <c r="K895" s="8"/>
      <c r="L895" s="8"/>
      <c r="M895" s="8"/>
      <c r="N895" s="8"/>
      <c r="O895" s="8"/>
    </row>
    <row r="896" spans="1:15" ht="14.25" customHeight="1" x14ac:dyDescent="0.25">
      <c r="A896" s="8"/>
      <c r="B896" s="9"/>
      <c r="C896" s="8"/>
      <c r="D896" s="8"/>
      <c r="E896" s="8"/>
      <c r="F896" s="9"/>
      <c r="G896" s="9"/>
      <c r="H896" s="8"/>
      <c r="I896" s="8"/>
      <c r="J896" s="15"/>
      <c r="K896" s="8"/>
      <c r="L896" s="8"/>
      <c r="M896" s="8"/>
      <c r="N896" s="8"/>
      <c r="O896" s="8"/>
    </row>
    <row r="897" spans="1:15" ht="14.25" customHeight="1" x14ac:dyDescent="0.25">
      <c r="A897" s="8"/>
      <c r="B897" s="9"/>
      <c r="C897" s="8"/>
      <c r="D897" s="8"/>
      <c r="E897" s="8"/>
      <c r="F897" s="9"/>
      <c r="G897" s="9"/>
      <c r="H897" s="8"/>
      <c r="I897" s="8"/>
      <c r="J897" s="15"/>
      <c r="K897" s="8"/>
      <c r="L897" s="8"/>
      <c r="M897" s="8"/>
      <c r="N897" s="8"/>
      <c r="O897" s="8"/>
    </row>
    <row r="898" spans="1:15" ht="14.25" customHeight="1" x14ac:dyDescent="0.25">
      <c r="A898" s="8"/>
      <c r="B898" s="9"/>
      <c r="C898" s="8"/>
      <c r="D898" s="8"/>
      <c r="E898" s="8"/>
      <c r="F898" s="9"/>
      <c r="G898" s="9"/>
      <c r="H898" s="8"/>
      <c r="I898" s="8"/>
      <c r="J898" s="15"/>
      <c r="K898" s="8"/>
      <c r="L898" s="8"/>
      <c r="M898" s="8"/>
      <c r="N898" s="8"/>
      <c r="O898" s="8"/>
    </row>
    <row r="899" spans="1:15" ht="14.25" customHeight="1" x14ac:dyDescent="0.25">
      <c r="A899" s="8"/>
      <c r="B899" s="9"/>
      <c r="C899" s="8"/>
      <c r="D899" s="8"/>
      <c r="E899" s="8"/>
      <c r="F899" s="9"/>
      <c r="G899" s="9"/>
      <c r="H899" s="8"/>
      <c r="I899" s="8"/>
      <c r="J899" s="15"/>
      <c r="K899" s="8"/>
      <c r="L899" s="8"/>
      <c r="M899" s="8"/>
      <c r="N899" s="8"/>
      <c r="O899" s="8"/>
    </row>
    <row r="900" spans="1:15" ht="14.25" customHeight="1" x14ac:dyDescent="0.25">
      <c r="A900" s="8"/>
      <c r="B900" s="9"/>
      <c r="C900" s="8"/>
      <c r="D900" s="8"/>
      <c r="E900" s="8"/>
      <c r="F900" s="9"/>
      <c r="G900" s="9"/>
      <c r="H900" s="8"/>
      <c r="I900" s="8"/>
      <c r="J900" s="15"/>
      <c r="K900" s="8"/>
      <c r="L900" s="8"/>
      <c r="M900" s="8"/>
      <c r="N900" s="8"/>
      <c r="O900" s="8"/>
    </row>
    <row r="901" spans="1:15" ht="14.25" customHeight="1" x14ac:dyDescent="0.25">
      <c r="A901" s="8"/>
      <c r="B901" s="9"/>
      <c r="C901" s="8"/>
      <c r="D901" s="8"/>
      <c r="E901" s="8"/>
      <c r="F901" s="9"/>
      <c r="G901" s="9"/>
      <c r="H901" s="8"/>
      <c r="I901" s="8"/>
      <c r="J901" s="15"/>
      <c r="K901" s="8"/>
      <c r="L901" s="8"/>
      <c r="M901" s="8"/>
      <c r="N901" s="8"/>
      <c r="O901" s="8"/>
    </row>
    <row r="902" spans="1:15" ht="14.25" customHeight="1" x14ac:dyDescent="0.25">
      <c r="A902" s="8"/>
      <c r="B902" s="9"/>
      <c r="C902" s="8"/>
      <c r="D902" s="8"/>
      <c r="E902" s="8"/>
      <c r="F902" s="9"/>
      <c r="G902" s="9"/>
      <c r="H902" s="8"/>
      <c r="I902" s="8"/>
      <c r="J902" s="15"/>
      <c r="K902" s="8"/>
      <c r="L902" s="8"/>
      <c r="M902" s="8"/>
      <c r="N902" s="8"/>
      <c r="O902" s="8"/>
    </row>
    <row r="903" spans="1:15" ht="14.25" customHeight="1" x14ac:dyDescent="0.25">
      <c r="A903" s="8"/>
      <c r="B903" s="9"/>
      <c r="C903" s="8"/>
      <c r="D903" s="8"/>
      <c r="E903" s="8"/>
      <c r="F903" s="9"/>
      <c r="G903" s="9"/>
      <c r="H903" s="8"/>
      <c r="I903" s="8"/>
      <c r="J903" s="15"/>
      <c r="K903" s="8"/>
      <c r="L903" s="8"/>
      <c r="M903" s="8"/>
      <c r="N903" s="8"/>
      <c r="O903" s="8"/>
    </row>
    <row r="904" spans="1:15" ht="14.25" customHeight="1" x14ac:dyDescent="0.25">
      <c r="A904" s="8"/>
      <c r="B904" s="9"/>
      <c r="C904" s="8"/>
      <c r="D904" s="8"/>
      <c r="E904" s="8"/>
      <c r="F904" s="9"/>
      <c r="G904" s="9"/>
      <c r="H904" s="8"/>
      <c r="I904" s="8"/>
      <c r="J904" s="15"/>
      <c r="K904" s="8"/>
      <c r="L904" s="8"/>
      <c r="M904" s="8"/>
      <c r="N904" s="8"/>
      <c r="O904" s="8"/>
    </row>
    <row r="905" spans="1:15" ht="14.25" customHeight="1" x14ac:dyDescent="0.25">
      <c r="A905" s="8"/>
      <c r="B905" s="9"/>
      <c r="C905" s="8"/>
      <c r="D905" s="8"/>
      <c r="E905" s="8"/>
      <c r="F905" s="9"/>
      <c r="G905" s="9"/>
      <c r="H905" s="8"/>
      <c r="I905" s="8"/>
      <c r="J905" s="15"/>
      <c r="K905" s="8"/>
      <c r="L905" s="8"/>
      <c r="M905" s="8"/>
      <c r="N905" s="8"/>
      <c r="O905" s="8"/>
    </row>
    <row r="906" spans="1:15" ht="14.25" customHeight="1" x14ac:dyDescent="0.25">
      <c r="A906" s="8"/>
      <c r="B906" s="9"/>
      <c r="C906" s="8"/>
      <c r="D906" s="8"/>
      <c r="E906" s="8"/>
      <c r="F906" s="9"/>
      <c r="G906" s="9"/>
      <c r="H906" s="8"/>
      <c r="I906" s="8"/>
      <c r="J906" s="15"/>
      <c r="K906" s="8"/>
      <c r="L906" s="8"/>
      <c r="M906" s="8"/>
      <c r="N906" s="8"/>
      <c r="O906" s="8"/>
    </row>
    <row r="907" spans="1:15" ht="14.25" customHeight="1" x14ac:dyDescent="0.25">
      <c r="A907" s="8"/>
      <c r="B907" s="9"/>
      <c r="C907" s="8"/>
      <c r="D907" s="8"/>
      <c r="E907" s="8"/>
      <c r="F907" s="9"/>
      <c r="G907" s="9"/>
      <c r="H907" s="8"/>
      <c r="I907" s="8"/>
      <c r="J907" s="15"/>
      <c r="K907" s="8"/>
      <c r="L907" s="8"/>
      <c r="M907" s="8"/>
      <c r="N907" s="8"/>
      <c r="O907" s="8"/>
    </row>
    <row r="908" spans="1:15" ht="14.25" customHeight="1" x14ac:dyDescent="0.25">
      <c r="A908" s="8"/>
      <c r="B908" s="9"/>
      <c r="C908" s="8"/>
      <c r="D908" s="8"/>
      <c r="E908" s="8"/>
      <c r="F908" s="9"/>
      <c r="G908" s="9"/>
      <c r="H908" s="8"/>
      <c r="I908" s="8"/>
      <c r="J908" s="15"/>
      <c r="K908" s="8"/>
      <c r="L908" s="8"/>
      <c r="M908" s="8"/>
      <c r="N908" s="8"/>
      <c r="O908" s="8"/>
    </row>
    <row r="909" spans="1:15" ht="14.25" customHeight="1" x14ac:dyDescent="0.25">
      <c r="A909" s="8"/>
      <c r="B909" s="9"/>
      <c r="C909" s="8"/>
      <c r="D909" s="8"/>
      <c r="E909" s="8"/>
      <c r="F909" s="9"/>
      <c r="G909" s="9"/>
      <c r="H909" s="8"/>
      <c r="I909" s="8"/>
      <c r="J909" s="15"/>
      <c r="K909" s="8"/>
      <c r="L909" s="8"/>
      <c r="M909" s="8"/>
      <c r="N909" s="8"/>
      <c r="O909" s="8"/>
    </row>
    <row r="910" spans="1:15" ht="14.25" customHeight="1" x14ac:dyDescent="0.25">
      <c r="A910" s="8"/>
      <c r="B910" s="9"/>
      <c r="C910" s="8"/>
      <c r="D910" s="8"/>
      <c r="E910" s="8"/>
      <c r="F910" s="9"/>
      <c r="G910" s="9"/>
      <c r="H910" s="8"/>
      <c r="I910" s="8"/>
      <c r="J910" s="15"/>
      <c r="K910" s="8"/>
      <c r="L910" s="8"/>
      <c r="M910" s="8"/>
      <c r="N910" s="8"/>
      <c r="O910" s="8"/>
    </row>
    <row r="911" spans="1:15" ht="14.25" customHeight="1" x14ac:dyDescent="0.25">
      <c r="A911" s="8"/>
      <c r="B911" s="9"/>
      <c r="C911" s="8"/>
      <c r="D911" s="8"/>
      <c r="E911" s="8"/>
      <c r="F911" s="9"/>
      <c r="G911" s="9"/>
      <c r="H911" s="8"/>
      <c r="I911" s="8"/>
      <c r="J911" s="15"/>
      <c r="K911" s="8"/>
      <c r="L911" s="8"/>
      <c r="M911" s="8"/>
      <c r="N911" s="8"/>
      <c r="O911" s="8"/>
    </row>
    <row r="912" spans="1:15" ht="14.25" customHeight="1" x14ac:dyDescent="0.25">
      <c r="A912" s="8"/>
      <c r="B912" s="9"/>
      <c r="C912" s="8"/>
      <c r="D912" s="8"/>
      <c r="E912" s="8"/>
      <c r="F912" s="9"/>
      <c r="G912" s="9"/>
      <c r="H912" s="8"/>
      <c r="I912" s="8"/>
      <c r="J912" s="15"/>
      <c r="K912" s="8"/>
      <c r="L912" s="8"/>
      <c r="M912" s="8"/>
      <c r="N912" s="8"/>
      <c r="O912" s="8"/>
    </row>
    <row r="913" spans="1:15" ht="14.25" customHeight="1" x14ac:dyDescent="0.25">
      <c r="A913" s="8"/>
      <c r="B913" s="9"/>
      <c r="C913" s="8"/>
      <c r="D913" s="8"/>
      <c r="E913" s="8"/>
      <c r="F913" s="9"/>
      <c r="G913" s="9"/>
      <c r="H913" s="8"/>
      <c r="I913" s="8"/>
      <c r="J913" s="15"/>
      <c r="K913" s="8"/>
      <c r="L913" s="8"/>
      <c r="M913" s="8"/>
      <c r="N913" s="8"/>
      <c r="O913" s="8"/>
    </row>
    <row r="914" spans="1:15" ht="14.25" customHeight="1" x14ac:dyDescent="0.25">
      <c r="A914" s="8"/>
      <c r="B914" s="9"/>
      <c r="C914" s="8"/>
      <c r="D914" s="8"/>
      <c r="E914" s="8"/>
      <c r="F914" s="9"/>
      <c r="G914" s="9"/>
      <c r="H914" s="8"/>
      <c r="I914" s="8"/>
      <c r="J914" s="15"/>
      <c r="K914" s="8"/>
      <c r="L914" s="8"/>
      <c r="M914" s="8"/>
      <c r="N914" s="8"/>
      <c r="O914" s="8"/>
    </row>
    <row r="915" spans="1:15" ht="14.25" customHeight="1" x14ac:dyDescent="0.25">
      <c r="A915" s="8"/>
      <c r="B915" s="9"/>
      <c r="C915" s="8"/>
      <c r="D915" s="8"/>
      <c r="E915" s="8"/>
      <c r="F915" s="9"/>
      <c r="G915" s="9"/>
      <c r="H915" s="8"/>
      <c r="I915" s="8"/>
      <c r="J915" s="15"/>
      <c r="K915" s="8"/>
      <c r="L915" s="8"/>
      <c r="M915" s="8"/>
      <c r="N915" s="8"/>
      <c r="O915" s="8"/>
    </row>
    <row r="916" spans="1:15" ht="14.25" customHeight="1" x14ac:dyDescent="0.25">
      <c r="A916" s="8"/>
      <c r="B916" s="9"/>
      <c r="C916" s="8"/>
      <c r="D916" s="8"/>
      <c r="E916" s="8"/>
      <c r="F916" s="9"/>
      <c r="G916" s="9"/>
      <c r="H916" s="8"/>
      <c r="I916" s="8"/>
      <c r="J916" s="15"/>
      <c r="K916" s="8"/>
      <c r="L916" s="8"/>
      <c r="M916" s="8"/>
      <c r="N916" s="8"/>
      <c r="O916" s="8"/>
    </row>
    <row r="917" spans="1:15" ht="14.25" customHeight="1" x14ac:dyDescent="0.25">
      <c r="A917" s="8"/>
      <c r="B917" s="9"/>
      <c r="C917" s="8"/>
      <c r="D917" s="8"/>
      <c r="E917" s="8"/>
      <c r="F917" s="9"/>
      <c r="G917" s="9"/>
      <c r="H917" s="8"/>
      <c r="I917" s="8"/>
      <c r="J917" s="15"/>
      <c r="K917" s="8"/>
      <c r="L917" s="8"/>
      <c r="M917" s="8"/>
      <c r="N917" s="8"/>
      <c r="O917" s="8"/>
    </row>
    <row r="918" spans="1:15" ht="14.25" customHeight="1" x14ac:dyDescent="0.25">
      <c r="A918" s="8"/>
      <c r="B918" s="9"/>
      <c r="C918" s="8"/>
      <c r="D918" s="8"/>
      <c r="E918" s="8"/>
      <c r="F918" s="9"/>
      <c r="G918" s="9"/>
      <c r="H918" s="8"/>
      <c r="I918" s="8"/>
      <c r="J918" s="15"/>
      <c r="K918" s="8"/>
      <c r="L918" s="8"/>
      <c r="M918" s="8"/>
      <c r="N918" s="8"/>
      <c r="O918" s="8"/>
    </row>
    <row r="919" spans="1:15" ht="14.25" customHeight="1" x14ac:dyDescent="0.25">
      <c r="A919" s="8"/>
      <c r="B919" s="9"/>
      <c r="C919" s="8"/>
      <c r="D919" s="8"/>
      <c r="E919" s="8"/>
      <c r="F919" s="9"/>
      <c r="G919" s="9"/>
      <c r="H919" s="8"/>
      <c r="I919" s="8"/>
      <c r="J919" s="15"/>
      <c r="K919" s="8"/>
      <c r="L919" s="8"/>
      <c r="M919" s="8"/>
      <c r="N919" s="8"/>
      <c r="O919" s="8"/>
    </row>
    <row r="920" spans="1:15" ht="14.25" customHeight="1" x14ac:dyDescent="0.25">
      <c r="A920" s="8"/>
      <c r="B920" s="9"/>
      <c r="C920" s="8"/>
      <c r="D920" s="8"/>
      <c r="E920" s="8"/>
      <c r="F920" s="9"/>
      <c r="G920" s="9"/>
      <c r="H920" s="8"/>
      <c r="I920" s="8"/>
      <c r="J920" s="15"/>
      <c r="K920" s="8"/>
      <c r="L920" s="8"/>
      <c r="M920" s="8"/>
      <c r="N920" s="8"/>
      <c r="O920" s="8"/>
    </row>
    <row r="921" spans="1:15" ht="14.25" customHeight="1" x14ac:dyDescent="0.25">
      <c r="A921" s="8"/>
      <c r="B921" s="9"/>
      <c r="C921" s="8"/>
      <c r="D921" s="8"/>
      <c r="E921" s="8"/>
      <c r="F921" s="9"/>
      <c r="G921" s="9"/>
      <c r="H921" s="8"/>
      <c r="I921" s="8"/>
      <c r="J921" s="15"/>
      <c r="K921" s="8"/>
      <c r="L921" s="8"/>
      <c r="M921" s="8"/>
      <c r="N921" s="8"/>
      <c r="O921" s="8"/>
    </row>
    <row r="922" spans="1:15" ht="14.25" customHeight="1" x14ac:dyDescent="0.25">
      <c r="A922" s="8"/>
      <c r="B922" s="9"/>
      <c r="C922" s="8"/>
      <c r="D922" s="8"/>
      <c r="E922" s="8"/>
      <c r="F922" s="9"/>
      <c r="G922" s="9"/>
      <c r="H922" s="8"/>
      <c r="I922" s="8"/>
      <c r="J922" s="15"/>
      <c r="K922" s="8"/>
      <c r="L922" s="8"/>
      <c r="M922" s="8"/>
      <c r="N922" s="8"/>
      <c r="O922" s="8"/>
    </row>
    <row r="923" spans="1:15" ht="14.25" customHeight="1" x14ac:dyDescent="0.25">
      <c r="A923" s="8"/>
      <c r="B923" s="9"/>
      <c r="C923" s="8"/>
      <c r="D923" s="8"/>
      <c r="E923" s="8"/>
      <c r="F923" s="9"/>
      <c r="G923" s="9"/>
      <c r="H923" s="8"/>
      <c r="I923" s="8"/>
      <c r="J923" s="15"/>
      <c r="K923" s="8"/>
      <c r="L923" s="8"/>
      <c r="M923" s="8"/>
      <c r="N923" s="8"/>
      <c r="O923" s="8"/>
    </row>
    <row r="924" spans="1:15" ht="14.25" customHeight="1" x14ac:dyDescent="0.25">
      <c r="A924" s="8"/>
      <c r="B924" s="9"/>
      <c r="C924" s="8"/>
      <c r="D924" s="8"/>
      <c r="E924" s="8"/>
      <c r="F924" s="9"/>
      <c r="G924" s="9"/>
      <c r="H924" s="8"/>
      <c r="I924" s="8"/>
      <c r="J924" s="15"/>
      <c r="K924" s="8"/>
      <c r="L924" s="8"/>
      <c r="M924" s="8"/>
      <c r="N924" s="8"/>
      <c r="O924" s="8"/>
    </row>
    <row r="925" spans="1:15" ht="14.25" customHeight="1" x14ac:dyDescent="0.25">
      <c r="A925" s="8"/>
      <c r="B925" s="9"/>
      <c r="C925" s="8"/>
      <c r="D925" s="8"/>
      <c r="E925" s="8"/>
      <c r="F925" s="9"/>
      <c r="G925" s="9"/>
      <c r="H925" s="8"/>
      <c r="I925" s="8"/>
      <c r="J925" s="15"/>
      <c r="K925" s="8"/>
      <c r="L925" s="8"/>
      <c r="M925" s="8"/>
      <c r="N925" s="8"/>
      <c r="O925" s="8"/>
    </row>
    <row r="926" spans="1:15" ht="14.25" customHeight="1" x14ac:dyDescent="0.25">
      <c r="A926" s="8"/>
      <c r="B926" s="9"/>
      <c r="C926" s="8"/>
      <c r="D926" s="8"/>
      <c r="E926" s="8"/>
      <c r="F926" s="9"/>
      <c r="G926" s="9"/>
      <c r="H926" s="8"/>
      <c r="I926" s="8"/>
      <c r="J926" s="15"/>
      <c r="K926" s="8"/>
      <c r="L926" s="8"/>
      <c r="M926" s="8"/>
      <c r="N926" s="8"/>
      <c r="O926" s="8"/>
    </row>
    <row r="927" spans="1:15" ht="14.25" customHeight="1" x14ac:dyDescent="0.25">
      <c r="A927" s="8"/>
      <c r="B927" s="9"/>
      <c r="C927" s="8"/>
      <c r="D927" s="8"/>
      <c r="E927" s="8"/>
      <c r="F927" s="9"/>
      <c r="G927" s="9"/>
      <c r="H927" s="8"/>
      <c r="I927" s="8"/>
      <c r="J927" s="15"/>
      <c r="K927" s="8"/>
      <c r="L927" s="8"/>
      <c r="M927" s="8"/>
      <c r="N927" s="8"/>
      <c r="O927" s="8"/>
    </row>
    <row r="928" spans="1:15" ht="14.25" customHeight="1" x14ac:dyDescent="0.25">
      <c r="A928" s="8"/>
      <c r="B928" s="9"/>
      <c r="C928" s="8"/>
      <c r="D928" s="8"/>
      <c r="E928" s="8"/>
      <c r="F928" s="9"/>
      <c r="G928" s="9"/>
      <c r="H928" s="8"/>
      <c r="I928" s="8"/>
      <c r="J928" s="15"/>
      <c r="K928" s="8"/>
      <c r="L928" s="8"/>
      <c r="M928" s="8"/>
      <c r="N928" s="8"/>
      <c r="O928" s="8"/>
    </row>
    <row r="929" spans="1:15" ht="14.25" customHeight="1" x14ac:dyDescent="0.25">
      <c r="A929" s="8"/>
      <c r="B929" s="9"/>
      <c r="C929" s="8"/>
      <c r="D929" s="8"/>
      <c r="E929" s="8"/>
      <c r="F929" s="9"/>
      <c r="G929" s="9"/>
      <c r="H929" s="8"/>
      <c r="I929" s="8"/>
      <c r="J929" s="15"/>
      <c r="K929" s="8"/>
      <c r="L929" s="8"/>
      <c r="M929" s="8"/>
      <c r="N929" s="8"/>
      <c r="O929" s="8"/>
    </row>
    <row r="930" spans="1:15" ht="14.25" customHeight="1" x14ac:dyDescent="0.25">
      <c r="A930" s="8"/>
      <c r="B930" s="9"/>
      <c r="C930" s="8"/>
      <c r="D930" s="8"/>
      <c r="E930" s="8"/>
      <c r="F930" s="9"/>
      <c r="G930" s="9"/>
      <c r="H930" s="8"/>
      <c r="I930" s="8"/>
      <c r="J930" s="15"/>
      <c r="K930" s="8"/>
      <c r="L930" s="8"/>
      <c r="M930" s="8"/>
      <c r="N930" s="8"/>
      <c r="O930" s="8"/>
    </row>
    <row r="931" spans="1:15" ht="14.25" customHeight="1" x14ac:dyDescent="0.25">
      <c r="A931" s="8"/>
      <c r="B931" s="9"/>
      <c r="C931" s="8"/>
      <c r="D931" s="8"/>
      <c r="E931" s="8"/>
      <c r="F931" s="9"/>
      <c r="G931" s="9"/>
      <c r="H931" s="8"/>
      <c r="I931" s="8"/>
      <c r="J931" s="15"/>
      <c r="K931" s="8"/>
      <c r="L931" s="8"/>
      <c r="M931" s="8"/>
      <c r="N931" s="8"/>
      <c r="O931" s="8"/>
    </row>
    <row r="932" spans="1:15" ht="14.25" customHeight="1" x14ac:dyDescent="0.25">
      <c r="A932" s="8"/>
      <c r="B932" s="9"/>
      <c r="C932" s="8"/>
      <c r="D932" s="8"/>
      <c r="E932" s="8"/>
      <c r="F932" s="9"/>
      <c r="G932" s="9"/>
      <c r="H932" s="8"/>
      <c r="I932" s="8"/>
      <c r="J932" s="15"/>
      <c r="K932" s="8"/>
      <c r="L932" s="8"/>
      <c r="M932" s="8"/>
      <c r="N932" s="8"/>
      <c r="O932" s="8"/>
    </row>
    <row r="933" spans="1:15" ht="14.25" customHeight="1" x14ac:dyDescent="0.25">
      <c r="A933" s="8"/>
      <c r="B933" s="9"/>
      <c r="C933" s="8"/>
      <c r="D933" s="8"/>
      <c r="E933" s="8"/>
      <c r="F933" s="9"/>
      <c r="G933" s="9"/>
      <c r="H933" s="8"/>
      <c r="I933" s="8"/>
      <c r="J933" s="15"/>
      <c r="K933" s="8"/>
      <c r="L933" s="8"/>
      <c r="M933" s="8"/>
      <c r="N933" s="8"/>
      <c r="O933" s="8"/>
    </row>
    <row r="934" spans="1:15" ht="14.25" customHeight="1" x14ac:dyDescent="0.25">
      <c r="A934" s="8"/>
      <c r="B934" s="9"/>
      <c r="C934" s="8"/>
      <c r="D934" s="8"/>
      <c r="E934" s="8"/>
      <c r="F934" s="9"/>
      <c r="G934" s="9"/>
      <c r="H934" s="8"/>
      <c r="I934" s="8"/>
      <c r="J934" s="15"/>
      <c r="K934" s="8"/>
      <c r="L934" s="8"/>
      <c r="M934" s="8"/>
      <c r="N934" s="8"/>
      <c r="O934" s="8"/>
    </row>
    <row r="935" spans="1:15" ht="14.25" customHeight="1" x14ac:dyDescent="0.25">
      <c r="A935" s="8"/>
      <c r="B935" s="9"/>
      <c r="C935" s="8"/>
      <c r="D935" s="8"/>
      <c r="E935" s="8"/>
      <c r="F935" s="9"/>
      <c r="G935" s="9"/>
      <c r="H935" s="8"/>
      <c r="I935" s="8"/>
      <c r="J935" s="15"/>
      <c r="K935" s="8"/>
      <c r="L935" s="8"/>
      <c r="M935" s="8"/>
      <c r="N935" s="8"/>
      <c r="O935" s="8"/>
    </row>
    <row r="936" spans="1:15" ht="14.25" customHeight="1" x14ac:dyDescent="0.25">
      <c r="A936" s="8"/>
      <c r="B936" s="9"/>
      <c r="C936" s="8"/>
      <c r="D936" s="8"/>
      <c r="E936" s="8"/>
      <c r="F936" s="9"/>
      <c r="G936" s="9"/>
      <c r="H936" s="8"/>
      <c r="I936" s="8"/>
      <c r="J936" s="15"/>
      <c r="K936" s="8"/>
      <c r="L936" s="8"/>
      <c r="M936" s="8"/>
      <c r="N936" s="8"/>
      <c r="O936" s="8"/>
    </row>
    <row r="937" spans="1:15" ht="14.25" customHeight="1" x14ac:dyDescent="0.25">
      <c r="A937" s="8"/>
      <c r="B937" s="9"/>
      <c r="C937" s="8"/>
      <c r="D937" s="8"/>
      <c r="E937" s="8"/>
      <c r="F937" s="9"/>
      <c r="G937" s="9"/>
      <c r="H937" s="8"/>
      <c r="I937" s="8"/>
      <c r="J937" s="15"/>
      <c r="K937" s="8"/>
      <c r="L937" s="8"/>
      <c r="M937" s="8"/>
      <c r="N937" s="8"/>
      <c r="O937" s="8"/>
    </row>
    <row r="938" spans="1:15" ht="14.25" customHeight="1" x14ac:dyDescent="0.25">
      <c r="A938" s="8"/>
      <c r="B938" s="9"/>
      <c r="C938" s="8"/>
      <c r="D938" s="8"/>
      <c r="E938" s="8"/>
      <c r="F938" s="9"/>
      <c r="G938" s="9"/>
      <c r="H938" s="8"/>
      <c r="I938" s="8"/>
      <c r="J938" s="15"/>
      <c r="K938" s="8"/>
      <c r="L938" s="8"/>
      <c r="M938" s="8"/>
      <c r="N938" s="8"/>
      <c r="O938" s="8"/>
    </row>
    <row r="939" spans="1:15" ht="14.25" customHeight="1" x14ac:dyDescent="0.25">
      <c r="A939" s="8"/>
      <c r="B939" s="9"/>
      <c r="C939" s="8"/>
      <c r="D939" s="8"/>
      <c r="E939" s="8"/>
      <c r="F939" s="9"/>
      <c r="G939" s="9"/>
      <c r="H939" s="8"/>
      <c r="I939" s="8"/>
      <c r="J939" s="15"/>
      <c r="K939" s="8"/>
      <c r="L939" s="8"/>
      <c r="M939" s="8"/>
      <c r="N939" s="8"/>
      <c r="O939" s="8"/>
    </row>
    <row r="940" spans="1:15" ht="14.25" customHeight="1" x14ac:dyDescent="0.25">
      <c r="A940" s="8"/>
      <c r="B940" s="9"/>
      <c r="C940" s="8"/>
      <c r="D940" s="8"/>
      <c r="E940" s="8"/>
      <c r="F940" s="9"/>
      <c r="G940" s="9"/>
      <c r="H940" s="8"/>
      <c r="I940" s="8"/>
      <c r="J940" s="15"/>
      <c r="K940" s="8"/>
      <c r="L940" s="8"/>
      <c r="M940" s="8"/>
      <c r="N940" s="8"/>
      <c r="O940" s="8"/>
    </row>
    <row r="941" spans="1:15" ht="14.25" customHeight="1" x14ac:dyDescent="0.25">
      <c r="A941" s="8"/>
      <c r="B941" s="9"/>
      <c r="C941" s="8"/>
      <c r="D941" s="8"/>
      <c r="E941" s="8"/>
      <c r="F941" s="9"/>
      <c r="G941" s="9"/>
      <c r="H941" s="8"/>
      <c r="I941" s="8"/>
      <c r="J941" s="15"/>
      <c r="K941" s="8"/>
      <c r="L941" s="8"/>
      <c r="M941" s="8"/>
      <c r="N941" s="8"/>
      <c r="O941" s="8"/>
    </row>
    <row r="942" spans="1:15" ht="14.25" customHeight="1" x14ac:dyDescent="0.25">
      <c r="A942" s="8"/>
      <c r="B942" s="9"/>
      <c r="C942" s="8"/>
      <c r="D942" s="8"/>
      <c r="E942" s="8"/>
      <c r="F942" s="9"/>
      <c r="G942" s="9"/>
      <c r="H942" s="8"/>
      <c r="I942" s="8"/>
      <c r="J942" s="15"/>
      <c r="K942" s="8"/>
      <c r="L942" s="8"/>
      <c r="M942" s="8"/>
      <c r="N942" s="8"/>
      <c r="O942" s="8"/>
    </row>
    <row r="943" spans="1:15" ht="14.25" customHeight="1" x14ac:dyDescent="0.25">
      <c r="A943" s="8"/>
      <c r="B943" s="9"/>
      <c r="C943" s="8"/>
      <c r="D943" s="8"/>
      <c r="E943" s="8"/>
      <c r="F943" s="9"/>
      <c r="G943" s="9"/>
      <c r="H943" s="8"/>
      <c r="I943" s="8"/>
      <c r="J943" s="15"/>
      <c r="K943" s="8"/>
      <c r="L943" s="8"/>
      <c r="M943" s="8"/>
      <c r="N943" s="8"/>
      <c r="O943" s="8"/>
    </row>
    <row r="944" spans="1:15" ht="14.25" customHeight="1" x14ac:dyDescent="0.25">
      <c r="A944" s="8"/>
      <c r="B944" s="9"/>
      <c r="C944" s="8"/>
      <c r="D944" s="8"/>
      <c r="E944" s="8"/>
      <c r="F944" s="9"/>
      <c r="G944" s="9"/>
      <c r="H944" s="8"/>
      <c r="I944" s="8"/>
      <c r="J944" s="15"/>
      <c r="K944" s="8"/>
      <c r="L944" s="8"/>
      <c r="M944" s="8"/>
      <c r="N944" s="8"/>
      <c r="O944" s="8"/>
    </row>
    <row r="945" spans="1:15" ht="14.25" customHeight="1" x14ac:dyDescent="0.25">
      <c r="A945" s="8"/>
      <c r="B945" s="9"/>
      <c r="C945" s="8"/>
      <c r="D945" s="8"/>
      <c r="E945" s="8"/>
      <c r="F945" s="9"/>
      <c r="G945" s="9"/>
      <c r="H945" s="8"/>
      <c r="I945" s="8"/>
      <c r="J945" s="15"/>
      <c r="K945" s="8"/>
      <c r="L945" s="8"/>
      <c r="M945" s="8"/>
      <c r="N945" s="8"/>
      <c r="O945" s="8"/>
    </row>
    <row r="946" spans="1:15" ht="14.25" customHeight="1" x14ac:dyDescent="0.25">
      <c r="A946" s="8"/>
      <c r="B946" s="9"/>
      <c r="C946" s="8"/>
      <c r="D946" s="8"/>
      <c r="E946" s="8"/>
      <c r="F946" s="9"/>
      <c r="G946" s="9"/>
      <c r="H946" s="8"/>
      <c r="I946" s="8"/>
      <c r="J946" s="15"/>
      <c r="K946" s="8"/>
      <c r="L946" s="8"/>
      <c r="M946" s="8"/>
      <c r="N946" s="8"/>
      <c r="O946" s="8"/>
    </row>
    <row r="947" spans="1:15" ht="14.25" customHeight="1" x14ac:dyDescent="0.25">
      <c r="A947" s="8"/>
      <c r="B947" s="9"/>
      <c r="C947" s="8"/>
      <c r="D947" s="8"/>
      <c r="E947" s="8"/>
      <c r="F947" s="9"/>
      <c r="G947" s="9"/>
      <c r="H947" s="8"/>
      <c r="I947" s="8"/>
      <c r="J947" s="15"/>
      <c r="K947" s="8"/>
      <c r="L947" s="8"/>
      <c r="M947" s="8"/>
      <c r="N947" s="8"/>
      <c r="O947" s="8"/>
    </row>
    <row r="948" spans="1:15" ht="14.25" customHeight="1" x14ac:dyDescent="0.25">
      <c r="A948" s="8"/>
      <c r="B948" s="9"/>
      <c r="C948" s="8"/>
      <c r="D948" s="8"/>
      <c r="E948" s="8"/>
      <c r="F948" s="9"/>
      <c r="G948" s="9"/>
      <c r="H948" s="8"/>
      <c r="I948" s="8"/>
      <c r="J948" s="15"/>
      <c r="K948" s="8"/>
      <c r="L948" s="8"/>
      <c r="M948" s="8"/>
      <c r="N948" s="8"/>
      <c r="O948" s="8"/>
    </row>
    <row r="949" spans="1:15" ht="14.25" customHeight="1" x14ac:dyDescent="0.25">
      <c r="A949" s="8"/>
      <c r="B949" s="9"/>
      <c r="C949" s="8"/>
      <c r="D949" s="8"/>
      <c r="E949" s="8"/>
      <c r="F949" s="9"/>
      <c r="G949" s="9"/>
      <c r="H949" s="8"/>
      <c r="I949" s="8"/>
      <c r="J949" s="15"/>
      <c r="K949" s="8"/>
      <c r="L949" s="8"/>
      <c r="M949" s="8"/>
      <c r="N949" s="8"/>
      <c r="O949" s="8"/>
    </row>
    <row r="950" spans="1:15" ht="14.25" customHeight="1" x14ac:dyDescent="0.25">
      <c r="A950" s="8"/>
      <c r="B950" s="9"/>
      <c r="C950" s="8"/>
      <c r="D950" s="8"/>
      <c r="E950" s="8"/>
      <c r="F950" s="9"/>
      <c r="G950" s="9"/>
      <c r="H950" s="8"/>
      <c r="I950" s="8"/>
      <c r="J950" s="15"/>
      <c r="K950" s="8"/>
      <c r="L950" s="8"/>
      <c r="M950" s="8"/>
      <c r="N950" s="8"/>
      <c r="O950" s="8"/>
    </row>
    <row r="951" spans="1:15" ht="14.25" customHeight="1" x14ac:dyDescent="0.25">
      <c r="A951" s="8"/>
      <c r="B951" s="9"/>
      <c r="C951" s="8"/>
      <c r="D951" s="8"/>
      <c r="E951" s="8"/>
      <c r="F951" s="9"/>
      <c r="G951" s="9"/>
      <c r="H951" s="8"/>
      <c r="I951" s="8"/>
      <c r="J951" s="15"/>
      <c r="K951" s="8"/>
      <c r="L951" s="8"/>
      <c r="M951" s="8"/>
      <c r="N951" s="8"/>
      <c r="O951" s="8"/>
    </row>
    <row r="952" spans="1:15" ht="14.25" customHeight="1" x14ac:dyDescent="0.25">
      <c r="A952" s="8"/>
      <c r="B952" s="9"/>
      <c r="C952" s="8"/>
      <c r="D952" s="8"/>
      <c r="E952" s="8"/>
      <c r="F952" s="9"/>
      <c r="G952" s="9"/>
      <c r="H952" s="8"/>
      <c r="I952" s="8"/>
      <c r="J952" s="15"/>
      <c r="K952" s="8"/>
      <c r="L952" s="8"/>
      <c r="M952" s="8"/>
      <c r="N952" s="8"/>
      <c r="O952" s="8"/>
    </row>
    <row r="953" spans="1:15" ht="14.25" customHeight="1" x14ac:dyDescent="0.25">
      <c r="A953" s="8"/>
      <c r="B953" s="9"/>
      <c r="C953" s="8"/>
      <c r="D953" s="8"/>
      <c r="E953" s="8"/>
      <c r="F953" s="9"/>
      <c r="G953" s="9"/>
      <c r="H953" s="8"/>
      <c r="I953" s="8"/>
      <c r="J953" s="15"/>
      <c r="K953" s="8"/>
      <c r="L953" s="8"/>
      <c r="M953" s="8"/>
      <c r="N953" s="8"/>
      <c r="O953" s="8"/>
    </row>
    <row r="954" spans="1:15" ht="14.25" customHeight="1" x14ac:dyDescent="0.25">
      <c r="A954" s="8"/>
      <c r="B954" s="9"/>
      <c r="C954" s="8"/>
      <c r="D954" s="8"/>
      <c r="E954" s="8"/>
      <c r="F954" s="9"/>
      <c r="G954" s="9"/>
      <c r="H954" s="8"/>
      <c r="I954" s="8"/>
      <c r="J954" s="15"/>
      <c r="K954" s="8"/>
      <c r="L954" s="8"/>
      <c r="M954" s="8"/>
      <c r="N954" s="8"/>
      <c r="O954" s="8"/>
    </row>
    <row r="955" spans="1:15" ht="14.25" customHeight="1" x14ac:dyDescent="0.25">
      <c r="A955" s="8"/>
      <c r="B955" s="9"/>
      <c r="C955" s="8"/>
      <c r="D955" s="8"/>
      <c r="E955" s="8"/>
      <c r="F955" s="9"/>
      <c r="G955" s="9"/>
      <c r="H955" s="8"/>
      <c r="I955" s="8"/>
      <c r="J955" s="15"/>
      <c r="K955" s="8"/>
      <c r="L955" s="8"/>
      <c r="M955" s="8"/>
      <c r="N955" s="8"/>
      <c r="O955" s="8"/>
    </row>
    <row r="956" spans="1:15" ht="14.25" customHeight="1" x14ac:dyDescent="0.25">
      <c r="A956" s="8"/>
      <c r="B956" s="9"/>
      <c r="C956" s="8"/>
      <c r="D956" s="8"/>
      <c r="E956" s="8"/>
      <c r="F956" s="9"/>
      <c r="G956" s="9"/>
      <c r="H956" s="8"/>
      <c r="I956" s="8"/>
      <c r="J956" s="15"/>
      <c r="K956" s="8"/>
      <c r="L956" s="8"/>
      <c r="M956" s="8"/>
      <c r="N956" s="8"/>
      <c r="O956" s="8"/>
    </row>
    <row r="957" spans="1:15" ht="14.25" customHeight="1" x14ac:dyDescent="0.25">
      <c r="A957" s="8"/>
      <c r="B957" s="9"/>
      <c r="C957" s="8"/>
      <c r="D957" s="8"/>
      <c r="E957" s="8"/>
      <c r="F957" s="9"/>
      <c r="G957" s="9"/>
      <c r="H957" s="8"/>
      <c r="I957" s="8"/>
      <c r="J957" s="15"/>
      <c r="K957" s="8"/>
      <c r="L957" s="8"/>
      <c r="M957" s="8"/>
      <c r="N957" s="8"/>
      <c r="O957" s="8"/>
    </row>
    <row r="958" spans="1:15" ht="14.25" customHeight="1" x14ac:dyDescent="0.25">
      <c r="A958" s="8"/>
      <c r="B958" s="9"/>
      <c r="C958" s="8"/>
      <c r="D958" s="8"/>
      <c r="E958" s="8"/>
      <c r="F958" s="9"/>
      <c r="G958" s="9"/>
      <c r="H958" s="8"/>
      <c r="I958" s="8"/>
      <c r="J958" s="15"/>
      <c r="K958" s="8"/>
      <c r="L958" s="8"/>
      <c r="M958" s="8"/>
      <c r="N958" s="8"/>
      <c r="O958" s="8"/>
    </row>
    <row r="959" spans="1:15" ht="14.25" customHeight="1" x14ac:dyDescent="0.25">
      <c r="A959" s="8"/>
      <c r="B959" s="9"/>
      <c r="C959" s="8"/>
      <c r="D959" s="8"/>
      <c r="E959" s="8"/>
      <c r="F959" s="9"/>
      <c r="G959" s="9"/>
      <c r="H959" s="8"/>
      <c r="I959" s="8"/>
      <c r="J959" s="15"/>
      <c r="K959" s="8"/>
      <c r="L959" s="8"/>
      <c r="M959" s="8"/>
      <c r="N959" s="8"/>
      <c r="O959" s="8"/>
    </row>
    <row r="960" spans="1:15" ht="14.25" customHeight="1" x14ac:dyDescent="0.25">
      <c r="A960" s="8"/>
      <c r="B960" s="9"/>
      <c r="C960" s="8"/>
      <c r="D960" s="8"/>
      <c r="E960" s="8"/>
      <c r="F960" s="9"/>
      <c r="G960" s="9"/>
      <c r="H960" s="8"/>
      <c r="I960" s="8"/>
      <c r="J960" s="15"/>
      <c r="K960" s="8"/>
      <c r="L960" s="8"/>
      <c r="M960" s="8"/>
      <c r="N960" s="8"/>
      <c r="O960" s="8"/>
    </row>
    <row r="961" spans="1:15" ht="14.25" customHeight="1" x14ac:dyDescent="0.25">
      <c r="A961" s="8"/>
      <c r="B961" s="9"/>
      <c r="C961" s="8"/>
      <c r="D961" s="8"/>
      <c r="E961" s="8"/>
      <c r="F961" s="9"/>
      <c r="G961" s="9"/>
      <c r="H961" s="8"/>
      <c r="I961" s="8"/>
      <c r="J961" s="15"/>
      <c r="K961" s="8"/>
      <c r="L961" s="8"/>
      <c r="M961" s="8"/>
      <c r="N961" s="8"/>
      <c r="O961" s="8"/>
    </row>
    <row r="962" spans="1:15" ht="14.25" customHeight="1" x14ac:dyDescent="0.25">
      <c r="A962" s="8"/>
      <c r="B962" s="9"/>
      <c r="C962" s="8"/>
      <c r="D962" s="8"/>
      <c r="E962" s="8"/>
      <c r="F962" s="9"/>
      <c r="G962" s="9"/>
      <c r="H962" s="8"/>
      <c r="I962" s="8"/>
      <c r="J962" s="15"/>
      <c r="K962" s="8"/>
      <c r="L962" s="8"/>
      <c r="M962" s="8"/>
      <c r="N962" s="8"/>
      <c r="O962" s="8"/>
    </row>
    <row r="963" spans="1:15" ht="14.25" customHeight="1" x14ac:dyDescent="0.25">
      <c r="A963" s="8"/>
      <c r="B963" s="9"/>
      <c r="C963" s="8"/>
      <c r="D963" s="8"/>
      <c r="E963" s="8"/>
      <c r="F963" s="9"/>
      <c r="G963" s="9"/>
      <c r="H963" s="8"/>
      <c r="I963" s="8"/>
      <c r="J963" s="15"/>
      <c r="K963" s="8"/>
      <c r="L963" s="8"/>
      <c r="M963" s="8"/>
      <c r="N963" s="8"/>
      <c r="O963" s="8"/>
    </row>
    <row r="964" spans="1:15" ht="14.25" customHeight="1" x14ac:dyDescent="0.25">
      <c r="A964" s="8"/>
      <c r="B964" s="9"/>
      <c r="C964" s="8"/>
      <c r="D964" s="8"/>
      <c r="E964" s="8"/>
      <c r="F964" s="9"/>
      <c r="G964" s="9"/>
      <c r="H964" s="8"/>
      <c r="I964" s="8"/>
      <c r="J964" s="15"/>
      <c r="K964" s="8"/>
      <c r="L964" s="8"/>
      <c r="M964" s="8"/>
      <c r="N964" s="8"/>
      <c r="O964" s="8"/>
    </row>
    <row r="965" spans="1:15" ht="14.25" customHeight="1" x14ac:dyDescent="0.25">
      <c r="A965" s="8"/>
      <c r="B965" s="9"/>
      <c r="C965" s="8"/>
      <c r="D965" s="8"/>
      <c r="E965" s="8"/>
      <c r="F965" s="9"/>
      <c r="G965" s="9"/>
      <c r="H965" s="8"/>
      <c r="I965" s="8"/>
      <c r="J965" s="15"/>
      <c r="K965" s="8"/>
      <c r="L965" s="8"/>
      <c r="M965" s="8"/>
      <c r="N965" s="8"/>
      <c r="O965" s="8"/>
    </row>
    <row r="966" spans="1:15" ht="14.25" customHeight="1" x14ac:dyDescent="0.25">
      <c r="A966" s="8"/>
      <c r="B966" s="9"/>
      <c r="C966" s="8"/>
      <c r="D966" s="8"/>
      <c r="E966" s="8"/>
      <c r="F966" s="9"/>
      <c r="G966" s="9"/>
      <c r="H966" s="8"/>
      <c r="I966" s="8"/>
      <c r="J966" s="15"/>
      <c r="K966" s="8"/>
      <c r="L966" s="8"/>
      <c r="M966" s="8"/>
      <c r="N966" s="8"/>
      <c r="O966" s="8"/>
    </row>
    <row r="967" spans="1:15" ht="14.25" customHeight="1" x14ac:dyDescent="0.25">
      <c r="A967" s="8"/>
      <c r="B967" s="9"/>
      <c r="C967" s="8"/>
      <c r="D967" s="8"/>
      <c r="E967" s="8"/>
      <c r="F967" s="9"/>
      <c r="G967" s="9"/>
      <c r="H967" s="8"/>
      <c r="I967" s="8"/>
      <c r="J967" s="15"/>
      <c r="K967" s="8"/>
      <c r="L967" s="8"/>
      <c r="M967" s="8"/>
      <c r="N967" s="8"/>
      <c r="O967" s="8"/>
    </row>
    <row r="968" spans="1:15" ht="14.25" customHeight="1" x14ac:dyDescent="0.25">
      <c r="A968" s="8"/>
      <c r="B968" s="9"/>
      <c r="C968" s="8"/>
      <c r="D968" s="8"/>
      <c r="E968" s="8"/>
      <c r="F968" s="9"/>
      <c r="G968" s="9"/>
      <c r="H968" s="8"/>
      <c r="I968" s="8"/>
      <c r="J968" s="15"/>
      <c r="K968" s="8"/>
      <c r="L968" s="8"/>
      <c r="M968" s="8"/>
      <c r="N968" s="8"/>
      <c r="O968" s="8"/>
    </row>
    <row r="969" spans="1:15" ht="14.25" customHeight="1" x14ac:dyDescent="0.25">
      <c r="A969" s="8"/>
      <c r="B969" s="9"/>
      <c r="C969" s="8"/>
      <c r="D969" s="8"/>
      <c r="E969" s="8"/>
      <c r="F969" s="9"/>
      <c r="G969" s="9"/>
      <c r="H969" s="8"/>
      <c r="I969" s="8"/>
      <c r="J969" s="15"/>
      <c r="K969" s="8"/>
      <c r="L969" s="8"/>
      <c r="M969" s="8"/>
      <c r="N969" s="8"/>
      <c r="O969" s="8"/>
    </row>
    <row r="970" spans="1:15" ht="14.25" customHeight="1" x14ac:dyDescent="0.25">
      <c r="A970" s="8"/>
      <c r="B970" s="9"/>
      <c r="C970" s="8"/>
      <c r="D970" s="8"/>
      <c r="E970" s="8"/>
      <c r="F970" s="9"/>
      <c r="G970" s="9"/>
      <c r="H970" s="8"/>
      <c r="I970" s="8"/>
      <c r="J970" s="15"/>
      <c r="K970" s="8"/>
      <c r="L970" s="8"/>
      <c r="M970" s="8"/>
      <c r="N970" s="8"/>
      <c r="O970" s="8"/>
    </row>
    <row r="971" spans="1:15" ht="14.25" customHeight="1" x14ac:dyDescent="0.25">
      <c r="A971" s="8"/>
      <c r="B971" s="9"/>
      <c r="C971" s="8"/>
      <c r="D971" s="8"/>
      <c r="E971" s="8"/>
      <c r="F971" s="9"/>
      <c r="G971" s="9"/>
      <c r="H971" s="8"/>
      <c r="I971" s="8"/>
      <c r="J971" s="15"/>
      <c r="K971" s="8"/>
      <c r="L971" s="8"/>
      <c r="M971" s="8"/>
      <c r="N971" s="8"/>
      <c r="O971" s="8"/>
    </row>
    <row r="972" spans="1:15" ht="14.25" customHeight="1" x14ac:dyDescent="0.25">
      <c r="A972" s="8"/>
      <c r="B972" s="9"/>
      <c r="C972" s="8"/>
      <c r="D972" s="8"/>
      <c r="E972" s="8"/>
      <c r="F972" s="9"/>
      <c r="G972" s="9"/>
      <c r="H972" s="8"/>
      <c r="I972" s="8"/>
      <c r="J972" s="15"/>
      <c r="K972" s="8"/>
      <c r="L972" s="8"/>
      <c r="M972" s="8"/>
      <c r="N972" s="8"/>
      <c r="O972" s="8"/>
    </row>
    <row r="973" spans="1:15" ht="14.25" customHeight="1" x14ac:dyDescent="0.25">
      <c r="A973" s="8"/>
      <c r="B973" s="9"/>
      <c r="C973" s="8"/>
      <c r="D973" s="8"/>
      <c r="E973" s="8"/>
      <c r="F973" s="9"/>
      <c r="G973" s="9"/>
      <c r="H973" s="8"/>
      <c r="I973" s="8"/>
      <c r="J973" s="15"/>
      <c r="K973" s="8"/>
      <c r="L973" s="8"/>
      <c r="M973" s="8"/>
      <c r="N973" s="8"/>
      <c r="O973" s="8"/>
    </row>
    <row r="974" spans="1:15" ht="14.25" customHeight="1" x14ac:dyDescent="0.25">
      <c r="A974" s="8"/>
      <c r="B974" s="9"/>
      <c r="C974" s="8"/>
      <c r="D974" s="8"/>
      <c r="E974" s="8"/>
      <c r="F974" s="9"/>
      <c r="G974" s="9"/>
      <c r="H974" s="8"/>
      <c r="I974" s="8"/>
      <c r="J974" s="15"/>
      <c r="K974" s="8"/>
      <c r="L974" s="8"/>
      <c r="M974" s="8"/>
      <c r="N974" s="8"/>
      <c r="O974" s="8"/>
    </row>
    <row r="975" spans="1:15" ht="14.25" customHeight="1" x14ac:dyDescent="0.25">
      <c r="A975" s="8"/>
      <c r="B975" s="9"/>
      <c r="C975" s="8"/>
      <c r="D975" s="8"/>
      <c r="E975" s="8"/>
      <c r="F975" s="9"/>
      <c r="G975" s="9"/>
      <c r="H975" s="8"/>
      <c r="I975" s="8"/>
      <c r="J975" s="15"/>
      <c r="K975" s="8"/>
      <c r="L975" s="8"/>
      <c r="M975" s="8"/>
      <c r="N975" s="8"/>
      <c r="O975" s="8"/>
    </row>
    <row r="976" spans="1:15" ht="14.25" customHeight="1" x14ac:dyDescent="0.25">
      <c r="A976" s="8"/>
      <c r="B976" s="9"/>
      <c r="C976" s="8"/>
      <c r="D976" s="8"/>
      <c r="E976" s="8"/>
      <c r="F976" s="9"/>
      <c r="G976" s="9"/>
      <c r="H976" s="8"/>
      <c r="I976" s="8"/>
      <c r="J976" s="15"/>
      <c r="K976" s="8"/>
      <c r="L976" s="8"/>
      <c r="M976" s="8"/>
      <c r="N976" s="8"/>
      <c r="O976" s="8"/>
    </row>
    <row r="977" spans="1:15" ht="14.25" customHeight="1" x14ac:dyDescent="0.25">
      <c r="A977" s="8"/>
      <c r="B977" s="9"/>
      <c r="C977" s="8"/>
      <c r="D977" s="8"/>
      <c r="E977" s="8"/>
      <c r="F977" s="9"/>
      <c r="G977" s="9"/>
      <c r="H977" s="8"/>
      <c r="I977" s="8"/>
      <c r="J977" s="15"/>
      <c r="K977" s="8"/>
      <c r="L977" s="8"/>
      <c r="M977" s="8"/>
      <c r="N977" s="8"/>
      <c r="O977" s="8"/>
    </row>
    <row r="978" spans="1:15" ht="14.25" customHeight="1" x14ac:dyDescent="0.25">
      <c r="A978" s="8"/>
      <c r="B978" s="9"/>
      <c r="C978" s="8"/>
      <c r="D978" s="8"/>
      <c r="E978" s="8"/>
      <c r="F978" s="9"/>
      <c r="G978" s="9"/>
      <c r="H978" s="8"/>
      <c r="I978" s="8"/>
      <c r="J978" s="15"/>
      <c r="K978" s="8"/>
      <c r="L978" s="8"/>
      <c r="M978" s="8"/>
      <c r="N978" s="8"/>
      <c r="O978" s="8"/>
    </row>
    <row r="979" spans="1:15" ht="14.25" customHeight="1" x14ac:dyDescent="0.25">
      <c r="A979" s="8"/>
      <c r="B979" s="9"/>
      <c r="C979" s="8"/>
      <c r="D979" s="8"/>
      <c r="E979" s="8"/>
      <c r="F979" s="9"/>
      <c r="G979" s="9"/>
      <c r="H979" s="8"/>
      <c r="I979" s="8"/>
      <c r="J979" s="15"/>
      <c r="K979" s="8"/>
      <c r="L979" s="8"/>
      <c r="M979" s="8"/>
      <c r="N979" s="8"/>
      <c r="O979" s="8"/>
    </row>
    <row r="980" spans="1:15" ht="14.25" customHeight="1" x14ac:dyDescent="0.25">
      <c r="A980" s="8"/>
      <c r="B980" s="9"/>
      <c r="C980" s="8"/>
      <c r="D980" s="8"/>
      <c r="E980" s="8"/>
      <c r="F980" s="9"/>
      <c r="G980" s="9"/>
      <c r="H980" s="8"/>
      <c r="I980" s="8"/>
      <c r="J980" s="15"/>
      <c r="K980" s="8"/>
      <c r="L980" s="8"/>
      <c r="M980" s="8"/>
      <c r="N980" s="8"/>
      <c r="O980" s="8"/>
    </row>
    <row r="981" spans="1:15" ht="14.25" customHeight="1" x14ac:dyDescent="0.25">
      <c r="A981" s="8"/>
      <c r="B981" s="9"/>
      <c r="C981" s="8"/>
      <c r="D981" s="8"/>
      <c r="E981" s="8"/>
      <c r="F981" s="9"/>
      <c r="G981" s="9"/>
      <c r="H981" s="8"/>
      <c r="I981" s="8"/>
      <c r="J981" s="15"/>
      <c r="K981" s="8"/>
      <c r="L981" s="8"/>
      <c r="M981" s="8"/>
      <c r="N981" s="8"/>
      <c r="O981" s="8"/>
    </row>
    <row r="982" spans="1:15" ht="14.25" customHeight="1" x14ac:dyDescent="0.25">
      <c r="A982" s="8"/>
      <c r="B982" s="9"/>
      <c r="C982" s="8"/>
      <c r="D982" s="8"/>
      <c r="E982" s="8"/>
      <c r="F982" s="9"/>
      <c r="G982" s="9"/>
      <c r="H982" s="8"/>
      <c r="I982" s="8"/>
      <c r="J982" s="15"/>
      <c r="K982" s="8"/>
      <c r="L982" s="8"/>
      <c r="M982" s="8"/>
      <c r="N982" s="8"/>
      <c r="O982" s="8"/>
    </row>
    <row r="983" spans="1:15" ht="14.25" customHeight="1" x14ac:dyDescent="0.25">
      <c r="A983" s="8"/>
      <c r="B983" s="9"/>
      <c r="C983" s="8"/>
      <c r="D983" s="8"/>
      <c r="E983" s="8"/>
      <c r="F983" s="9"/>
      <c r="G983" s="9"/>
      <c r="H983" s="8"/>
      <c r="I983" s="8"/>
      <c r="J983" s="15"/>
      <c r="K983" s="8"/>
      <c r="L983" s="8"/>
      <c r="M983" s="8"/>
      <c r="N983" s="8"/>
      <c r="O983" s="8"/>
    </row>
    <row r="984" spans="1:15" ht="14.25" customHeight="1" x14ac:dyDescent="0.25">
      <c r="A984" s="8"/>
      <c r="B984" s="9"/>
      <c r="C984" s="8"/>
      <c r="D984" s="8"/>
      <c r="E984" s="8"/>
      <c r="F984" s="9"/>
      <c r="G984" s="9"/>
      <c r="H984" s="8"/>
      <c r="I984" s="8"/>
      <c r="J984" s="15"/>
      <c r="K984" s="8"/>
      <c r="L984" s="8"/>
      <c r="M984" s="8"/>
      <c r="N984" s="8"/>
      <c r="O984" s="8"/>
    </row>
    <row r="985" spans="1:15" ht="14.25" customHeight="1" x14ac:dyDescent="0.25">
      <c r="A985" s="8"/>
      <c r="B985" s="9"/>
      <c r="C985" s="8"/>
      <c r="D985" s="8"/>
      <c r="E985" s="8"/>
      <c r="F985" s="9"/>
      <c r="G985" s="9"/>
      <c r="H985" s="8"/>
      <c r="I985" s="8"/>
      <c r="J985" s="15"/>
      <c r="K985" s="8"/>
      <c r="L985" s="8"/>
      <c r="M985" s="8"/>
      <c r="N985" s="8"/>
      <c r="O985" s="8"/>
    </row>
    <row r="986" spans="1:15" ht="14.25" customHeight="1" x14ac:dyDescent="0.25">
      <c r="A986" s="8"/>
      <c r="B986" s="9"/>
      <c r="C986" s="8"/>
      <c r="D986" s="8"/>
      <c r="E986" s="8"/>
      <c r="F986" s="9"/>
      <c r="G986" s="9"/>
      <c r="H986" s="8"/>
      <c r="I986" s="8"/>
      <c r="J986" s="15"/>
      <c r="K986" s="8"/>
      <c r="L986" s="8"/>
      <c r="M986" s="8"/>
      <c r="N986" s="8"/>
      <c r="O986" s="8"/>
    </row>
    <row r="987" spans="1:15" ht="14.25" customHeight="1" x14ac:dyDescent="0.25">
      <c r="A987" s="8"/>
      <c r="B987" s="9"/>
      <c r="C987" s="8"/>
      <c r="D987" s="8"/>
      <c r="E987" s="8"/>
      <c r="F987" s="9"/>
      <c r="G987" s="9"/>
      <c r="H987" s="8"/>
      <c r="I987" s="8"/>
      <c r="J987" s="15"/>
      <c r="K987" s="8"/>
      <c r="L987" s="8"/>
      <c r="M987" s="8"/>
      <c r="N987" s="8"/>
      <c r="O987" s="8"/>
    </row>
    <row r="988" spans="1:15" ht="14.25" customHeight="1" x14ac:dyDescent="0.25">
      <c r="A988" s="8"/>
      <c r="B988" s="9"/>
      <c r="C988" s="8"/>
      <c r="D988" s="8"/>
      <c r="E988" s="8"/>
      <c r="F988" s="9"/>
      <c r="G988" s="9"/>
      <c r="H988" s="8"/>
      <c r="I988" s="8"/>
      <c r="J988" s="15"/>
      <c r="K988" s="8"/>
      <c r="L988" s="8"/>
      <c r="M988" s="8"/>
      <c r="N988" s="8"/>
      <c r="O988" s="8"/>
    </row>
    <row r="989" spans="1:15" ht="14.25" customHeight="1" x14ac:dyDescent="0.25">
      <c r="A989" s="8"/>
      <c r="B989" s="9"/>
      <c r="C989" s="8"/>
      <c r="D989" s="8"/>
      <c r="E989" s="8"/>
      <c r="F989" s="9"/>
      <c r="G989" s="9"/>
      <c r="H989" s="8"/>
      <c r="I989" s="8"/>
      <c r="J989" s="15"/>
      <c r="K989" s="8"/>
      <c r="L989" s="8"/>
      <c r="M989" s="8"/>
      <c r="N989" s="8"/>
      <c r="O989" s="8"/>
    </row>
    <row r="990" spans="1:15" ht="14.25" customHeight="1" x14ac:dyDescent="0.25">
      <c r="A990" s="8"/>
      <c r="B990" s="9"/>
      <c r="C990" s="8"/>
      <c r="D990" s="8"/>
      <c r="E990" s="8"/>
      <c r="F990" s="9"/>
      <c r="G990" s="9"/>
      <c r="H990" s="8"/>
      <c r="I990" s="8"/>
      <c r="J990" s="15"/>
      <c r="K990" s="8"/>
      <c r="L990" s="8"/>
      <c r="M990" s="8"/>
      <c r="N990" s="8"/>
      <c r="O990" s="8"/>
    </row>
    <row r="991" spans="1:15" ht="14.25" customHeight="1" x14ac:dyDescent="0.25">
      <c r="A991" s="8"/>
      <c r="B991" s="9"/>
      <c r="C991" s="8"/>
      <c r="D991" s="8"/>
      <c r="E991" s="8"/>
      <c r="F991" s="9"/>
      <c r="G991" s="9"/>
      <c r="H991" s="8"/>
      <c r="I991" s="8"/>
      <c r="J991" s="15"/>
      <c r="K991" s="8"/>
      <c r="L991" s="8"/>
      <c r="M991" s="8"/>
      <c r="N991" s="8"/>
      <c r="O991" s="8"/>
    </row>
    <row r="992" spans="1:15" ht="14.25" customHeight="1" x14ac:dyDescent="0.25">
      <c r="A992" s="8"/>
      <c r="B992" s="9"/>
      <c r="C992" s="8"/>
      <c r="D992" s="8"/>
      <c r="E992" s="8"/>
      <c r="F992" s="9"/>
      <c r="G992" s="9"/>
      <c r="H992" s="8"/>
      <c r="I992" s="8"/>
      <c r="J992" s="15"/>
      <c r="K992" s="8"/>
      <c r="L992" s="8"/>
      <c r="M992" s="8"/>
      <c r="N992" s="8"/>
      <c r="O992" s="8"/>
    </row>
    <row r="993" spans="1:15" ht="14.25" customHeight="1" x14ac:dyDescent="0.25">
      <c r="A993" s="8"/>
      <c r="B993" s="9"/>
      <c r="C993" s="8"/>
      <c r="D993" s="8"/>
      <c r="E993" s="8"/>
      <c r="F993" s="9"/>
      <c r="G993" s="9"/>
      <c r="H993" s="8"/>
      <c r="I993" s="8"/>
      <c r="J993" s="15"/>
      <c r="K993" s="8"/>
      <c r="L993" s="8"/>
      <c r="M993" s="8"/>
      <c r="N993" s="8"/>
      <c r="O993" s="8"/>
    </row>
    <row r="994" spans="1:15" ht="14.25" customHeight="1" x14ac:dyDescent="0.25">
      <c r="A994" s="8"/>
      <c r="B994" s="9"/>
      <c r="C994" s="8"/>
      <c r="D994" s="8"/>
      <c r="E994" s="8"/>
      <c r="F994" s="9"/>
      <c r="G994" s="9"/>
      <c r="H994" s="8"/>
      <c r="I994" s="8"/>
      <c r="J994" s="15"/>
      <c r="K994" s="8"/>
      <c r="L994" s="8"/>
      <c r="M994" s="8"/>
      <c r="N994" s="8"/>
      <c r="O994" s="8"/>
    </row>
    <row r="995" spans="1:15" ht="14.25" customHeight="1" x14ac:dyDescent="0.25">
      <c r="A995" s="8"/>
      <c r="B995" s="9"/>
      <c r="C995" s="8"/>
      <c r="D995" s="8"/>
      <c r="E995" s="8"/>
      <c r="F995" s="9"/>
      <c r="G995" s="9"/>
      <c r="H995" s="8"/>
      <c r="I995" s="8"/>
      <c r="J995" s="15"/>
      <c r="K995" s="8"/>
      <c r="L995" s="8"/>
      <c r="M995" s="8"/>
      <c r="N995" s="8"/>
      <c r="O995" s="8"/>
    </row>
    <row r="996" spans="1:15" ht="14.25" customHeight="1" x14ac:dyDescent="0.25">
      <c r="A996" s="8"/>
      <c r="B996" s="9"/>
      <c r="C996" s="8"/>
      <c r="D996" s="8"/>
      <c r="E996" s="8"/>
      <c r="F996" s="9"/>
      <c r="G996" s="9"/>
      <c r="H996" s="8"/>
      <c r="I996" s="8"/>
      <c r="J996" s="15"/>
      <c r="K996" s="8"/>
      <c r="L996" s="8"/>
      <c r="M996" s="8"/>
      <c r="N996" s="8"/>
      <c r="O996" s="8"/>
    </row>
    <row r="997" spans="1:15" ht="14.25" customHeight="1" x14ac:dyDescent="0.25">
      <c r="A997" s="8"/>
      <c r="B997" s="9"/>
      <c r="C997" s="8"/>
      <c r="D997" s="8"/>
      <c r="E997" s="8"/>
      <c r="F997" s="9"/>
      <c r="G997" s="9"/>
      <c r="H997" s="8"/>
      <c r="I997" s="8"/>
      <c r="J997" s="15"/>
      <c r="K997" s="8"/>
      <c r="L997" s="8"/>
      <c r="M997" s="8"/>
      <c r="N997" s="8"/>
      <c r="O997" s="8"/>
    </row>
    <row r="998" spans="1:15" ht="14.25" customHeight="1" x14ac:dyDescent="0.25">
      <c r="A998" s="8"/>
      <c r="B998" s="9"/>
      <c r="C998" s="8"/>
      <c r="D998" s="8"/>
      <c r="E998" s="8"/>
      <c r="F998" s="9"/>
      <c r="G998" s="9"/>
      <c r="H998" s="8"/>
      <c r="I998" s="8"/>
      <c r="J998" s="15"/>
      <c r="K998" s="8"/>
      <c r="L998" s="8"/>
      <c r="M998" s="8"/>
      <c r="N998" s="8"/>
      <c r="O998" s="8"/>
    </row>
    <row r="999" spans="1:15" ht="14.25" customHeight="1" x14ac:dyDescent="0.25">
      <c r="A999" s="8"/>
      <c r="B999" s="9"/>
      <c r="C999" s="8"/>
      <c r="D999" s="8"/>
      <c r="E999" s="8"/>
      <c r="F999" s="9"/>
      <c r="G999" s="9"/>
      <c r="H999" s="8"/>
      <c r="I999" s="8"/>
      <c r="J999" s="15"/>
      <c r="K999" s="8"/>
      <c r="L999" s="8"/>
      <c r="M999" s="8"/>
      <c r="N999" s="8"/>
      <c r="O999" s="8"/>
    </row>
    <row r="1000" spans="1:15" ht="14.25" customHeight="1" x14ac:dyDescent="0.25">
      <c r="A1000" s="8"/>
      <c r="B1000" s="9"/>
      <c r="C1000" s="8"/>
      <c r="D1000" s="8"/>
      <c r="E1000" s="8"/>
      <c r="F1000" s="9"/>
      <c r="G1000" s="9"/>
      <c r="H1000" s="8"/>
      <c r="I1000" s="8"/>
      <c r="J1000" s="15"/>
      <c r="K1000" s="8"/>
      <c r="L1000" s="8"/>
      <c r="M1000" s="8"/>
      <c r="N1000" s="8"/>
      <c r="O1000" s="8"/>
    </row>
    <row r="1001" spans="1:15" ht="14.25" customHeight="1" x14ac:dyDescent="0.25">
      <c r="A1001" s="8"/>
      <c r="B1001" s="9"/>
      <c r="C1001" s="8"/>
      <c r="D1001" s="8"/>
      <c r="E1001" s="8"/>
      <c r="F1001" s="9"/>
      <c r="G1001" s="9"/>
      <c r="H1001" s="8"/>
      <c r="I1001" s="8"/>
      <c r="J1001" s="15"/>
      <c r="K1001" s="8"/>
      <c r="L1001" s="8"/>
      <c r="M1001" s="8"/>
      <c r="N1001" s="8"/>
      <c r="O1001" s="8"/>
    </row>
    <row r="1002" spans="1:15" ht="14.25" customHeight="1" x14ac:dyDescent="0.25">
      <c r="A1002" s="8"/>
      <c r="B1002" s="9"/>
      <c r="C1002" s="8"/>
      <c r="D1002" s="8"/>
      <c r="E1002" s="8"/>
      <c r="F1002" s="9"/>
      <c r="G1002" s="9"/>
      <c r="H1002" s="8"/>
      <c r="I1002" s="8"/>
      <c r="J1002" s="15"/>
      <c r="K1002" s="8"/>
      <c r="L1002" s="8"/>
      <c r="M1002" s="8"/>
      <c r="N1002" s="8"/>
      <c r="O1002" s="8"/>
    </row>
    <row r="1003" spans="1:15" ht="14.25" customHeight="1" x14ac:dyDescent="0.25">
      <c r="A1003" s="8"/>
      <c r="B1003" s="9"/>
      <c r="C1003" s="8"/>
      <c r="D1003" s="8"/>
      <c r="E1003" s="8"/>
      <c r="F1003" s="9"/>
      <c r="G1003" s="9"/>
      <c r="H1003" s="8"/>
      <c r="I1003" s="8"/>
      <c r="J1003" s="15"/>
      <c r="K1003" s="8"/>
      <c r="L1003" s="8"/>
      <c r="M1003" s="8"/>
      <c r="N1003" s="8"/>
      <c r="O1003" s="8"/>
    </row>
    <row r="1004" spans="1:15" ht="14.25" customHeight="1" x14ac:dyDescent="0.25">
      <c r="A1004" s="8"/>
      <c r="B1004" s="9"/>
      <c r="C1004" s="8"/>
      <c r="D1004" s="8"/>
      <c r="E1004" s="8"/>
      <c r="F1004" s="9"/>
      <c r="G1004" s="9"/>
      <c r="H1004" s="8"/>
      <c r="I1004" s="8"/>
      <c r="J1004" s="15"/>
      <c r="K1004" s="8"/>
      <c r="L1004" s="8"/>
      <c r="M1004" s="8"/>
      <c r="N1004" s="8"/>
      <c r="O1004" s="8"/>
    </row>
    <row r="1005" spans="1:15" ht="14.25" customHeight="1" x14ac:dyDescent="0.25">
      <c r="A1005" s="8"/>
      <c r="B1005" s="9"/>
      <c r="C1005" s="8"/>
      <c r="D1005" s="8"/>
      <c r="E1005" s="8"/>
      <c r="F1005" s="9"/>
      <c r="G1005" s="9"/>
      <c r="H1005" s="8"/>
      <c r="I1005" s="8"/>
      <c r="J1005" s="15"/>
      <c r="K1005" s="8"/>
      <c r="L1005" s="8"/>
      <c r="M1005" s="8"/>
      <c r="N1005" s="8"/>
      <c r="O1005" s="8"/>
    </row>
    <row r="1006" spans="1:15" ht="14.25" customHeight="1" x14ac:dyDescent="0.25">
      <c r="A1006" s="8"/>
      <c r="B1006" s="9"/>
      <c r="C1006" s="8"/>
      <c r="D1006" s="8"/>
      <c r="E1006" s="8"/>
      <c r="F1006" s="9"/>
      <c r="G1006" s="9"/>
      <c r="H1006" s="8"/>
      <c r="I1006" s="8"/>
      <c r="J1006" s="15"/>
      <c r="K1006" s="8"/>
      <c r="L1006" s="8"/>
      <c r="M1006" s="8"/>
      <c r="N1006" s="8"/>
      <c r="O1006" s="8"/>
    </row>
    <row r="1007" spans="1:15" ht="14.25" customHeight="1" x14ac:dyDescent="0.25">
      <c r="A1007" s="8"/>
      <c r="B1007" s="9"/>
      <c r="C1007" s="8"/>
      <c r="D1007" s="8"/>
      <c r="E1007" s="8"/>
      <c r="F1007" s="9"/>
      <c r="G1007" s="9"/>
      <c r="H1007" s="8"/>
      <c r="I1007" s="8"/>
      <c r="J1007" s="15"/>
      <c r="K1007" s="8"/>
      <c r="L1007" s="8"/>
      <c r="M1007" s="8"/>
      <c r="N1007" s="8"/>
      <c r="O1007" s="8"/>
    </row>
    <row r="1008" spans="1:15" ht="14.25" customHeight="1" x14ac:dyDescent="0.25">
      <c r="A1008" s="8"/>
      <c r="B1008" s="9"/>
      <c r="C1008" s="8"/>
      <c r="D1008" s="8"/>
      <c r="E1008" s="8"/>
      <c r="F1008" s="9"/>
      <c r="G1008" s="9"/>
      <c r="H1008" s="8"/>
      <c r="I1008" s="8"/>
      <c r="J1008" s="15"/>
      <c r="K1008" s="8"/>
      <c r="L1008" s="8"/>
      <c r="M1008" s="8"/>
      <c r="N1008" s="8"/>
      <c r="O1008" s="8"/>
    </row>
    <row r="1009" spans="1:15" ht="14.25" customHeight="1" x14ac:dyDescent="0.25">
      <c r="A1009" s="8"/>
      <c r="B1009" s="9"/>
      <c r="C1009" s="8"/>
      <c r="D1009" s="8"/>
      <c r="E1009" s="8"/>
      <c r="F1009" s="9"/>
      <c r="G1009" s="9"/>
      <c r="H1009" s="8"/>
      <c r="I1009" s="8"/>
      <c r="J1009" s="15"/>
      <c r="K1009" s="8"/>
      <c r="L1009" s="8"/>
      <c r="M1009" s="8"/>
      <c r="N1009" s="8"/>
      <c r="O1009" s="8"/>
    </row>
    <row r="1010" spans="1:15" ht="14.25" customHeight="1" x14ac:dyDescent="0.25">
      <c r="A1010" s="8"/>
      <c r="B1010" s="9"/>
      <c r="C1010" s="8"/>
      <c r="D1010" s="8"/>
      <c r="E1010" s="8"/>
      <c r="F1010" s="9"/>
      <c r="G1010" s="9"/>
      <c r="H1010" s="8"/>
      <c r="I1010" s="8"/>
      <c r="J1010" s="15"/>
      <c r="K1010" s="8"/>
      <c r="L1010" s="8"/>
      <c r="M1010" s="8"/>
      <c r="N1010" s="8"/>
      <c r="O1010" s="8"/>
    </row>
    <row r="1011" spans="1:15" ht="14.25" customHeight="1" x14ac:dyDescent="0.25">
      <c r="A1011" s="8"/>
      <c r="B1011" s="9"/>
      <c r="C1011" s="8"/>
      <c r="D1011" s="8"/>
      <c r="E1011" s="8"/>
      <c r="F1011" s="9"/>
      <c r="G1011" s="9"/>
      <c r="H1011" s="8"/>
      <c r="I1011" s="8"/>
      <c r="J1011" s="15"/>
      <c r="K1011" s="8"/>
      <c r="L1011" s="8"/>
      <c r="M1011" s="8"/>
      <c r="N1011" s="8"/>
      <c r="O1011" s="8"/>
    </row>
    <row r="1012" spans="1:15" ht="14.25" customHeight="1" x14ac:dyDescent="0.25">
      <c r="A1012" s="8"/>
      <c r="B1012" s="9"/>
      <c r="C1012" s="8"/>
      <c r="D1012" s="8"/>
      <c r="E1012" s="8"/>
      <c r="F1012" s="9"/>
      <c r="G1012" s="9"/>
      <c r="H1012" s="8"/>
      <c r="I1012" s="8"/>
      <c r="J1012" s="15"/>
      <c r="K1012" s="8"/>
      <c r="L1012" s="8"/>
      <c r="M1012" s="8"/>
      <c r="N1012" s="8"/>
      <c r="O1012" s="8"/>
    </row>
    <row r="1013" spans="1:15" ht="14.25" customHeight="1" x14ac:dyDescent="0.25">
      <c r="A1013" s="8"/>
      <c r="B1013" s="9"/>
      <c r="C1013" s="8"/>
      <c r="D1013" s="8"/>
      <c r="E1013" s="8"/>
      <c r="F1013" s="9"/>
      <c r="G1013" s="9"/>
      <c r="H1013" s="8"/>
      <c r="I1013" s="8"/>
      <c r="J1013" s="15"/>
      <c r="K1013" s="8"/>
      <c r="L1013" s="8"/>
      <c r="M1013" s="8"/>
      <c r="N1013" s="8"/>
      <c r="O1013" s="8"/>
    </row>
  </sheetData>
  <phoneticPr fontId="16"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035"/>
  <sheetViews>
    <sheetView topLeftCell="A86" workbookViewId="0">
      <selection activeCell="K72" sqref="K72"/>
    </sheetView>
  </sheetViews>
  <sheetFormatPr defaultColWidth="14.42578125" defaultRowHeight="15" x14ac:dyDescent="0.25"/>
  <cols>
    <col min="1" max="1" width="18.7109375" customWidth="1"/>
    <col min="2" max="2" width="8.7109375" customWidth="1"/>
    <col min="3" max="3" width="14.5703125" customWidth="1"/>
    <col min="4" max="4" width="8.7109375" customWidth="1"/>
    <col min="5" max="5" width="15.28515625" customWidth="1"/>
    <col min="6" max="10" width="13.7109375" customWidth="1"/>
    <col min="11" max="12" width="8.7109375" customWidth="1"/>
    <col min="13" max="13" width="8.5703125" style="14" customWidth="1"/>
    <col min="14" max="14" width="8.7109375" customWidth="1"/>
  </cols>
  <sheetData>
    <row r="1" spans="1:14" ht="14.25" customHeight="1" x14ac:dyDescent="0.25">
      <c r="A1" s="36" t="s">
        <v>51</v>
      </c>
      <c r="B1" s="36" t="s">
        <v>52</v>
      </c>
      <c r="C1" s="36" t="s">
        <v>53</v>
      </c>
      <c r="D1" s="36" t="s">
        <v>54</v>
      </c>
      <c r="E1" s="36" t="s">
        <v>55</v>
      </c>
      <c r="F1" s="36" t="s">
        <v>153</v>
      </c>
      <c r="G1" s="36" t="s">
        <v>154</v>
      </c>
      <c r="H1" s="37" t="s">
        <v>155</v>
      </c>
      <c r="I1" s="37" t="s">
        <v>156</v>
      </c>
      <c r="J1" s="37" t="s">
        <v>157</v>
      </c>
      <c r="K1" s="37" t="s">
        <v>38</v>
      </c>
      <c r="L1" s="37" t="s">
        <v>39</v>
      </c>
      <c r="M1" s="20" t="s">
        <v>56</v>
      </c>
      <c r="N1" s="17" t="s">
        <v>3</v>
      </c>
    </row>
    <row r="2" spans="1:14" ht="14.25" customHeight="1" x14ac:dyDescent="0.25">
      <c r="A2" s="36" t="s">
        <v>160</v>
      </c>
      <c r="B2" s="36">
        <v>2026</v>
      </c>
      <c r="C2" s="36" t="s">
        <v>75</v>
      </c>
      <c r="D2" s="36" t="s">
        <v>75</v>
      </c>
      <c r="E2" s="36" t="s">
        <v>48</v>
      </c>
      <c r="F2" s="38" t="s">
        <v>82</v>
      </c>
      <c r="G2" s="38" t="s">
        <v>161</v>
      </c>
      <c r="H2" s="37">
        <v>1</v>
      </c>
      <c r="I2" s="37">
        <f t="shared" ref="I2:I16" si="0">331.279875/331.279875</f>
        <v>1</v>
      </c>
      <c r="J2" s="37" t="str">
        <f>TEXT(K2,IF(ABS(K2)&gt;=1,"0.##",IF(ABS(K2)&gt;=0.01,"0.####","0.######")))&amp;"-"&amp;TEXT(L2,IF(ABS(L2)&gt;=1,"0.##",IF(ABS(L2)&gt;=0.01,"0.####","0.######")))</f>
        <v>3.11-9.32</v>
      </c>
      <c r="K2" s="37">
        <f>VALUE(LEFT(F2,FIND("-",F2)-1))/1.609344/H2*I2</f>
        <v>3.1068559611866697</v>
      </c>
      <c r="L2" s="37">
        <f>VALUE(MID(F2,FIND("-",F2)+1,99))/1.609344/H2*I2</f>
        <v>9.3205678835600096</v>
      </c>
      <c r="M2" s="20">
        <f>(K2+L2)/2</f>
        <v>6.2137119223733395</v>
      </c>
      <c r="N2" s="36"/>
    </row>
    <row r="3" spans="1:14" ht="14.25" customHeight="1" x14ac:dyDescent="0.25">
      <c r="A3" s="36" t="s">
        <v>64</v>
      </c>
      <c r="B3" s="36">
        <v>2026</v>
      </c>
      <c r="C3" s="36" t="s">
        <v>65</v>
      </c>
      <c r="D3" s="36" t="s">
        <v>66</v>
      </c>
      <c r="E3" s="36" t="s">
        <v>46</v>
      </c>
      <c r="F3" s="38" t="s">
        <v>162</v>
      </c>
      <c r="G3" s="38" t="s">
        <v>163</v>
      </c>
      <c r="H3" s="37">
        <v>6.9980000000000002</v>
      </c>
      <c r="I3" s="37">
        <f t="shared" si="0"/>
        <v>1</v>
      </c>
      <c r="J3" s="37" t="str">
        <f>TEXT(K3,IF(ABS(K3)&gt;=1,"0.##",IF(ABS(K3)&gt;=0.01,"0.####","0.######")))&amp;"-"&amp;TEXT(L3,IF(ABS(L3)&gt;=1,"0.##",IF(ABS(L3)&gt;=0.01,"0.####","0.######")))</f>
        <v>0.1429-0.5716</v>
      </c>
      <c r="K3" s="37">
        <f>VALUE(LEFT(F3,FIND("-",F3)-1))/H3*I3</f>
        <v>0.14289797084881395</v>
      </c>
      <c r="L3" s="37">
        <f>VALUE(MID(F3,FIND("-",F3)+1,99))/H3*I3</f>
        <v>0.5715918833952558</v>
      </c>
      <c r="M3" s="20">
        <f t="shared" ref="M3:M66" si="1">(K3+L3)/2</f>
        <v>0.35724492712203487</v>
      </c>
      <c r="N3" s="36"/>
    </row>
    <row r="4" spans="1:14" ht="14.25" customHeight="1" x14ac:dyDescent="0.25">
      <c r="A4" s="36" t="s">
        <v>164</v>
      </c>
      <c r="B4" s="36">
        <v>2026</v>
      </c>
      <c r="C4" s="36" t="s">
        <v>65</v>
      </c>
      <c r="D4" s="36" t="s">
        <v>66</v>
      </c>
      <c r="E4" s="36" t="s">
        <v>46</v>
      </c>
      <c r="F4" s="38" t="s">
        <v>165</v>
      </c>
      <c r="G4" s="38" t="s">
        <v>163</v>
      </c>
      <c r="H4" s="37">
        <v>6.7850000000000001</v>
      </c>
      <c r="I4" s="37">
        <f t="shared" si="0"/>
        <v>1</v>
      </c>
      <c r="J4" s="37" t="str">
        <f>TEXT(K4,IF(ABS(K4)&gt;=1,"0.##",IF(ABS(K4)&gt;=0.01,"0.####","0.######")))&amp;"-"&amp;TEXT(L4,IF(ABS(L4)&gt;=1,"0.##",IF(ABS(L4)&gt;=0.01,"0.####","0.######")))</f>
        <v>0.4908-0.9211</v>
      </c>
      <c r="K4" s="37">
        <f>VALUE(LEFT(F4,FIND("-",F4)-1))/H4*I4</f>
        <v>0.49078850405305824</v>
      </c>
      <c r="L4" s="37">
        <f>VALUE(MID(F4,FIND("-",F4)+1,99))/H4*I4</f>
        <v>0.92114959469417834</v>
      </c>
      <c r="M4" s="20">
        <f t="shared" si="1"/>
        <v>0.70596904937361826</v>
      </c>
      <c r="N4" s="36"/>
    </row>
    <row r="5" spans="1:14" ht="14.25" customHeight="1" x14ac:dyDescent="0.25">
      <c r="A5" s="36" t="s">
        <v>166</v>
      </c>
      <c r="B5" s="36">
        <v>2026</v>
      </c>
      <c r="C5" s="36" t="s">
        <v>70</v>
      </c>
      <c r="D5" s="36" t="s">
        <v>66</v>
      </c>
      <c r="E5" s="36" t="s">
        <v>71</v>
      </c>
      <c r="F5" s="38">
        <v>3500</v>
      </c>
      <c r="G5" s="38" t="s">
        <v>167</v>
      </c>
      <c r="H5" s="37">
        <v>1367.46</v>
      </c>
      <c r="I5" s="37">
        <f t="shared" si="0"/>
        <v>1</v>
      </c>
      <c r="J5" s="37">
        <f>K5</f>
        <v>2.5594898571073377</v>
      </c>
      <c r="K5" s="37">
        <f>F5/H5*I5</f>
        <v>2.5594898571073377</v>
      </c>
      <c r="L5" s="37">
        <f>F5/H5*I5</f>
        <v>2.5594898571073377</v>
      </c>
      <c r="M5" s="20">
        <f t="shared" si="1"/>
        <v>2.5594898571073377</v>
      </c>
      <c r="N5" s="36"/>
    </row>
    <row r="6" spans="1:14" ht="14.25" customHeight="1" x14ac:dyDescent="0.25">
      <c r="A6" s="36" t="s">
        <v>69</v>
      </c>
      <c r="B6" s="36">
        <v>2026</v>
      </c>
      <c r="C6" s="36" t="s">
        <v>70</v>
      </c>
      <c r="D6" s="36" t="s">
        <v>66</v>
      </c>
      <c r="E6" s="36" t="s">
        <v>71</v>
      </c>
      <c r="F6" s="38">
        <v>3000</v>
      </c>
      <c r="G6" s="38" t="s">
        <v>167</v>
      </c>
      <c r="H6" s="37">
        <v>1524.5</v>
      </c>
      <c r="I6" s="37">
        <f t="shared" si="0"/>
        <v>1</v>
      </c>
      <c r="J6" s="37">
        <f>K6</f>
        <v>1.9678583142013775</v>
      </c>
      <c r="K6" s="37">
        <f>F6/H6*I6</f>
        <v>1.9678583142013775</v>
      </c>
      <c r="L6" s="37">
        <f>F6/H6*I6</f>
        <v>1.9678583142013775</v>
      </c>
      <c r="M6" s="20">
        <f t="shared" si="1"/>
        <v>1.9678583142013775</v>
      </c>
      <c r="N6" s="36"/>
    </row>
    <row r="7" spans="1:14" ht="14.25" customHeight="1" x14ac:dyDescent="0.25">
      <c r="A7" s="36" t="s">
        <v>69</v>
      </c>
      <c r="B7" s="36">
        <v>2026</v>
      </c>
      <c r="C7" s="36" t="s">
        <v>70</v>
      </c>
      <c r="D7" s="36" t="s">
        <v>66</v>
      </c>
      <c r="E7" s="36" t="s">
        <v>71</v>
      </c>
      <c r="F7" s="38">
        <v>3600</v>
      </c>
      <c r="G7" s="38" t="s">
        <v>167</v>
      </c>
      <c r="H7" s="37">
        <v>1524.5</v>
      </c>
      <c r="I7" s="37">
        <f t="shared" si="0"/>
        <v>1</v>
      </c>
      <c r="J7" s="37">
        <f>K7</f>
        <v>2.3614299770416531</v>
      </c>
      <c r="K7" s="37">
        <f>F7/H7*I7</f>
        <v>2.3614299770416531</v>
      </c>
      <c r="L7" s="37">
        <f>F7/H7*I7</f>
        <v>2.3614299770416531</v>
      </c>
      <c r="M7" s="20">
        <f t="shared" si="1"/>
        <v>2.3614299770416531</v>
      </c>
      <c r="N7" s="36"/>
    </row>
    <row r="8" spans="1:14" ht="14.25" customHeight="1" x14ac:dyDescent="0.25">
      <c r="A8" s="36" t="s">
        <v>168</v>
      </c>
      <c r="B8" s="36">
        <v>2026</v>
      </c>
      <c r="C8" s="36" t="s">
        <v>70</v>
      </c>
      <c r="D8" s="36" t="s">
        <v>66</v>
      </c>
      <c r="E8" s="36" t="s">
        <v>48</v>
      </c>
      <c r="F8" s="38">
        <v>3000</v>
      </c>
      <c r="G8" s="38" t="s">
        <v>167</v>
      </c>
      <c r="H8" s="37">
        <v>1479.73</v>
      </c>
      <c r="I8" s="37">
        <f t="shared" si="0"/>
        <v>1</v>
      </c>
      <c r="J8" s="37">
        <f>K8</f>
        <v>2.0273968899731707</v>
      </c>
      <c r="K8" s="37">
        <f>F8/H8*I8</f>
        <v>2.0273968899731707</v>
      </c>
      <c r="L8" s="37">
        <f>F8/H8*I8</f>
        <v>2.0273968899731707</v>
      </c>
      <c r="M8" s="20">
        <f t="shared" si="1"/>
        <v>2.0273968899731707</v>
      </c>
      <c r="N8" s="36"/>
    </row>
    <row r="9" spans="1:14" ht="14.25" customHeight="1" x14ac:dyDescent="0.25">
      <c r="A9" s="36" t="s">
        <v>169</v>
      </c>
      <c r="B9" s="36">
        <v>2026</v>
      </c>
      <c r="C9" s="36" t="s">
        <v>70</v>
      </c>
      <c r="D9" s="36" t="s">
        <v>66</v>
      </c>
      <c r="E9" s="36" t="s">
        <v>46</v>
      </c>
      <c r="F9" s="38" t="s">
        <v>170</v>
      </c>
      <c r="G9" s="38" t="s">
        <v>167</v>
      </c>
      <c r="H9" s="37">
        <v>1524.5</v>
      </c>
      <c r="I9" s="37">
        <f t="shared" si="0"/>
        <v>1</v>
      </c>
      <c r="J9" s="37" t="str">
        <f>TEXT(K9,IF(ABS(K9)&gt;=1,"0.##",IF(ABS(K9)&gt;=0.01,"0.####","0.######")))&amp;"-"&amp;TEXT(L9,IF(ABS(L9)&gt;=1,"0.##",IF(ABS(L9)&gt;=0.01,"0.####","0.######")))</f>
        <v>0.6281-0.8034</v>
      </c>
      <c r="K9" s="37">
        <f>'Cost calculation'!T4</f>
        <v>0.62810757625450964</v>
      </c>
      <c r="L9" s="37">
        <f>'Cost calculation'!U4</f>
        <v>0.80341751393899641</v>
      </c>
      <c r="M9" s="20">
        <f t="shared" si="1"/>
        <v>0.71576254509675308</v>
      </c>
      <c r="N9" s="36"/>
    </row>
    <row r="10" spans="1:14" ht="14.25" customHeight="1" x14ac:dyDescent="0.25">
      <c r="A10" s="36" t="s">
        <v>169</v>
      </c>
      <c r="B10" s="36">
        <v>2026</v>
      </c>
      <c r="C10" s="36" t="s">
        <v>70</v>
      </c>
      <c r="D10" s="36" t="s">
        <v>66</v>
      </c>
      <c r="E10" s="36" t="s">
        <v>48</v>
      </c>
      <c r="F10" s="38" t="s">
        <v>171</v>
      </c>
      <c r="G10" s="38" t="s">
        <v>167</v>
      </c>
      <c r="H10" s="37">
        <v>1524.5</v>
      </c>
      <c r="I10" s="37">
        <f t="shared" si="0"/>
        <v>1</v>
      </c>
      <c r="J10" s="37" t="str">
        <f>TEXT(K10,IF(ABS(K10)&gt;=1,"0.##",IF(ABS(K10)&gt;=0.01,"0.####","0.######")))&amp;"-"&amp;TEXT(L10,IF(ABS(L10)&gt;=1,"0.##",IF(ABS(L10)&gt;=0.01,"0.####","0.######")))</f>
        <v>0.8165-0.9332</v>
      </c>
      <c r="K10" s="37">
        <f>'Cost calculation'!T5</f>
        <v>0.81653656936700558</v>
      </c>
      <c r="L10" s="37">
        <f>'Cost calculation'!U5</f>
        <v>0.93318465070514933</v>
      </c>
      <c r="M10" s="20">
        <f t="shared" si="1"/>
        <v>0.8748606100360774</v>
      </c>
      <c r="N10" s="36"/>
    </row>
    <row r="11" spans="1:14" ht="14.25" customHeight="1" x14ac:dyDescent="0.25">
      <c r="A11" s="36" t="s">
        <v>172</v>
      </c>
      <c r="B11" s="36">
        <v>2026</v>
      </c>
      <c r="C11" s="36" t="s">
        <v>173</v>
      </c>
      <c r="D11" s="36" t="s">
        <v>97</v>
      </c>
      <c r="E11" s="36" t="s">
        <v>48</v>
      </c>
      <c r="F11" s="38">
        <v>5</v>
      </c>
      <c r="G11" s="38" t="s">
        <v>174</v>
      </c>
      <c r="H11" s="37">
        <v>0.87</v>
      </c>
      <c r="I11" s="37">
        <f t="shared" si="0"/>
        <v>1</v>
      </c>
      <c r="J11" s="37">
        <f>K11</f>
        <v>5.7471264367816088</v>
      </c>
      <c r="K11" s="37">
        <f>F11/H11*I11</f>
        <v>5.7471264367816088</v>
      </c>
      <c r="L11" s="37">
        <f>F11/H11*I11</f>
        <v>5.7471264367816088</v>
      </c>
      <c r="M11" s="20">
        <f t="shared" si="1"/>
        <v>5.7471264367816088</v>
      </c>
      <c r="N11" s="36"/>
    </row>
    <row r="12" spans="1:14" ht="14.25" customHeight="1" x14ac:dyDescent="0.25">
      <c r="A12" s="36" t="s">
        <v>73</v>
      </c>
      <c r="B12" s="36">
        <v>2026</v>
      </c>
      <c r="C12" s="36" t="s">
        <v>75</v>
      </c>
      <c r="D12" s="36" t="s">
        <v>75</v>
      </c>
      <c r="E12" s="36" t="s">
        <v>48</v>
      </c>
      <c r="F12" s="38" t="s">
        <v>175</v>
      </c>
      <c r="G12" s="38" t="s">
        <v>176</v>
      </c>
      <c r="H12" s="37">
        <v>1</v>
      </c>
      <c r="I12" s="37">
        <f t="shared" si="0"/>
        <v>1</v>
      </c>
      <c r="J12" s="37" t="str">
        <f t="shared" ref="J12:J18" si="2">TEXT(K12,IF(ABS(K12)&gt;=1,"0.##",IF(ABS(K12)&gt;=0.01,"0.####","0.######")))&amp;"-"&amp;TEXT(L12,IF(ABS(L12)&gt;=1,"0.##",IF(ABS(L12)&gt;=0.01,"0.####","0.######")))</f>
        <v>0.64-1.78</v>
      </c>
      <c r="K12" s="37">
        <f>'Cost calculation'!T6</f>
        <v>0.64</v>
      </c>
      <c r="L12" s="37">
        <f>'Cost calculation'!U6</f>
        <v>1.78</v>
      </c>
      <c r="M12" s="20">
        <f t="shared" si="1"/>
        <v>1.21</v>
      </c>
      <c r="N12" s="36"/>
    </row>
    <row r="13" spans="1:14" ht="14.25" customHeight="1" x14ac:dyDescent="0.25">
      <c r="A13" s="36" t="s">
        <v>78</v>
      </c>
      <c r="B13" s="36">
        <v>2026</v>
      </c>
      <c r="C13" s="36" t="s">
        <v>75</v>
      </c>
      <c r="D13" s="36" t="s">
        <v>75</v>
      </c>
      <c r="E13" s="36" t="s">
        <v>48</v>
      </c>
      <c r="F13" s="38" t="s">
        <v>177</v>
      </c>
      <c r="G13" s="38" t="s">
        <v>161</v>
      </c>
      <c r="H13" s="37">
        <v>1</v>
      </c>
      <c r="I13" s="37">
        <f t="shared" si="0"/>
        <v>1</v>
      </c>
      <c r="J13" s="37" t="str">
        <f t="shared" si="2"/>
        <v>0.3107-1.55</v>
      </c>
      <c r="K13" s="37">
        <f>VALUE(LEFT(F13,FIND("-",F13)-1))/1.609344/H13*I13</f>
        <v>0.31068559611866697</v>
      </c>
      <c r="L13" s="37">
        <f>VALUE(MID(F13,FIND("-",F13)+1,99))/1.609344/H13*I13</f>
        <v>1.5534279805933349</v>
      </c>
      <c r="M13" s="20">
        <f t="shared" si="1"/>
        <v>0.93205678835600092</v>
      </c>
      <c r="N13" s="36"/>
    </row>
    <row r="14" spans="1:14" ht="14.25" customHeight="1" x14ac:dyDescent="0.25">
      <c r="A14" s="36" t="s">
        <v>81</v>
      </c>
      <c r="B14" s="36">
        <v>2026</v>
      </c>
      <c r="C14" s="36" t="s">
        <v>65</v>
      </c>
      <c r="D14" s="36" t="s">
        <v>66</v>
      </c>
      <c r="E14" s="36" t="s">
        <v>46</v>
      </c>
      <c r="F14" s="38" t="s">
        <v>178</v>
      </c>
      <c r="G14" s="38" t="s">
        <v>163</v>
      </c>
      <c r="H14" s="37">
        <v>6.7850000000000001</v>
      </c>
      <c r="I14" s="37">
        <f t="shared" si="0"/>
        <v>1</v>
      </c>
      <c r="J14" s="37" t="str">
        <f t="shared" si="2"/>
        <v>0.4422-0.7369</v>
      </c>
      <c r="K14" s="37">
        <f>VALUE(LEFT(F14,FIND("-",F14)-1))/H14*I14</f>
        <v>0.44215180545320559</v>
      </c>
      <c r="L14" s="37">
        <f>VALUE(MID(F14,FIND("-",F14)+1,99))/H14*I14</f>
        <v>0.73691967575534267</v>
      </c>
      <c r="M14" s="20">
        <f t="shared" si="1"/>
        <v>0.58953574060427416</v>
      </c>
      <c r="N14" s="36"/>
    </row>
    <row r="15" spans="1:14" ht="14.25" customHeight="1" x14ac:dyDescent="0.25">
      <c r="A15" s="36" t="s">
        <v>81</v>
      </c>
      <c r="B15" s="36">
        <v>2026</v>
      </c>
      <c r="C15" s="36" t="s">
        <v>65</v>
      </c>
      <c r="D15" s="36" t="s">
        <v>66</v>
      </c>
      <c r="E15" s="36" t="s">
        <v>47</v>
      </c>
      <c r="F15" s="38" t="s">
        <v>178</v>
      </c>
      <c r="G15" s="38" t="s">
        <v>163</v>
      </c>
      <c r="H15" s="37">
        <v>6.7850000000000001</v>
      </c>
      <c r="I15" s="37">
        <f t="shared" si="0"/>
        <v>1</v>
      </c>
      <c r="J15" s="37" t="str">
        <f t="shared" si="2"/>
        <v>0.4422-0.7369</v>
      </c>
      <c r="K15" s="37">
        <f>VALUE(LEFT(F15,FIND("-",F15)-1))/H15*I15</f>
        <v>0.44215180545320559</v>
      </c>
      <c r="L15" s="37">
        <f>VALUE(MID(F15,FIND("-",F15)+1,99))/H15*I15</f>
        <v>0.73691967575534267</v>
      </c>
      <c r="M15" s="20">
        <f t="shared" si="1"/>
        <v>0.58953574060427416</v>
      </c>
      <c r="N15" s="36"/>
    </row>
    <row r="16" spans="1:14" ht="14.25" customHeight="1" x14ac:dyDescent="0.25">
      <c r="A16" s="36" t="s">
        <v>84</v>
      </c>
      <c r="B16" s="36">
        <v>2026</v>
      </c>
      <c r="C16" s="36" t="s">
        <v>65</v>
      </c>
      <c r="D16" s="36" t="s">
        <v>66</v>
      </c>
      <c r="E16" s="36" t="s">
        <v>46</v>
      </c>
      <c r="F16" s="38" t="s">
        <v>179</v>
      </c>
      <c r="G16" s="38" t="s">
        <v>163</v>
      </c>
      <c r="H16" s="37">
        <v>6.9020000000000001</v>
      </c>
      <c r="I16" s="37">
        <f t="shared" si="0"/>
        <v>1</v>
      </c>
      <c r="J16" s="37" t="str">
        <f t="shared" si="2"/>
        <v>0.3187-0.3477</v>
      </c>
      <c r="K16" s="37">
        <f>VALUE(LEFT(F16,FIND("-",F16)-1))/H16*I16</f>
        <v>0.31874818893074475</v>
      </c>
      <c r="L16" s="37">
        <f>VALUE(MID(F16,FIND("-",F16)+1,99))/H16*I16</f>
        <v>0.34772529701535787</v>
      </c>
      <c r="M16" s="20">
        <f t="shared" si="1"/>
        <v>0.33323674297305128</v>
      </c>
      <c r="N16" s="36"/>
    </row>
    <row r="17" spans="1:14" ht="14.25" customHeight="1" x14ac:dyDescent="0.25">
      <c r="A17" s="36" t="s">
        <v>180</v>
      </c>
      <c r="B17" s="36">
        <v>2025</v>
      </c>
      <c r="C17" s="36" t="s">
        <v>142</v>
      </c>
      <c r="D17" s="36" t="s">
        <v>97</v>
      </c>
      <c r="E17" s="36" t="s">
        <v>48</v>
      </c>
      <c r="F17" s="38" t="s">
        <v>108</v>
      </c>
      <c r="G17" s="38" t="s">
        <v>174</v>
      </c>
      <c r="H17" s="37">
        <v>0.92</v>
      </c>
      <c r="I17" s="37">
        <f t="shared" ref="I17:I33" si="3">331.279875/321.961909090909</f>
        <v>1.0289412059190517</v>
      </c>
      <c r="J17" s="37" t="str">
        <f t="shared" si="2"/>
        <v>4.47-11.18</v>
      </c>
      <c r="K17" s="37">
        <f>VALUE(LEFT(F17,FIND("-",F17)-1))/H17*I17</f>
        <v>4.4736574170393553</v>
      </c>
      <c r="L17" s="37">
        <f>VALUE(MID(F17,FIND("-",F17)+1,99))/H17*I17</f>
        <v>11.184143542598388</v>
      </c>
      <c r="M17" s="20">
        <f t="shared" si="1"/>
        <v>7.8289004798188717</v>
      </c>
      <c r="N17" s="36"/>
    </row>
    <row r="18" spans="1:14" ht="14.25" customHeight="1" x14ac:dyDescent="0.25">
      <c r="A18" s="36" t="s">
        <v>87</v>
      </c>
      <c r="B18" s="36">
        <v>2025</v>
      </c>
      <c r="C18" s="36" t="s">
        <v>88</v>
      </c>
      <c r="D18" s="36" t="s">
        <v>66</v>
      </c>
      <c r="E18" s="36" t="s">
        <v>48</v>
      </c>
      <c r="F18" s="38" t="s">
        <v>181</v>
      </c>
      <c r="G18" s="38" t="s">
        <v>176</v>
      </c>
      <c r="H18" s="37">
        <v>1</v>
      </c>
      <c r="I18" s="37">
        <f t="shared" si="3"/>
        <v>1.0289412059190517</v>
      </c>
      <c r="J18" s="37" t="str">
        <f t="shared" si="2"/>
        <v>2.56-7.69</v>
      </c>
      <c r="K18" s="37">
        <f>'Cost calculation'!T7</f>
        <v>2.5620636027384389</v>
      </c>
      <c r="L18" s="37">
        <f>'Cost calculation'!U7</f>
        <v>7.6861908082153159</v>
      </c>
      <c r="M18" s="20">
        <f t="shared" si="1"/>
        <v>5.1241272054768778</v>
      </c>
      <c r="N18" s="36"/>
    </row>
    <row r="19" spans="1:14" ht="14.25" customHeight="1" x14ac:dyDescent="0.25">
      <c r="A19" s="36" t="s">
        <v>182</v>
      </c>
      <c r="B19" s="36">
        <v>2025</v>
      </c>
      <c r="C19" s="36" t="s">
        <v>65</v>
      </c>
      <c r="D19" s="36" t="s">
        <v>66</v>
      </c>
      <c r="E19" s="36" t="s">
        <v>46</v>
      </c>
      <c r="F19" s="38" t="s">
        <v>183</v>
      </c>
      <c r="G19" s="38" t="s">
        <v>184</v>
      </c>
      <c r="H19" s="37">
        <v>7.1189999999999998</v>
      </c>
      <c r="I19" s="37">
        <f t="shared" si="3"/>
        <v>1.0289412059190517</v>
      </c>
      <c r="J19" s="37">
        <f>K19</f>
        <v>0.18548595976908505</v>
      </c>
      <c r="K19" s="37">
        <f>'Cost calculation'!AB22</f>
        <v>0.18548595976908505</v>
      </c>
      <c r="L19" s="37">
        <f>'Cost calculation'!AC22</f>
        <v>0.18548595976908505</v>
      </c>
      <c r="M19" s="20">
        <f t="shared" si="1"/>
        <v>0.18548595976908505</v>
      </c>
      <c r="N19" s="36" t="s">
        <v>185</v>
      </c>
    </row>
    <row r="20" spans="1:14" ht="14.25" customHeight="1" x14ac:dyDescent="0.25">
      <c r="A20" s="36" t="s">
        <v>186</v>
      </c>
      <c r="B20" s="36">
        <v>2025</v>
      </c>
      <c r="C20" s="36" t="s">
        <v>65</v>
      </c>
      <c r="D20" s="36" t="s">
        <v>66</v>
      </c>
      <c r="E20" s="36" t="s">
        <v>71</v>
      </c>
      <c r="F20" s="38" t="s">
        <v>187</v>
      </c>
      <c r="G20" s="38" t="s">
        <v>163</v>
      </c>
      <c r="H20" s="37">
        <v>7.2530000000000001</v>
      </c>
      <c r="I20" s="37">
        <f t="shared" si="3"/>
        <v>1.0289412059190517</v>
      </c>
      <c r="J20" s="37" t="str">
        <f>TEXT(K20,IF(ABS(K20)&gt;=1,"0.##",IF(ABS(K20)&gt;=0.01,"0.####","0.######")))&amp;"-"&amp;TEXT(L20,IF(ABS(L20)&gt;=1,"0.##",IF(ABS(L20)&gt;=0.01,"0.####","0.######")))</f>
        <v>0.5675-1.28</v>
      </c>
      <c r="K20" s="37">
        <f>VALUE(LEFT(F20,FIND("-",F20)-1))/H20*I20</f>
        <v>0.56745689006979272</v>
      </c>
      <c r="L20" s="37">
        <f>VALUE(MID(F20,FIND("-",F20)+1,99))/H20*I20</f>
        <v>1.2767780026570337</v>
      </c>
      <c r="M20" s="20">
        <f t="shared" si="1"/>
        <v>0.9221174463634132</v>
      </c>
      <c r="N20" s="36"/>
    </row>
    <row r="21" spans="1:14" ht="14.25" customHeight="1" x14ac:dyDescent="0.25">
      <c r="A21" s="36" t="s">
        <v>95</v>
      </c>
      <c r="B21" s="36">
        <v>2025</v>
      </c>
      <c r="C21" s="36" t="s">
        <v>96</v>
      </c>
      <c r="D21" s="36" t="s">
        <v>97</v>
      </c>
      <c r="E21" s="36" t="s">
        <v>46</v>
      </c>
      <c r="F21" s="38" t="s">
        <v>188</v>
      </c>
      <c r="G21" s="38" t="s">
        <v>174</v>
      </c>
      <c r="H21" s="37">
        <v>0.96099999999999997</v>
      </c>
      <c r="I21" s="37">
        <f t="shared" si="3"/>
        <v>1.0289412059190517</v>
      </c>
      <c r="J21" s="37" t="str">
        <f>TEXT(K21,IF(ABS(K21)&gt;=1,"0.##",IF(ABS(K21)&gt;=0.01,"0.####","0.######")))&amp;"-"&amp;TEXT(L21,IF(ABS(L21)&gt;=1,"0.##",IF(ABS(L21)&gt;=0.01,"0.####","0.######")))</f>
        <v>3.21-3.75</v>
      </c>
      <c r="K21" s="37">
        <f>VALUE(LEFT(F21,FIND("-",F21)-1))/H21*I21</f>
        <v>3.2120953358555204</v>
      </c>
      <c r="L21" s="37">
        <f>VALUE(MID(F21,FIND("-",F21)+1,99))/H21*I21</f>
        <v>3.7474445584981075</v>
      </c>
      <c r="M21" s="20">
        <f t="shared" si="1"/>
        <v>3.479769947176814</v>
      </c>
      <c r="N21" s="36"/>
    </row>
    <row r="22" spans="1:14" ht="14.25" customHeight="1" x14ac:dyDescent="0.25">
      <c r="A22" s="36" t="s">
        <v>95</v>
      </c>
      <c r="B22" s="36">
        <v>2025</v>
      </c>
      <c r="C22" s="36" t="s">
        <v>96</v>
      </c>
      <c r="D22" s="36" t="s">
        <v>97</v>
      </c>
      <c r="E22" s="36" t="s">
        <v>47</v>
      </c>
      <c r="F22" s="38" t="s">
        <v>188</v>
      </c>
      <c r="G22" s="38" t="s">
        <v>174</v>
      </c>
      <c r="H22" s="37">
        <v>0.96099999999999997</v>
      </c>
      <c r="I22" s="37">
        <f t="shared" si="3"/>
        <v>1.0289412059190517</v>
      </c>
      <c r="J22" s="37" t="str">
        <f>TEXT(K22,IF(ABS(K22)&gt;=1,"0.##",IF(ABS(K22)&gt;=0.01,"0.####","0.######")))&amp;"-"&amp;TEXT(L22,IF(ABS(L22)&gt;=1,"0.##",IF(ABS(L22)&gt;=0.01,"0.####","0.######")))</f>
        <v>3.21-3.75</v>
      </c>
      <c r="K22" s="37">
        <f>VALUE(LEFT(F22,FIND("-",F22)-1))/H22*I22</f>
        <v>3.2120953358555204</v>
      </c>
      <c r="L22" s="37">
        <f>VALUE(MID(F22,FIND("-",F22)+1,99))/H22*I22</f>
        <v>3.7474445584981075</v>
      </c>
      <c r="M22" s="20">
        <f t="shared" si="1"/>
        <v>3.479769947176814</v>
      </c>
      <c r="N22" s="36"/>
    </row>
    <row r="23" spans="1:14" ht="14.25" customHeight="1" x14ac:dyDescent="0.25">
      <c r="A23" s="36" t="s">
        <v>95</v>
      </c>
      <c r="B23" s="36">
        <v>2025</v>
      </c>
      <c r="C23" s="36" t="s">
        <v>96</v>
      </c>
      <c r="D23" s="36" t="s">
        <v>97</v>
      </c>
      <c r="E23" s="36" t="s">
        <v>48</v>
      </c>
      <c r="F23" s="38" t="s">
        <v>188</v>
      </c>
      <c r="G23" s="38" t="s">
        <v>174</v>
      </c>
      <c r="H23" s="37">
        <v>0.96099999999999997</v>
      </c>
      <c r="I23" s="37">
        <f t="shared" si="3"/>
        <v>1.0289412059190517</v>
      </c>
      <c r="J23" s="37" t="str">
        <f>TEXT(K23,IF(ABS(K23)&gt;=1,"0.##",IF(ABS(K23)&gt;=0.01,"0.####","0.######")))&amp;"-"&amp;TEXT(L23,IF(ABS(L23)&gt;=1,"0.##",IF(ABS(L23)&gt;=0.01,"0.####","0.######")))</f>
        <v>3.21-3.75</v>
      </c>
      <c r="K23" s="37">
        <f>VALUE(LEFT(F23,FIND("-",F23)-1))/H23*I23</f>
        <v>3.2120953358555204</v>
      </c>
      <c r="L23" s="37">
        <f>VALUE(MID(F23,FIND("-",F23)+1,99))/H23*I23</f>
        <v>3.7474445584981075</v>
      </c>
      <c r="M23" s="20">
        <f t="shared" si="1"/>
        <v>3.479769947176814</v>
      </c>
      <c r="N23" s="36"/>
    </row>
    <row r="24" spans="1:14" ht="14.25" customHeight="1" x14ac:dyDescent="0.25">
      <c r="A24" s="36" t="s">
        <v>98</v>
      </c>
      <c r="B24" s="36">
        <v>2025</v>
      </c>
      <c r="C24" s="36" t="s">
        <v>70</v>
      </c>
      <c r="D24" s="36" t="s">
        <v>66</v>
      </c>
      <c r="E24" s="36" t="s">
        <v>48</v>
      </c>
      <c r="F24" s="38">
        <v>3000</v>
      </c>
      <c r="G24" s="38" t="s">
        <v>167</v>
      </c>
      <c r="H24" s="37">
        <v>1273.8800000000001</v>
      </c>
      <c r="I24" s="37">
        <f t="shared" si="3"/>
        <v>1.0289412059190517</v>
      </c>
      <c r="J24" s="37">
        <f>K24</f>
        <v>2.423166717239579</v>
      </c>
      <c r="K24" s="37">
        <f>F24/H24*I24</f>
        <v>2.423166717239579</v>
      </c>
      <c r="L24" s="37">
        <f>F24/H24*I24</f>
        <v>2.423166717239579</v>
      </c>
      <c r="M24" s="20">
        <f t="shared" si="1"/>
        <v>2.423166717239579</v>
      </c>
      <c r="N24" s="36"/>
    </row>
    <row r="25" spans="1:14" ht="14.25" customHeight="1" x14ac:dyDescent="0.25">
      <c r="A25" s="36" t="s">
        <v>166</v>
      </c>
      <c r="B25" s="36">
        <v>2025</v>
      </c>
      <c r="C25" s="36" t="s">
        <v>70</v>
      </c>
      <c r="D25" s="36" t="s">
        <v>66</v>
      </c>
      <c r="E25" s="36" t="s">
        <v>48</v>
      </c>
      <c r="F25" s="38">
        <v>3000</v>
      </c>
      <c r="G25" s="38" t="s">
        <v>167</v>
      </c>
      <c r="H25" s="37">
        <v>1253.5999999999999</v>
      </c>
      <c r="I25" s="37">
        <f t="shared" si="3"/>
        <v>1.0289412059190517</v>
      </c>
      <c r="J25" s="37">
        <f>K25</f>
        <v>2.4623672764495494</v>
      </c>
      <c r="K25" s="37">
        <f>F25/H25*I25</f>
        <v>2.4623672764495494</v>
      </c>
      <c r="L25" s="37">
        <f>F25/H25*I25</f>
        <v>2.4623672764495494</v>
      </c>
      <c r="M25" s="20">
        <f t="shared" si="1"/>
        <v>2.4623672764495494</v>
      </c>
      <c r="N25" s="36" t="s">
        <v>189</v>
      </c>
    </row>
    <row r="26" spans="1:14" ht="14.25" customHeight="1" x14ac:dyDescent="0.25">
      <c r="A26" s="36" t="s">
        <v>166</v>
      </c>
      <c r="B26" s="36">
        <v>2025</v>
      </c>
      <c r="C26" s="36" t="s">
        <v>70</v>
      </c>
      <c r="D26" s="36" t="s">
        <v>66</v>
      </c>
      <c r="E26" s="36" t="s">
        <v>48</v>
      </c>
      <c r="F26" s="38">
        <v>1000</v>
      </c>
      <c r="G26" s="38" t="s">
        <v>167</v>
      </c>
      <c r="H26" s="37">
        <v>1253.5999999999999</v>
      </c>
      <c r="I26" s="37">
        <f t="shared" si="3"/>
        <v>1.0289412059190517</v>
      </c>
      <c r="J26" s="37">
        <f>K26</f>
        <v>0.82078909214984985</v>
      </c>
      <c r="K26" s="37">
        <f>F26/H26*I26</f>
        <v>0.82078909214984985</v>
      </c>
      <c r="L26" s="37">
        <f>F26/H26*I26</f>
        <v>0.82078909214984985</v>
      </c>
      <c r="M26" s="20">
        <f t="shared" si="1"/>
        <v>0.82078909214984985</v>
      </c>
      <c r="N26" s="36" t="s">
        <v>190</v>
      </c>
    </row>
    <row r="27" spans="1:14" ht="14.25" customHeight="1" x14ac:dyDescent="0.25">
      <c r="A27" s="36" t="s">
        <v>191</v>
      </c>
      <c r="B27" s="36">
        <v>2025</v>
      </c>
      <c r="C27" s="36" t="s">
        <v>88</v>
      </c>
      <c r="D27" s="36" t="s">
        <v>66</v>
      </c>
      <c r="E27" s="36" t="s">
        <v>48</v>
      </c>
      <c r="F27" s="38" t="s">
        <v>192</v>
      </c>
      <c r="G27" s="38" t="s">
        <v>193</v>
      </c>
      <c r="H27" s="37">
        <v>16649.990000000002</v>
      </c>
      <c r="I27" s="37">
        <f t="shared" si="3"/>
        <v>1.0289412059190517</v>
      </c>
      <c r="J27" s="37" t="str">
        <f>TEXT(K27,IF(ABS(K27)&gt;=1,"0.##",IF(ABS(K27)&gt;=0.01,"0.####","0.######")))&amp;"-"&amp;TEXT(L27,IF(ABS(L27)&gt;=1,"0.##",IF(ABS(L27)&gt;=0.01,"0.####","0.######")))</f>
        <v>0.000308-0.002769</v>
      </c>
      <c r="K27" s="37">
        <f>'Cost calculation'!T8</f>
        <v>3.0770941614208935E-4</v>
      </c>
      <c r="L27" s="37">
        <f>'Cost calculation'!U8</f>
        <v>2.7693847452788046E-3</v>
      </c>
      <c r="M27" s="20">
        <f t="shared" si="1"/>
        <v>1.5385470807104469E-3</v>
      </c>
      <c r="N27" s="36"/>
    </row>
    <row r="28" spans="1:14" ht="14.25" customHeight="1" x14ac:dyDescent="0.25">
      <c r="A28" s="36" t="s">
        <v>111</v>
      </c>
      <c r="B28" s="36">
        <v>2025</v>
      </c>
      <c r="C28" s="36" t="s">
        <v>75</v>
      </c>
      <c r="D28" s="36" t="s">
        <v>75</v>
      </c>
      <c r="E28" s="36" t="s">
        <v>48</v>
      </c>
      <c r="F28" s="38">
        <v>5.3</v>
      </c>
      <c r="G28" s="38" t="s">
        <v>161</v>
      </c>
      <c r="H28" s="37">
        <v>1</v>
      </c>
      <c r="I28" s="37">
        <f t="shared" si="3"/>
        <v>1.0289412059190517</v>
      </c>
      <c r="J28" s="37">
        <f t="shared" ref="J28:J33" si="4">K28</f>
        <v>3.3885784464794186</v>
      </c>
      <c r="K28" s="37">
        <f t="shared" ref="K28:K33" si="5">F28/1.609344/H28*I28</f>
        <v>3.3885784464794186</v>
      </c>
      <c r="L28" s="37">
        <f t="shared" ref="L28:L33" si="6">F28/1.609344/H28*I28</f>
        <v>3.3885784464794186</v>
      </c>
      <c r="M28" s="20">
        <f t="shared" si="1"/>
        <v>3.3885784464794186</v>
      </c>
      <c r="N28" s="36" t="s">
        <v>194</v>
      </c>
    </row>
    <row r="29" spans="1:14" ht="14.25" customHeight="1" x14ac:dyDescent="0.25">
      <c r="A29" s="36" t="s">
        <v>111</v>
      </c>
      <c r="B29" s="36">
        <v>2025</v>
      </c>
      <c r="C29" s="36" t="s">
        <v>75</v>
      </c>
      <c r="D29" s="36" t="s">
        <v>75</v>
      </c>
      <c r="E29" s="36" t="s">
        <v>48</v>
      </c>
      <c r="F29" s="38">
        <v>8.6999999999999993</v>
      </c>
      <c r="G29" s="38" t="s">
        <v>161</v>
      </c>
      <c r="H29" s="37">
        <v>1</v>
      </c>
      <c r="I29" s="37">
        <f t="shared" si="3"/>
        <v>1.0289412059190517</v>
      </c>
      <c r="J29" s="37">
        <f t="shared" si="4"/>
        <v>5.5623834876171578</v>
      </c>
      <c r="K29" s="37">
        <f t="shared" si="5"/>
        <v>5.5623834876171578</v>
      </c>
      <c r="L29" s="37">
        <f t="shared" si="6"/>
        <v>5.5623834876171578</v>
      </c>
      <c r="M29" s="20">
        <f t="shared" si="1"/>
        <v>5.5623834876171578</v>
      </c>
      <c r="N29" s="36" t="s">
        <v>195</v>
      </c>
    </row>
    <row r="30" spans="1:14" ht="14.25" customHeight="1" x14ac:dyDescent="0.25">
      <c r="A30" s="36" t="s">
        <v>111</v>
      </c>
      <c r="B30" s="36">
        <v>2025</v>
      </c>
      <c r="C30" s="36" t="s">
        <v>75</v>
      </c>
      <c r="D30" s="36" t="s">
        <v>75</v>
      </c>
      <c r="E30" s="36" t="s">
        <v>48</v>
      </c>
      <c r="F30" s="38">
        <v>11.2</v>
      </c>
      <c r="G30" s="38" t="s">
        <v>161</v>
      </c>
      <c r="H30" s="37">
        <v>1</v>
      </c>
      <c r="I30" s="37">
        <f t="shared" si="3"/>
        <v>1.0289412059190517</v>
      </c>
      <c r="J30" s="37">
        <f t="shared" si="4"/>
        <v>7.1607695472772619</v>
      </c>
      <c r="K30" s="37">
        <f t="shared" si="5"/>
        <v>7.1607695472772619</v>
      </c>
      <c r="L30" s="37">
        <f t="shared" si="6"/>
        <v>7.1607695472772619</v>
      </c>
      <c r="M30" s="20">
        <f t="shared" si="1"/>
        <v>7.1607695472772619</v>
      </c>
      <c r="N30" s="36" t="s">
        <v>196</v>
      </c>
    </row>
    <row r="31" spans="1:14" ht="14.25" customHeight="1" x14ac:dyDescent="0.25">
      <c r="A31" s="36" t="s">
        <v>197</v>
      </c>
      <c r="B31" s="36">
        <v>2025</v>
      </c>
      <c r="C31" s="36" t="s">
        <v>65</v>
      </c>
      <c r="D31" s="36" t="s">
        <v>66</v>
      </c>
      <c r="E31" s="36" t="s">
        <v>46</v>
      </c>
      <c r="F31" s="38">
        <v>1.84</v>
      </c>
      <c r="G31" s="38" t="s">
        <v>161</v>
      </c>
      <c r="H31" s="37">
        <v>1</v>
      </c>
      <c r="I31" s="37">
        <f t="shared" si="3"/>
        <v>1.0289412059190517</v>
      </c>
      <c r="J31" s="37">
        <f t="shared" si="4"/>
        <v>1.176412139909836</v>
      </c>
      <c r="K31" s="37">
        <f t="shared" si="5"/>
        <v>1.176412139909836</v>
      </c>
      <c r="L31" s="37">
        <f t="shared" si="6"/>
        <v>1.176412139909836</v>
      </c>
      <c r="M31" s="20">
        <f t="shared" si="1"/>
        <v>1.176412139909836</v>
      </c>
      <c r="N31" s="36"/>
    </row>
    <row r="32" spans="1:14" ht="14.25" customHeight="1" x14ac:dyDescent="0.25">
      <c r="A32" s="36" t="s">
        <v>198</v>
      </c>
      <c r="B32" s="36">
        <v>2025</v>
      </c>
      <c r="C32" s="36" t="s">
        <v>65</v>
      </c>
      <c r="D32" s="36" t="s">
        <v>66</v>
      </c>
      <c r="E32" s="36" t="s">
        <v>46</v>
      </c>
      <c r="F32" s="38">
        <v>1.84</v>
      </c>
      <c r="G32" s="38" t="s">
        <v>161</v>
      </c>
      <c r="H32" s="37">
        <v>1</v>
      </c>
      <c r="I32" s="37">
        <f t="shared" si="3"/>
        <v>1.0289412059190517</v>
      </c>
      <c r="J32" s="37">
        <f t="shared" si="4"/>
        <v>1.176412139909836</v>
      </c>
      <c r="K32" s="37">
        <f t="shared" si="5"/>
        <v>1.176412139909836</v>
      </c>
      <c r="L32" s="37">
        <f t="shared" si="6"/>
        <v>1.176412139909836</v>
      </c>
      <c r="M32" s="20">
        <f t="shared" si="1"/>
        <v>1.176412139909836</v>
      </c>
      <c r="N32" s="36"/>
    </row>
    <row r="33" spans="1:14" ht="14.25" customHeight="1" x14ac:dyDescent="0.25">
      <c r="A33" s="36" t="s">
        <v>199</v>
      </c>
      <c r="B33" s="36">
        <v>2025</v>
      </c>
      <c r="C33" s="36" t="s">
        <v>65</v>
      </c>
      <c r="D33" s="36" t="s">
        <v>66</v>
      </c>
      <c r="E33" s="36" t="s">
        <v>46</v>
      </c>
      <c r="F33" s="38">
        <v>1.84</v>
      </c>
      <c r="G33" s="38" t="s">
        <v>161</v>
      </c>
      <c r="H33" s="37">
        <v>1</v>
      </c>
      <c r="I33" s="37">
        <f t="shared" si="3"/>
        <v>1.0289412059190517</v>
      </c>
      <c r="J33" s="37">
        <f t="shared" si="4"/>
        <v>1.176412139909836</v>
      </c>
      <c r="K33" s="37">
        <f t="shared" si="5"/>
        <v>1.176412139909836</v>
      </c>
      <c r="L33" s="37">
        <f t="shared" si="6"/>
        <v>1.176412139909836</v>
      </c>
      <c r="M33" s="20">
        <f t="shared" si="1"/>
        <v>1.176412139909836</v>
      </c>
      <c r="N33" s="36"/>
    </row>
    <row r="34" spans="1:14" ht="14.25" customHeight="1" x14ac:dyDescent="0.25">
      <c r="A34" s="36" t="s">
        <v>200</v>
      </c>
      <c r="B34" s="36">
        <v>2024</v>
      </c>
      <c r="C34" s="36" t="s">
        <v>201</v>
      </c>
      <c r="D34" s="36" t="s">
        <v>201</v>
      </c>
      <c r="E34" s="36" t="s">
        <v>46</v>
      </c>
      <c r="F34" s="38" t="s">
        <v>202</v>
      </c>
      <c r="G34" s="38" t="s">
        <v>174</v>
      </c>
      <c r="H34" s="37">
        <v>0.92700000000000005</v>
      </c>
      <c r="I34" s="37">
        <f t="shared" ref="I34:I52" si="7">331.279875/313.698166666667</f>
        <v>1.0560465766190312</v>
      </c>
      <c r="J34" s="37" t="str">
        <f t="shared" ref="J34:J41" si="8">TEXT(K34,IF(ABS(K34)&gt;=1,"0.##",IF(ABS(K34)&gt;=0.01,"0.####","0.######")))&amp;"-"&amp;TEXT(L34,IF(ABS(L34)&gt;=1,"0.##",IF(ABS(L34)&gt;=0.01,"0.####","0.######")))</f>
        <v>2.85-6.84</v>
      </c>
      <c r="K34" s="37">
        <f>VALUE(LEFT(F34,FIND("-",F34)-1))/H34*I34</f>
        <v>2.8480220512918857</v>
      </c>
      <c r="L34" s="37">
        <f>VALUE(MID(F34,FIND("-",F34)+1,99))/H34*I34</f>
        <v>6.8352529231005255</v>
      </c>
      <c r="M34" s="20">
        <f t="shared" si="1"/>
        <v>4.8416374871962056</v>
      </c>
      <c r="N34" s="36"/>
    </row>
    <row r="35" spans="1:14" ht="14.25" customHeight="1" x14ac:dyDescent="0.25">
      <c r="A35" s="36" t="s">
        <v>203</v>
      </c>
      <c r="B35" s="36">
        <v>2024</v>
      </c>
      <c r="C35" s="36" t="s">
        <v>75</v>
      </c>
      <c r="D35" s="36" t="s">
        <v>75</v>
      </c>
      <c r="E35" s="36" t="s">
        <v>46</v>
      </c>
      <c r="F35" s="38" t="s">
        <v>204</v>
      </c>
      <c r="G35" s="38" t="s">
        <v>161</v>
      </c>
      <c r="H35" s="37">
        <v>1</v>
      </c>
      <c r="I35" s="37">
        <f t="shared" si="7"/>
        <v>1.0560465766190312</v>
      </c>
      <c r="J35" s="37" t="str">
        <f t="shared" si="8"/>
        <v>0.3281-0.9843</v>
      </c>
      <c r="K35" s="37">
        <f>VALUE(LEFT(F35,FIND("-",F35)-1))/1.609344/H35*I35</f>
        <v>0.32809846018596123</v>
      </c>
      <c r="L35" s="37">
        <f>VALUE(MID(F35,FIND("-",F35)+1,99))/1.609344/H35*I35</f>
        <v>0.98429538055788368</v>
      </c>
      <c r="M35" s="20">
        <f t="shared" si="1"/>
        <v>0.65619692037192245</v>
      </c>
      <c r="N35" s="36"/>
    </row>
    <row r="36" spans="1:14" ht="14.25" customHeight="1" x14ac:dyDescent="0.25">
      <c r="A36" s="36" t="s">
        <v>205</v>
      </c>
      <c r="B36" s="36">
        <v>2024</v>
      </c>
      <c r="C36" s="36" t="s">
        <v>70</v>
      </c>
      <c r="D36" s="36" t="s">
        <v>66</v>
      </c>
      <c r="E36" s="36" t="s">
        <v>46</v>
      </c>
      <c r="F36" s="38" t="s">
        <v>206</v>
      </c>
      <c r="G36" s="38" t="s">
        <v>176</v>
      </c>
      <c r="H36" s="37">
        <v>1</v>
      </c>
      <c r="I36" s="37">
        <f t="shared" si="7"/>
        <v>1.0560465766190312</v>
      </c>
      <c r="J36" s="37" t="str">
        <f t="shared" si="8"/>
        <v>0.3485-1.87</v>
      </c>
      <c r="K36" s="37">
        <f>'Cost calculation'!M47</f>
        <v>0.34849537028428035</v>
      </c>
      <c r="L36" s="37">
        <f>'Cost calculation'!N47</f>
        <v>1.8692024406156853</v>
      </c>
      <c r="M36" s="20">
        <f t="shared" si="1"/>
        <v>1.1088489054499828</v>
      </c>
      <c r="N36" s="36"/>
    </row>
    <row r="37" spans="1:14" ht="14.25" customHeight="1" x14ac:dyDescent="0.25">
      <c r="A37" s="36" t="s">
        <v>205</v>
      </c>
      <c r="B37" s="36">
        <v>2024</v>
      </c>
      <c r="C37" s="36" t="s">
        <v>70</v>
      </c>
      <c r="D37" s="36" t="s">
        <v>66</v>
      </c>
      <c r="E37" s="36" t="s">
        <v>48</v>
      </c>
      <c r="F37" s="38" t="s">
        <v>207</v>
      </c>
      <c r="G37" s="38" t="s">
        <v>176</v>
      </c>
      <c r="H37" s="37">
        <v>1</v>
      </c>
      <c r="I37" s="37">
        <f t="shared" si="7"/>
        <v>1.0560465766190312</v>
      </c>
      <c r="J37" s="37" t="str">
        <f t="shared" si="8"/>
        <v>0.528-1.46</v>
      </c>
      <c r="K37" s="37">
        <f>'Cost calculation'!M48</f>
        <v>0.52802328830951561</v>
      </c>
      <c r="L37" s="37">
        <f>'Cost calculation'!N48</f>
        <v>1.457344275734263</v>
      </c>
      <c r="M37" s="20">
        <f t="shared" si="1"/>
        <v>0.99268378202188923</v>
      </c>
      <c r="N37" s="36"/>
    </row>
    <row r="38" spans="1:14" ht="14.25" customHeight="1" x14ac:dyDescent="0.25">
      <c r="A38" s="36" t="s">
        <v>186</v>
      </c>
      <c r="B38" s="36">
        <v>2024</v>
      </c>
      <c r="C38" s="36" t="s">
        <v>208</v>
      </c>
      <c r="D38" s="36" t="s">
        <v>75</v>
      </c>
      <c r="E38" s="36" t="s">
        <v>46</v>
      </c>
      <c r="F38" s="38" t="s">
        <v>209</v>
      </c>
      <c r="G38" s="38" t="s">
        <v>210</v>
      </c>
      <c r="H38" s="37">
        <v>1</v>
      </c>
      <c r="I38" s="37">
        <f t="shared" si="7"/>
        <v>1.0560465766190312</v>
      </c>
      <c r="J38" s="37" t="str">
        <f t="shared" si="8"/>
        <v>2.05-7.17</v>
      </c>
      <c r="K38" s="37">
        <f>VALUE(LEFT(F38,FIND("-",F38)-1))/H38*I38</f>
        <v>2.0487303586409205</v>
      </c>
      <c r="L38" s="37">
        <f>VALUE(MID(F38,FIND("-",F38)+1,99))/H38*I38</f>
        <v>7.1705562552432225</v>
      </c>
      <c r="M38" s="20">
        <f t="shared" si="1"/>
        <v>4.6096433069420719</v>
      </c>
      <c r="N38" s="36" t="s">
        <v>211</v>
      </c>
    </row>
    <row r="39" spans="1:14" ht="14.25" customHeight="1" x14ac:dyDescent="0.25">
      <c r="A39" s="36" t="s">
        <v>186</v>
      </c>
      <c r="B39" s="36">
        <v>2024</v>
      </c>
      <c r="C39" s="36" t="s">
        <v>208</v>
      </c>
      <c r="D39" s="36" t="s">
        <v>75</v>
      </c>
      <c r="E39" s="36" t="s">
        <v>46</v>
      </c>
      <c r="F39" s="38" t="s">
        <v>212</v>
      </c>
      <c r="G39" s="38" t="s">
        <v>210</v>
      </c>
      <c r="H39" s="37">
        <v>1</v>
      </c>
      <c r="I39" s="37">
        <f t="shared" si="7"/>
        <v>1.0560465766190312</v>
      </c>
      <c r="J39" s="37" t="str">
        <f t="shared" si="8"/>
        <v>0.8237-2.86</v>
      </c>
      <c r="K39" s="37">
        <f>VALUE(LEFT(F39,FIND("-",F39)-1))/H39*I39</f>
        <v>0.82371632976284437</v>
      </c>
      <c r="L39" s="37">
        <f>VALUE(MID(F39,FIND("-",F39)+1,99))/H39*I39</f>
        <v>2.8618862226375748</v>
      </c>
      <c r="M39" s="20">
        <f t="shared" si="1"/>
        <v>1.8428012762002095</v>
      </c>
      <c r="N39" s="36" t="s">
        <v>213</v>
      </c>
    </row>
    <row r="40" spans="1:14" ht="14.25" customHeight="1" x14ac:dyDescent="0.25">
      <c r="A40" s="36" t="s">
        <v>186</v>
      </c>
      <c r="B40" s="36">
        <v>2024</v>
      </c>
      <c r="C40" s="36" t="s">
        <v>208</v>
      </c>
      <c r="D40" s="36" t="s">
        <v>75</v>
      </c>
      <c r="E40" s="36" t="s">
        <v>47</v>
      </c>
      <c r="F40" s="38" t="s">
        <v>209</v>
      </c>
      <c r="G40" s="38" t="s">
        <v>210</v>
      </c>
      <c r="H40" s="37">
        <v>1</v>
      </c>
      <c r="I40" s="37">
        <f t="shared" si="7"/>
        <v>1.0560465766190312</v>
      </c>
      <c r="J40" s="37" t="str">
        <f t="shared" si="8"/>
        <v>2.05-7.17</v>
      </c>
      <c r="K40" s="37">
        <f>VALUE(LEFT(F40,FIND("-",F40)-1))/H40*I40</f>
        <v>2.0487303586409205</v>
      </c>
      <c r="L40" s="37">
        <f>VALUE(MID(F40,FIND("-",F40)+1,99))/H40*I40</f>
        <v>7.1705562552432225</v>
      </c>
      <c r="M40" s="20">
        <f t="shared" si="1"/>
        <v>4.6096433069420719</v>
      </c>
      <c r="N40" s="36" t="s">
        <v>211</v>
      </c>
    </row>
    <row r="41" spans="1:14" ht="14.25" customHeight="1" x14ac:dyDescent="0.25">
      <c r="A41" s="36" t="s">
        <v>186</v>
      </c>
      <c r="B41" s="36">
        <v>2024</v>
      </c>
      <c r="C41" s="36" t="s">
        <v>208</v>
      </c>
      <c r="D41" s="36" t="s">
        <v>75</v>
      </c>
      <c r="E41" s="36" t="s">
        <v>47</v>
      </c>
      <c r="F41" s="38" t="s">
        <v>212</v>
      </c>
      <c r="G41" s="38" t="s">
        <v>210</v>
      </c>
      <c r="H41" s="37">
        <v>1</v>
      </c>
      <c r="I41" s="37">
        <f t="shared" si="7"/>
        <v>1.0560465766190312</v>
      </c>
      <c r="J41" s="37" t="str">
        <f t="shared" si="8"/>
        <v>0.8237-2.86</v>
      </c>
      <c r="K41" s="37">
        <f>VALUE(LEFT(F41,FIND("-",F41)-1))/H41*I41</f>
        <v>0.82371632976284437</v>
      </c>
      <c r="L41" s="37">
        <f>VALUE(MID(F41,FIND("-",F41)+1,99))/H41*I41</f>
        <v>2.8618862226375748</v>
      </c>
      <c r="M41" s="20">
        <f t="shared" si="1"/>
        <v>1.8428012762002095</v>
      </c>
      <c r="N41" s="36" t="s">
        <v>213</v>
      </c>
    </row>
    <row r="42" spans="1:14" ht="14.25" customHeight="1" x14ac:dyDescent="0.25">
      <c r="A42" s="36" t="s">
        <v>115</v>
      </c>
      <c r="B42" s="36">
        <v>2024</v>
      </c>
      <c r="C42" s="36" t="s">
        <v>96</v>
      </c>
      <c r="D42" s="36" t="s">
        <v>97</v>
      </c>
      <c r="E42" s="36" t="s">
        <v>47</v>
      </c>
      <c r="F42" s="38">
        <v>3.5</v>
      </c>
      <c r="G42" s="38" t="s">
        <v>174</v>
      </c>
      <c r="H42" s="37">
        <v>0.92700000000000005</v>
      </c>
      <c r="I42" s="37">
        <f t="shared" si="7"/>
        <v>1.0560465766190312</v>
      </c>
      <c r="J42" s="37">
        <f>K42</f>
        <v>3.9872308718086398</v>
      </c>
      <c r="K42" s="37">
        <f>F42/H42*I42</f>
        <v>3.9872308718086398</v>
      </c>
      <c r="L42" s="37">
        <f>F42/H42*I42</f>
        <v>3.9872308718086398</v>
      </c>
      <c r="M42" s="20">
        <f t="shared" si="1"/>
        <v>3.9872308718086398</v>
      </c>
      <c r="N42" s="36"/>
    </row>
    <row r="43" spans="1:14" ht="14.25" customHeight="1" x14ac:dyDescent="0.25">
      <c r="A43" s="36" t="s">
        <v>115</v>
      </c>
      <c r="B43" s="36">
        <v>2024</v>
      </c>
      <c r="C43" s="36" t="s">
        <v>96</v>
      </c>
      <c r="D43" s="36" t="s">
        <v>97</v>
      </c>
      <c r="E43" s="36" t="s">
        <v>48</v>
      </c>
      <c r="F43" s="38">
        <v>3.5</v>
      </c>
      <c r="G43" s="38" t="s">
        <v>174</v>
      </c>
      <c r="H43" s="37">
        <v>0.92700000000000005</v>
      </c>
      <c r="I43" s="37">
        <f t="shared" si="7"/>
        <v>1.0560465766190312</v>
      </c>
      <c r="J43" s="37">
        <f>K43</f>
        <v>3.9872308718086398</v>
      </c>
      <c r="K43" s="37">
        <f>F43/H43*I43</f>
        <v>3.9872308718086398</v>
      </c>
      <c r="L43" s="37">
        <f>F43/H43*I43</f>
        <v>3.9872308718086398</v>
      </c>
      <c r="M43" s="20">
        <f t="shared" si="1"/>
        <v>3.9872308718086398</v>
      </c>
      <c r="N43" s="36"/>
    </row>
    <row r="44" spans="1:14" ht="14.25" customHeight="1" x14ac:dyDescent="0.25">
      <c r="A44" s="36" t="s">
        <v>116</v>
      </c>
      <c r="B44" s="36">
        <v>2024</v>
      </c>
      <c r="C44" s="36" t="s">
        <v>96</v>
      </c>
      <c r="D44" s="36" t="s">
        <v>97</v>
      </c>
      <c r="E44" s="36" t="s">
        <v>48</v>
      </c>
      <c r="F44" s="38" t="s">
        <v>214</v>
      </c>
      <c r="G44" s="38" t="s">
        <v>215</v>
      </c>
      <c r="H44" s="37">
        <v>0.89300000000000002</v>
      </c>
      <c r="I44" s="37">
        <f t="shared" si="7"/>
        <v>1.0560465766190312</v>
      </c>
      <c r="J44" s="37" t="str">
        <f>TEXT(K44,IF(ABS(K44)&gt;=1,"0.##",IF(ABS(K44)&gt;=0.01,"0.####","0.######")))&amp;"-"&amp;TEXT(L44,IF(ABS(L44)&gt;=1,"0.##",IF(ABS(L44)&gt;=0.01,"0.####","0.######")))</f>
        <v>0.5888-2.36</v>
      </c>
      <c r="K44" s="37">
        <f>'Cost calculation'!T9</f>
        <v>0.58883798466767223</v>
      </c>
      <c r="L44" s="37">
        <f>'Cost calculation'!U9</f>
        <v>2.3553519386706889</v>
      </c>
      <c r="M44" s="20">
        <f t="shared" si="1"/>
        <v>1.4720949616691805</v>
      </c>
      <c r="N44" s="36" t="s">
        <v>216</v>
      </c>
    </row>
    <row r="45" spans="1:14" ht="14.25" customHeight="1" x14ac:dyDescent="0.25">
      <c r="A45" s="36" t="s">
        <v>116</v>
      </c>
      <c r="B45" s="36">
        <v>2024</v>
      </c>
      <c r="C45" s="36" t="s">
        <v>96</v>
      </c>
      <c r="D45" s="36" t="s">
        <v>97</v>
      </c>
      <c r="E45" s="36" t="s">
        <v>48</v>
      </c>
      <c r="F45" s="38" t="s">
        <v>175</v>
      </c>
      <c r="G45" s="38" t="s">
        <v>215</v>
      </c>
      <c r="H45" s="37">
        <v>0.89300000000000002</v>
      </c>
      <c r="I45" s="37">
        <f t="shared" si="7"/>
        <v>1.0560465766190312</v>
      </c>
      <c r="J45" s="37" t="str">
        <f>TEXT(K45,IF(ABS(K45)&gt;=1,"0.##",IF(ABS(K45)&gt;=0.01,"0.####","0.######")))&amp;"-"&amp;TEXT(L45,IF(ABS(L45)&gt;=1,"0.##",IF(ABS(L45)&gt;=0.01,"0.####","0.######")))</f>
        <v>0.736-1.84</v>
      </c>
      <c r="K45" s="37">
        <f>'Cost calculation'!T10</f>
        <v>0.73604748083459037</v>
      </c>
      <c r="L45" s="37">
        <f>'Cost calculation'!U10</f>
        <v>1.8401187020864758</v>
      </c>
      <c r="M45" s="20">
        <f t="shared" si="1"/>
        <v>1.288083091460533</v>
      </c>
      <c r="N45" s="36" t="s">
        <v>217</v>
      </c>
    </row>
    <row r="46" spans="1:14" ht="14.25" customHeight="1" x14ac:dyDescent="0.25">
      <c r="A46" s="36" t="s">
        <v>116</v>
      </c>
      <c r="B46" s="36">
        <v>2024</v>
      </c>
      <c r="C46" s="36" t="s">
        <v>96</v>
      </c>
      <c r="D46" s="36" t="s">
        <v>97</v>
      </c>
      <c r="E46" s="36" t="s">
        <v>48</v>
      </c>
      <c r="F46" s="38" t="s">
        <v>218</v>
      </c>
      <c r="G46" s="38" t="s">
        <v>215</v>
      </c>
      <c r="H46" s="37">
        <v>0.89300000000000002</v>
      </c>
      <c r="I46" s="37">
        <f t="shared" si="7"/>
        <v>1.0560465766190312</v>
      </c>
      <c r="J46" s="37" t="str">
        <f>TEXT(K46,IF(ABS(K46)&gt;=1,"0.##",IF(ABS(K46)&gt;=0.01,"0.####","0.######")))&amp;"-"&amp;TEXT(L46,IF(ABS(L46)&gt;=1,"0.##",IF(ABS(L46)&gt;=0.01,"0.####","0.######")))</f>
        <v>1.32-4.42</v>
      </c>
      <c r="K46" s="37">
        <f>'Cost calculation'!T11</f>
        <v>1.3248854655022626</v>
      </c>
      <c r="L46" s="37">
        <f>'Cost calculation'!U11</f>
        <v>4.416284885007542</v>
      </c>
      <c r="M46" s="20">
        <f t="shared" si="1"/>
        <v>2.8705851752549023</v>
      </c>
      <c r="N46" s="36" t="s">
        <v>219</v>
      </c>
    </row>
    <row r="47" spans="1:14" ht="14.25" customHeight="1" x14ac:dyDescent="0.25">
      <c r="A47" s="36" t="s">
        <v>116</v>
      </c>
      <c r="B47" s="36">
        <v>2024</v>
      </c>
      <c r="C47" s="36" t="s">
        <v>96</v>
      </c>
      <c r="D47" s="36" t="s">
        <v>97</v>
      </c>
      <c r="E47" s="36" t="s">
        <v>48</v>
      </c>
      <c r="F47" s="38" t="s">
        <v>220</v>
      </c>
      <c r="G47" s="38" t="s">
        <v>215</v>
      </c>
      <c r="H47" s="37">
        <v>0.89300000000000002</v>
      </c>
      <c r="I47" s="37">
        <f t="shared" si="7"/>
        <v>1.0560465766190312</v>
      </c>
      <c r="J47" s="37" t="str">
        <f>TEXT(K47,IF(ABS(K47)&gt;=1,"0.##",IF(ABS(K47)&gt;=0.01,"0.####","0.######")))&amp;"-"&amp;TEXT(L47,IF(ABS(L47)&gt;=1,"0.##",IF(ABS(L47)&gt;=0.01,"0.####","0.######")))</f>
        <v>1.47-3.68</v>
      </c>
      <c r="K47" s="37">
        <f>'Cost calculation'!T12</f>
        <v>1.4720949616691807</v>
      </c>
      <c r="L47" s="37">
        <f>'Cost calculation'!U12</f>
        <v>3.6802374041729515</v>
      </c>
      <c r="M47" s="20">
        <f t="shared" si="1"/>
        <v>2.576166182921066</v>
      </c>
      <c r="N47" s="36" t="s">
        <v>221</v>
      </c>
    </row>
    <row r="48" spans="1:14" ht="14.25" customHeight="1" x14ac:dyDescent="0.25">
      <c r="A48" s="36" t="s">
        <v>117</v>
      </c>
      <c r="B48" s="36">
        <v>2024</v>
      </c>
      <c r="C48" s="36" t="s">
        <v>118</v>
      </c>
      <c r="D48" s="36" t="s">
        <v>66</v>
      </c>
      <c r="E48" s="36" t="s">
        <v>46</v>
      </c>
      <c r="F48" s="38" t="s">
        <v>222</v>
      </c>
      <c r="G48" s="38" t="s">
        <v>223</v>
      </c>
      <c r="H48" s="37">
        <v>42000</v>
      </c>
      <c r="I48" s="37">
        <f t="shared" si="7"/>
        <v>1.0560465766190312</v>
      </c>
      <c r="J48" s="37" t="str">
        <f>TEXT(K48,IF(ABS(K48)&gt;=1,"0.##",IF(ABS(K48)&gt;=0.01,"0.####","0.######")))&amp;"-"&amp;TEXT(L48,IF(ABS(L48)&gt;=1,"0.##",IF(ABS(L48)&gt;=0.01,"0.####","0.######")))</f>
        <v>0.0493-0.2535</v>
      </c>
      <c r="K48" s="37">
        <f>'Cost calculation'!M49</f>
        <v>4.928217357555479E-2</v>
      </c>
      <c r="L48" s="37">
        <f>'Cost calculation'!N49</f>
        <v>0.25345117838856751</v>
      </c>
      <c r="M48" s="20">
        <f t="shared" si="1"/>
        <v>0.15136667598206116</v>
      </c>
      <c r="N48" s="36"/>
    </row>
    <row r="49" spans="1:14" ht="14.25" customHeight="1" x14ac:dyDescent="0.25">
      <c r="A49" s="36" t="s">
        <v>224</v>
      </c>
      <c r="B49" s="36">
        <v>2024</v>
      </c>
      <c r="C49" s="36" t="s">
        <v>65</v>
      </c>
      <c r="D49" s="36" t="s">
        <v>66</v>
      </c>
      <c r="E49" s="36" t="s">
        <v>46</v>
      </c>
      <c r="F49" s="38">
        <v>0.35</v>
      </c>
      <c r="G49" s="38" t="s">
        <v>161</v>
      </c>
      <c r="H49" s="37">
        <v>1</v>
      </c>
      <c r="I49" s="37">
        <f t="shared" si="7"/>
        <v>1.0560465766190312</v>
      </c>
      <c r="J49" s="37">
        <f>K49</f>
        <v>0.22966892213017284</v>
      </c>
      <c r="K49" s="37">
        <f>F49/1.609344/H49*I49</f>
        <v>0.22966892213017284</v>
      </c>
      <c r="L49" s="37">
        <f>F49/1.609344/H49*I49</f>
        <v>0.22966892213017284</v>
      </c>
      <c r="M49" s="20">
        <f t="shared" si="1"/>
        <v>0.22966892213017284</v>
      </c>
      <c r="N49" s="36"/>
    </row>
    <row r="50" spans="1:14" ht="14.25" customHeight="1" x14ac:dyDescent="0.25">
      <c r="A50" s="36" t="s">
        <v>119</v>
      </c>
      <c r="B50" s="36">
        <v>2024</v>
      </c>
      <c r="C50" s="36" t="s">
        <v>118</v>
      </c>
      <c r="D50" s="36" t="s">
        <v>66</v>
      </c>
      <c r="E50" s="36" t="s">
        <v>47</v>
      </c>
      <c r="F50" s="38" t="s">
        <v>225</v>
      </c>
      <c r="G50" s="38" t="s">
        <v>226</v>
      </c>
      <c r="H50" s="37">
        <v>28000</v>
      </c>
      <c r="I50" s="37">
        <f t="shared" si="7"/>
        <v>1.0560465766190312</v>
      </c>
      <c r="J50" s="37" t="str">
        <f>TEXT(K50,IF(ABS(K50)&gt;=1,"0.##",IF(ABS(K50)&gt;=0.01,"0.####","0.######")))&amp;"-"&amp;TEXT(L50,IF(ABS(L50)&gt;=1,"0.##",IF(ABS(L50)&gt;=0.01,"0.####","0.######")))</f>
        <v>0.2176-0.5518</v>
      </c>
      <c r="K50" s="37">
        <f>VALUE(LEFT(F50,FIND("-",F50)-1))*1000/H50*I50</f>
        <v>0.21762102668185038</v>
      </c>
      <c r="L50" s="37">
        <f>VALUE(MID(F50,FIND("-",F50)+1,99))*1000/H50*I50</f>
        <v>0.55178433628344381</v>
      </c>
      <c r="M50" s="20">
        <f t="shared" si="1"/>
        <v>0.38470268148264708</v>
      </c>
      <c r="N50" s="36"/>
    </row>
    <row r="51" spans="1:14" ht="14.25" customHeight="1" x14ac:dyDescent="0.25">
      <c r="A51" s="36" t="s">
        <v>119</v>
      </c>
      <c r="B51" s="36">
        <v>2024</v>
      </c>
      <c r="C51" s="36" t="s">
        <v>118</v>
      </c>
      <c r="D51" s="36" t="s">
        <v>66</v>
      </c>
      <c r="E51" s="36" t="s">
        <v>48</v>
      </c>
      <c r="F51" s="38" t="s">
        <v>225</v>
      </c>
      <c r="G51" s="38" t="s">
        <v>226</v>
      </c>
      <c r="H51" s="37">
        <v>28000</v>
      </c>
      <c r="I51" s="37">
        <f t="shared" si="7"/>
        <v>1.0560465766190312</v>
      </c>
      <c r="J51" s="37" t="str">
        <f>TEXT(K51,IF(ABS(K51)&gt;=1,"0.##",IF(ABS(K51)&gt;=0.01,"0.####","0.######")))&amp;"-"&amp;TEXT(L51,IF(ABS(L51)&gt;=1,"0.##",IF(ABS(L51)&gt;=0.01,"0.####","0.######")))</f>
        <v>0.2176-0.5518</v>
      </c>
      <c r="K51" s="37">
        <f>VALUE(LEFT(F51,FIND("-",F51)-1))*1000/H51*I51</f>
        <v>0.21762102668185038</v>
      </c>
      <c r="L51" s="37">
        <f>VALUE(MID(F51,FIND("-",F51)+1,99))*1000/H51*I51</f>
        <v>0.55178433628344381</v>
      </c>
      <c r="M51" s="20">
        <f t="shared" si="1"/>
        <v>0.38470268148264708</v>
      </c>
      <c r="N51" s="36"/>
    </row>
    <row r="52" spans="1:14" ht="14.25" customHeight="1" x14ac:dyDescent="0.25">
      <c r="A52" s="36" t="s">
        <v>122</v>
      </c>
      <c r="B52" s="36">
        <v>2024</v>
      </c>
      <c r="C52" s="36" t="s">
        <v>75</v>
      </c>
      <c r="D52" s="36" t="s">
        <v>75</v>
      </c>
      <c r="E52" s="36" t="s">
        <v>47</v>
      </c>
      <c r="F52" s="38">
        <v>1.46</v>
      </c>
      <c r="G52" s="38" t="s">
        <v>210</v>
      </c>
      <c r="H52" s="37">
        <v>1</v>
      </c>
      <c r="I52" s="37">
        <f t="shared" si="7"/>
        <v>1.0560465766190312</v>
      </c>
      <c r="J52" s="37">
        <f>K52</f>
        <v>1.5418280018637855</v>
      </c>
      <c r="K52" s="37">
        <f>F52/H52*I52</f>
        <v>1.5418280018637855</v>
      </c>
      <c r="L52" s="37">
        <f>F52/H52*I52</f>
        <v>1.5418280018637855</v>
      </c>
      <c r="M52" s="20">
        <f t="shared" si="1"/>
        <v>1.5418280018637855</v>
      </c>
      <c r="N52" s="36"/>
    </row>
    <row r="53" spans="1:14" ht="14.25" customHeight="1" x14ac:dyDescent="0.25">
      <c r="A53" s="36" t="s">
        <v>227</v>
      </c>
      <c r="B53" s="36">
        <v>2023</v>
      </c>
      <c r="C53" s="36" t="s">
        <v>96</v>
      </c>
      <c r="D53" s="36" t="s">
        <v>97</v>
      </c>
      <c r="E53" s="36" t="s">
        <v>48</v>
      </c>
      <c r="F53" s="38" t="s">
        <v>228</v>
      </c>
      <c r="G53" s="38" t="s">
        <v>174</v>
      </c>
      <c r="H53" s="37">
        <v>0.94399999999999995</v>
      </c>
      <c r="I53" s="37">
        <f t="shared" ref="I53:I66" si="9">331.279875/304.703</f>
        <v>1.0872222295152987</v>
      </c>
      <c r="J53" s="37" t="str">
        <f>TEXT(K53,IF(ABS(K53)&gt;=1,"0.##",IF(ABS(K53)&gt;=0.01,"0.####","0.######")))&amp;"-"&amp;TEXT(L53,IF(ABS(L53)&gt;=1,"0.##",IF(ABS(L53)&gt;=0.01,"0.####","0.######")))</f>
        <v>0.7717-2.3</v>
      </c>
      <c r="K53" s="37">
        <f>VALUE(LEFT(F53,FIND("-",F53)-1))/H53*I53</f>
        <v>0.77165137052462951</v>
      </c>
      <c r="L53" s="37">
        <f>VALUE(MID(F53,FIND("-",F53)+1,99))/H53*I53</f>
        <v>2.3034369269391921</v>
      </c>
      <c r="M53" s="20">
        <f t="shared" si="1"/>
        <v>1.5375441487319108</v>
      </c>
      <c r="N53" s="36"/>
    </row>
    <row r="54" spans="1:14" ht="14.25" customHeight="1" x14ac:dyDescent="0.25">
      <c r="A54" s="36" t="s">
        <v>126</v>
      </c>
      <c r="B54" s="36">
        <v>2023</v>
      </c>
      <c r="C54" s="36" t="s">
        <v>70</v>
      </c>
      <c r="D54" s="36" t="s">
        <v>66</v>
      </c>
      <c r="E54" s="36" t="s">
        <v>46</v>
      </c>
      <c r="F54" s="38" t="s">
        <v>229</v>
      </c>
      <c r="G54" s="38" t="s">
        <v>230</v>
      </c>
      <c r="H54" s="37">
        <v>1317.6949999999999</v>
      </c>
      <c r="I54" s="37">
        <f t="shared" si="9"/>
        <v>1.0872222295152987</v>
      </c>
      <c r="J54" s="37" t="str">
        <f>TEXT(K54,IF(ABS(K54)&gt;=1,"0.##",IF(ABS(K54)&gt;=0.01,"0.####","0.######")))&amp;"-"&amp;TEXT(L54,IF(ABS(L54)&gt;=1,"0.##",IF(ABS(L54)&gt;=0.01,"0.####","0.######")))</f>
        <v>0.4125-2.48</v>
      </c>
      <c r="K54" s="37">
        <f>VALUE(LEFT(F54,FIND("-",F54)-1))*1000/H54*I54</f>
        <v>0.4125469966552574</v>
      </c>
      <c r="L54" s="37">
        <f>VALUE(MID(F54,FIND("-",F54)+1,99))*1000/H54*I54</f>
        <v>2.4752819799315442</v>
      </c>
      <c r="M54" s="20">
        <f t="shared" si="1"/>
        <v>1.4439144882934007</v>
      </c>
      <c r="N54" s="36"/>
    </row>
    <row r="55" spans="1:14" ht="14.25" customHeight="1" x14ac:dyDescent="0.25">
      <c r="A55" s="36" t="s">
        <v>126</v>
      </c>
      <c r="B55" s="36">
        <v>2023</v>
      </c>
      <c r="C55" s="36" t="s">
        <v>70</v>
      </c>
      <c r="D55" s="36" t="s">
        <v>66</v>
      </c>
      <c r="E55" s="36" t="s">
        <v>47</v>
      </c>
      <c r="F55" s="38" t="s">
        <v>229</v>
      </c>
      <c r="G55" s="38" t="s">
        <v>230</v>
      </c>
      <c r="H55" s="37">
        <v>1317.6949999999999</v>
      </c>
      <c r="I55" s="37">
        <f t="shared" si="9"/>
        <v>1.0872222295152987</v>
      </c>
      <c r="J55" s="37" t="str">
        <f>TEXT(K55,IF(ABS(K55)&gt;=1,"0.##",IF(ABS(K55)&gt;=0.01,"0.####","0.######")))&amp;"-"&amp;TEXT(L55,IF(ABS(L55)&gt;=1,"0.##",IF(ABS(L55)&gt;=0.01,"0.####","0.######")))</f>
        <v>0.4125-2.48</v>
      </c>
      <c r="K55" s="37">
        <f>VALUE(LEFT(F55,FIND("-",F55)-1))*1000/H55*I55</f>
        <v>0.4125469966552574</v>
      </c>
      <c r="L55" s="37">
        <f>VALUE(MID(F55,FIND("-",F55)+1,99))*1000/H55*I55</f>
        <v>2.4752819799315442</v>
      </c>
      <c r="M55" s="20">
        <f t="shared" si="1"/>
        <v>1.4439144882934007</v>
      </c>
      <c r="N55" s="36"/>
    </row>
    <row r="56" spans="1:14" ht="14.25" customHeight="1" x14ac:dyDescent="0.25">
      <c r="A56" s="36" t="s">
        <v>231</v>
      </c>
      <c r="B56" s="36">
        <v>2023</v>
      </c>
      <c r="C56" s="36" t="s">
        <v>70</v>
      </c>
      <c r="D56" s="36" t="s">
        <v>66</v>
      </c>
      <c r="E56" s="36" t="s">
        <v>46</v>
      </c>
      <c r="F56" s="38">
        <v>4.0199999999999996</v>
      </c>
      <c r="G56" s="38" t="s">
        <v>161</v>
      </c>
      <c r="H56" s="37">
        <v>1</v>
      </c>
      <c r="I56" s="37">
        <f t="shared" si="9"/>
        <v>1.0872222295152987</v>
      </c>
      <c r="J56" s="37">
        <f t="shared" ref="J56:J66" si="10">K56</f>
        <v>2.7157856633830302</v>
      </c>
      <c r="K56" s="37">
        <f t="shared" ref="K56:K64" si="11">F56/1.609344/H56*I56</f>
        <v>2.7157856633830302</v>
      </c>
      <c r="L56" s="37">
        <f t="shared" ref="L56:L64" si="12">F56/1.609344/H56*I56</f>
        <v>2.7157856633830302</v>
      </c>
      <c r="M56" s="20">
        <f t="shared" si="1"/>
        <v>2.7157856633830302</v>
      </c>
      <c r="N56" s="36" t="s">
        <v>232</v>
      </c>
    </row>
    <row r="57" spans="1:14" ht="14.25" customHeight="1" x14ac:dyDescent="0.25">
      <c r="A57" s="36" t="s">
        <v>231</v>
      </c>
      <c r="B57" s="36">
        <v>2023</v>
      </c>
      <c r="C57" s="36" t="s">
        <v>70</v>
      </c>
      <c r="D57" s="36" t="s">
        <v>66</v>
      </c>
      <c r="E57" s="36" t="s">
        <v>46</v>
      </c>
      <c r="F57" s="38">
        <v>2.68</v>
      </c>
      <c r="G57" s="38" t="s">
        <v>161</v>
      </c>
      <c r="H57" s="37">
        <v>1</v>
      </c>
      <c r="I57" s="37">
        <f t="shared" si="9"/>
        <v>1.0872222295152987</v>
      </c>
      <c r="J57" s="37">
        <f t="shared" si="10"/>
        <v>1.8105237755886872</v>
      </c>
      <c r="K57" s="37">
        <f t="shared" si="11"/>
        <v>1.8105237755886872</v>
      </c>
      <c r="L57" s="37">
        <f t="shared" si="12"/>
        <v>1.8105237755886872</v>
      </c>
      <c r="M57" s="20">
        <f t="shared" si="1"/>
        <v>1.8105237755886872</v>
      </c>
      <c r="N57" s="36" t="s">
        <v>233</v>
      </c>
    </row>
    <row r="58" spans="1:14" ht="14.25" customHeight="1" x14ac:dyDescent="0.25">
      <c r="A58" s="36" t="s">
        <v>231</v>
      </c>
      <c r="B58" s="36">
        <v>2023</v>
      </c>
      <c r="C58" s="36" t="s">
        <v>70</v>
      </c>
      <c r="D58" s="36" t="s">
        <v>66</v>
      </c>
      <c r="E58" s="36" t="s">
        <v>46</v>
      </c>
      <c r="F58" s="38">
        <v>1.34</v>
      </c>
      <c r="G58" s="38" t="s">
        <v>161</v>
      </c>
      <c r="H58" s="37">
        <v>1</v>
      </c>
      <c r="I58" s="37">
        <f t="shared" si="9"/>
        <v>1.0872222295152987</v>
      </c>
      <c r="J58" s="37">
        <f t="shared" si="10"/>
        <v>0.90526188779434358</v>
      </c>
      <c r="K58" s="37">
        <f t="shared" si="11"/>
        <v>0.90526188779434358</v>
      </c>
      <c r="L58" s="37">
        <f t="shared" si="12"/>
        <v>0.90526188779434358</v>
      </c>
      <c r="M58" s="20">
        <f t="shared" si="1"/>
        <v>0.90526188779434358</v>
      </c>
      <c r="N58" s="36" t="s">
        <v>234</v>
      </c>
    </row>
    <row r="59" spans="1:14" ht="14.25" customHeight="1" x14ac:dyDescent="0.25">
      <c r="A59" s="36" t="s">
        <v>231</v>
      </c>
      <c r="B59" s="36">
        <v>2023</v>
      </c>
      <c r="C59" s="36" t="s">
        <v>70</v>
      </c>
      <c r="D59" s="36" t="s">
        <v>66</v>
      </c>
      <c r="E59" s="36" t="s">
        <v>47</v>
      </c>
      <c r="F59" s="38">
        <v>4.0199999999999996</v>
      </c>
      <c r="G59" s="38" t="s">
        <v>161</v>
      </c>
      <c r="H59" s="37">
        <v>1</v>
      </c>
      <c r="I59" s="37">
        <f t="shared" si="9"/>
        <v>1.0872222295152987</v>
      </c>
      <c r="J59" s="37">
        <f t="shared" si="10"/>
        <v>2.7157856633830302</v>
      </c>
      <c r="K59" s="37">
        <f t="shared" si="11"/>
        <v>2.7157856633830302</v>
      </c>
      <c r="L59" s="37">
        <f t="shared" si="12"/>
        <v>2.7157856633830302</v>
      </c>
      <c r="M59" s="20">
        <f t="shared" si="1"/>
        <v>2.7157856633830302</v>
      </c>
      <c r="N59" s="36" t="s">
        <v>232</v>
      </c>
    </row>
    <row r="60" spans="1:14" ht="14.25" customHeight="1" x14ac:dyDescent="0.25">
      <c r="A60" s="36" t="s">
        <v>231</v>
      </c>
      <c r="B60" s="36">
        <v>2023</v>
      </c>
      <c r="C60" s="36" t="s">
        <v>70</v>
      </c>
      <c r="D60" s="36" t="s">
        <v>66</v>
      </c>
      <c r="E60" s="36" t="s">
        <v>47</v>
      </c>
      <c r="F60" s="38">
        <v>2.68</v>
      </c>
      <c r="G60" s="38" t="s">
        <v>161</v>
      </c>
      <c r="H60" s="37">
        <v>1</v>
      </c>
      <c r="I60" s="37">
        <f t="shared" si="9"/>
        <v>1.0872222295152987</v>
      </c>
      <c r="J60" s="37">
        <f t="shared" si="10"/>
        <v>1.8105237755886872</v>
      </c>
      <c r="K60" s="37">
        <f t="shared" si="11"/>
        <v>1.8105237755886872</v>
      </c>
      <c r="L60" s="37">
        <f t="shared" si="12"/>
        <v>1.8105237755886872</v>
      </c>
      <c r="M60" s="20">
        <f t="shared" si="1"/>
        <v>1.8105237755886872</v>
      </c>
      <c r="N60" s="36" t="s">
        <v>233</v>
      </c>
    </row>
    <row r="61" spans="1:14" ht="14.25" customHeight="1" x14ac:dyDescent="0.25">
      <c r="A61" s="36" t="s">
        <v>231</v>
      </c>
      <c r="B61" s="36">
        <v>2023</v>
      </c>
      <c r="C61" s="36" t="s">
        <v>70</v>
      </c>
      <c r="D61" s="36" t="s">
        <v>66</v>
      </c>
      <c r="E61" s="36" t="s">
        <v>47</v>
      </c>
      <c r="F61" s="38">
        <v>1.34</v>
      </c>
      <c r="G61" s="38" t="s">
        <v>161</v>
      </c>
      <c r="H61" s="37">
        <v>1</v>
      </c>
      <c r="I61" s="37">
        <f t="shared" si="9"/>
        <v>1.0872222295152987</v>
      </c>
      <c r="J61" s="37">
        <f t="shared" si="10"/>
        <v>0.90526188779434358</v>
      </c>
      <c r="K61" s="37">
        <f t="shared" si="11"/>
        <v>0.90526188779434358</v>
      </c>
      <c r="L61" s="37">
        <f t="shared" si="12"/>
        <v>0.90526188779434358</v>
      </c>
      <c r="M61" s="20">
        <f t="shared" si="1"/>
        <v>0.90526188779434358</v>
      </c>
      <c r="N61" s="36" t="s">
        <v>234</v>
      </c>
    </row>
    <row r="62" spans="1:14" ht="14.25" customHeight="1" x14ac:dyDescent="0.25">
      <c r="A62" s="36" t="s">
        <v>231</v>
      </c>
      <c r="B62" s="36">
        <v>2023</v>
      </c>
      <c r="C62" s="36" t="s">
        <v>70</v>
      </c>
      <c r="D62" s="36" t="s">
        <v>66</v>
      </c>
      <c r="E62" s="36" t="s">
        <v>48</v>
      </c>
      <c r="F62" s="38">
        <v>4.0199999999999996</v>
      </c>
      <c r="G62" s="38" t="s">
        <v>161</v>
      </c>
      <c r="H62" s="37">
        <v>1</v>
      </c>
      <c r="I62" s="37">
        <f t="shared" si="9"/>
        <v>1.0872222295152987</v>
      </c>
      <c r="J62" s="37">
        <f t="shared" si="10"/>
        <v>2.7157856633830302</v>
      </c>
      <c r="K62" s="37">
        <f t="shared" si="11"/>
        <v>2.7157856633830302</v>
      </c>
      <c r="L62" s="37">
        <f t="shared" si="12"/>
        <v>2.7157856633830302</v>
      </c>
      <c r="M62" s="20">
        <f t="shared" si="1"/>
        <v>2.7157856633830302</v>
      </c>
      <c r="N62" s="36" t="s">
        <v>232</v>
      </c>
    </row>
    <row r="63" spans="1:14" ht="14.25" customHeight="1" x14ac:dyDescent="0.25">
      <c r="A63" s="36" t="s">
        <v>231</v>
      </c>
      <c r="B63" s="36">
        <v>2023</v>
      </c>
      <c r="C63" s="36" t="s">
        <v>70</v>
      </c>
      <c r="D63" s="36" t="s">
        <v>66</v>
      </c>
      <c r="E63" s="36" t="s">
        <v>48</v>
      </c>
      <c r="F63" s="38">
        <v>2.68</v>
      </c>
      <c r="G63" s="38" t="s">
        <v>161</v>
      </c>
      <c r="H63" s="37">
        <v>1</v>
      </c>
      <c r="I63" s="37">
        <f t="shared" si="9"/>
        <v>1.0872222295152987</v>
      </c>
      <c r="J63" s="37">
        <f t="shared" si="10"/>
        <v>1.8105237755886872</v>
      </c>
      <c r="K63" s="37">
        <f t="shared" si="11"/>
        <v>1.8105237755886872</v>
      </c>
      <c r="L63" s="37">
        <f t="shared" si="12"/>
        <v>1.8105237755886872</v>
      </c>
      <c r="M63" s="20">
        <f t="shared" si="1"/>
        <v>1.8105237755886872</v>
      </c>
      <c r="N63" s="36" t="s">
        <v>233</v>
      </c>
    </row>
    <row r="64" spans="1:14" ht="14.25" customHeight="1" x14ac:dyDescent="0.25">
      <c r="A64" s="36" t="s">
        <v>231</v>
      </c>
      <c r="B64" s="36">
        <v>2023</v>
      </c>
      <c r="C64" s="36" t="s">
        <v>70</v>
      </c>
      <c r="D64" s="36" t="s">
        <v>66</v>
      </c>
      <c r="E64" s="36" t="s">
        <v>48</v>
      </c>
      <c r="F64" s="38">
        <v>1.34</v>
      </c>
      <c r="G64" s="38" t="s">
        <v>161</v>
      </c>
      <c r="H64" s="37">
        <v>1</v>
      </c>
      <c r="I64" s="37">
        <f t="shared" si="9"/>
        <v>1.0872222295152987</v>
      </c>
      <c r="J64" s="37">
        <f t="shared" si="10"/>
        <v>0.90526188779434358</v>
      </c>
      <c r="K64" s="37">
        <f t="shared" si="11"/>
        <v>0.90526188779434358</v>
      </c>
      <c r="L64" s="37">
        <f t="shared" si="12"/>
        <v>0.90526188779434358</v>
      </c>
      <c r="M64" s="20">
        <f t="shared" si="1"/>
        <v>0.90526188779434358</v>
      </c>
      <c r="N64" s="36" t="s">
        <v>234</v>
      </c>
    </row>
    <row r="65" spans="1:14" ht="14.25" customHeight="1" x14ac:dyDescent="0.25">
      <c r="A65" s="36" t="s">
        <v>235</v>
      </c>
      <c r="B65" s="36">
        <v>2023</v>
      </c>
      <c r="C65" s="36" t="s">
        <v>142</v>
      </c>
      <c r="D65" s="36" t="s">
        <v>97</v>
      </c>
      <c r="E65" s="36" t="s">
        <v>46</v>
      </c>
      <c r="F65" s="38">
        <v>1.5</v>
      </c>
      <c r="G65" s="38" t="s">
        <v>174</v>
      </c>
      <c r="H65" s="37">
        <v>0.90500000000000003</v>
      </c>
      <c r="I65" s="37">
        <f t="shared" si="9"/>
        <v>1.0872222295152987</v>
      </c>
      <c r="J65" s="37">
        <f t="shared" si="10"/>
        <v>1.8020257947767382</v>
      </c>
      <c r="K65" s="37">
        <f>F65/H65*I65</f>
        <v>1.8020257947767382</v>
      </c>
      <c r="L65" s="37">
        <f>F65/H65*I65</f>
        <v>1.8020257947767382</v>
      </c>
      <c r="M65" s="20">
        <f t="shared" si="1"/>
        <v>1.8020257947767382</v>
      </c>
      <c r="N65" s="36"/>
    </row>
    <row r="66" spans="1:14" ht="14.25" customHeight="1" x14ac:dyDescent="0.25">
      <c r="A66" s="36" t="s">
        <v>130</v>
      </c>
      <c r="B66" s="36">
        <v>2023</v>
      </c>
      <c r="C66" s="36" t="s">
        <v>131</v>
      </c>
      <c r="D66" s="36" t="s">
        <v>97</v>
      </c>
      <c r="E66" s="36" t="s">
        <v>47</v>
      </c>
      <c r="F66" s="38">
        <v>1.8</v>
      </c>
      <c r="G66" s="38" t="s">
        <v>174</v>
      </c>
      <c r="H66" s="37">
        <v>0.92</v>
      </c>
      <c r="I66" s="37">
        <f t="shared" si="9"/>
        <v>1.0872222295152987</v>
      </c>
      <c r="J66" s="37">
        <f t="shared" si="10"/>
        <v>2.127173927312541</v>
      </c>
      <c r="K66" s="37">
        <f>F66/H66*I66</f>
        <v>2.127173927312541</v>
      </c>
      <c r="L66" s="37">
        <f>F66/H66*I66</f>
        <v>2.127173927312541</v>
      </c>
      <c r="M66" s="20">
        <f t="shared" si="1"/>
        <v>2.127173927312541</v>
      </c>
      <c r="N66" s="36"/>
    </row>
    <row r="67" spans="1:14" ht="14.25" customHeight="1" x14ac:dyDescent="0.25">
      <c r="A67" s="36" t="s">
        <v>186</v>
      </c>
      <c r="B67" s="36">
        <v>2022</v>
      </c>
      <c r="C67" s="36" t="s">
        <v>75</v>
      </c>
      <c r="D67" s="36" t="s">
        <v>75</v>
      </c>
      <c r="E67" s="36" t="s">
        <v>46</v>
      </c>
      <c r="F67" s="38" t="s">
        <v>209</v>
      </c>
      <c r="G67" s="38" t="s">
        <v>210</v>
      </c>
      <c r="H67" s="37">
        <v>1</v>
      </c>
      <c r="I67" s="37">
        <f t="shared" ref="I67:I76" si="13">331.279875/292.626416666667</f>
        <v>1.132091486386082</v>
      </c>
      <c r="J67" s="37" t="str">
        <f>TEXT(K67,IF(ABS(K67)&gt;=1,"0.##",IF(ABS(K67)&gt;=0.01,"0.####","0.######")))&amp;"-"&amp;TEXT(L67,IF(ABS(L67)&gt;=1,"0.##",IF(ABS(L67)&gt;=0.01,"0.####","0.######")))</f>
        <v>2.2-7.69</v>
      </c>
      <c r="K67" s="37">
        <f>VALUE(LEFT(F67,FIND("-",F67)-1))/H67*I67</f>
        <v>2.1962574835889992</v>
      </c>
      <c r="L67" s="37">
        <f>VALUE(MID(F67,FIND("-",F67)+1,99))/H67*I67</f>
        <v>7.6869011925614972</v>
      </c>
      <c r="M67" s="20">
        <f t="shared" ref="M67:M120" si="14">(K67+L67)/2</f>
        <v>4.9415793380752486</v>
      </c>
      <c r="N67" s="36" t="s">
        <v>211</v>
      </c>
    </row>
    <row r="68" spans="1:14" ht="14.25" customHeight="1" x14ac:dyDescent="0.25">
      <c r="A68" s="36" t="s">
        <v>186</v>
      </c>
      <c r="B68" s="36">
        <v>2022</v>
      </c>
      <c r="C68" s="36" t="s">
        <v>75</v>
      </c>
      <c r="D68" s="36" t="s">
        <v>75</v>
      </c>
      <c r="E68" s="36" t="s">
        <v>46</v>
      </c>
      <c r="F68" s="38" t="s">
        <v>212</v>
      </c>
      <c r="G68" s="38" t="s">
        <v>210</v>
      </c>
      <c r="H68" s="37">
        <v>1</v>
      </c>
      <c r="I68" s="37">
        <f t="shared" si="13"/>
        <v>1.132091486386082</v>
      </c>
      <c r="J68" s="37" t="str">
        <f>TEXT(K68,IF(ABS(K68)&gt;=1,"0.##",IF(ABS(K68)&gt;=0.01,"0.####","0.######")))&amp;"-"&amp;TEXT(L68,IF(ABS(L68)&gt;=1,"0.##",IF(ABS(L68)&gt;=0.01,"0.####","0.######")))</f>
        <v>0.883-3.07</v>
      </c>
      <c r="K68" s="37">
        <f>VALUE(LEFT(F68,FIND("-",F68)-1))/H68*I68</f>
        <v>0.88303135938114397</v>
      </c>
      <c r="L68" s="37">
        <f>VALUE(MID(F68,FIND("-",F68)+1,99))/H68*I68</f>
        <v>3.0679679281062824</v>
      </c>
      <c r="M68" s="20">
        <f t="shared" si="14"/>
        <v>1.9754996437437131</v>
      </c>
      <c r="N68" s="36" t="s">
        <v>213</v>
      </c>
    </row>
    <row r="69" spans="1:14" ht="14.25" customHeight="1" x14ac:dyDescent="0.25">
      <c r="A69" s="36" t="s">
        <v>236</v>
      </c>
      <c r="B69" s="36">
        <v>2022</v>
      </c>
      <c r="C69" s="36" t="s">
        <v>75</v>
      </c>
      <c r="D69" s="36" t="s">
        <v>75</v>
      </c>
      <c r="E69" s="36" t="s">
        <v>46</v>
      </c>
      <c r="F69" s="38">
        <v>2.97</v>
      </c>
      <c r="G69" s="38" t="s">
        <v>161</v>
      </c>
      <c r="H69" s="37">
        <v>1</v>
      </c>
      <c r="I69" s="37">
        <f t="shared" si="13"/>
        <v>1.132091486386082</v>
      </c>
      <c r="J69" s="37">
        <f>K69</f>
        <v>2.0892436387538424</v>
      </c>
      <c r="K69" s="37">
        <f>F69/1.609344/H69*I69</f>
        <v>2.0892436387538424</v>
      </c>
      <c r="L69" s="37">
        <f>F69/1.609344/H69*I69</f>
        <v>2.0892436387538424</v>
      </c>
      <c r="M69" s="20">
        <f t="shared" si="14"/>
        <v>2.0892436387538424</v>
      </c>
      <c r="N69" s="36" t="s">
        <v>232</v>
      </c>
    </row>
    <row r="70" spans="1:14" ht="14.25" customHeight="1" x14ac:dyDescent="0.25">
      <c r="A70" s="36" t="s">
        <v>236</v>
      </c>
      <c r="B70" s="36">
        <v>2022</v>
      </c>
      <c r="C70" s="36" t="s">
        <v>75</v>
      </c>
      <c r="D70" s="36" t="s">
        <v>75</v>
      </c>
      <c r="E70" s="36" t="s">
        <v>46</v>
      </c>
      <c r="F70" s="38">
        <v>0.98</v>
      </c>
      <c r="G70" s="38" t="s">
        <v>161</v>
      </c>
      <c r="H70" s="37">
        <v>1</v>
      </c>
      <c r="I70" s="37">
        <f t="shared" si="13"/>
        <v>1.132091486386082</v>
      </c>
      <c r="J70" s="37">
        <f>K70</f>
        <v>0.6893800558851062</v>
      </c>
      <c r="K70" s="37">
        <f>F70/1.609344/H70*I70</f>
        <v>0.6893800558851062</v>
      </c>
      <c r="L70" s="37">
        <f>F70/1.609344/H70*I70</f>
        <v>0.6893800558851062</v>
      </c>
      <c r="M70" s="20">
        <f t="shared" si="14"/>
        <v>0.6893800558851062</v>
      </c>
      <c r="N70" s="36" t="s">
        <v>211</v>
      </c>
    </row>
    <row r="71" spans="1:14" ht="14.25" customHeight="1" x14ac:dyDescent="0.25">
      <c r="A71" s="36" t="s">
        <v>236</v>
      </c>
      <c r="B71" s="36">
        <v>2022</v>
      </c>
      <c r="C71" s="36" t="s">
        <v>75</v>
      </c>
      <c r="D71" s="36" t="s">
        <v>75</v>
      </c>
      <c r="E71" s="36" t="s">
        <v>46</v>
      </c>
      <c r="F71" s="38">
        <v>0.47</v>
      </c>
      <c r="G71" s="38" t="s">
        <v>161</v>
      </c>
      <c r="H71" s="37">
        <v>1</v>
      </c>
      <c r="I71" s="37">
        <f t="shared" si="13"/>
        <v>1.132091486386082</v>
      </c>
      <c r="J71" s="37">
        <f>K71</f>
        <v>0.33062104721020397</v>
      </c>
      <c r="K71" s="37">
        <f>F71/1.609344/H71*I71</f>
        <v>0.33062104721020397</v>
      </c>
      <c r="L71" s="37">
        <f>F71/1.609344/H71*I71</f>
        <v>0.33062104721020397</v>
      </c>
      <c r="M71" s="20">
        <f t="shared" si="14"/>
        <v>0.33062104721020397</v>
      </c>
      <c r="N71" s="36" t="s">
        <v>213</v>
      </c>
    </row>
    <row r="72" spans="1:14" ht="14.25" customHeight="1" x14ac:dyDescent="0.25">
      <c r="A72" s="36" t="s">
        <v>133</v>
      </c>
      <c r="B72" s="36">
        <v>2022</v>
      </c>
      <c r="C72" s="36" t="s">
        <v>131</v>
      </c>
      <c r="D72" s="36" t="s">
        <v>97</v>
      </c>
      <c r="E72" s="36" t="s">
        <v>47</v>
      </c>
      <c r="F72" s="38" t="s">
        <v>237</v>
      </c>
      <c r="G72" s="38" t="s">
        <v>238</v>
      </c>
      <c r="H72" s="37">
        <v>0.93600000000000005</v>
      </c>
      <c r="I72" s="37">
        <f t="shared" si="13"/>
        <v>1.132091486386082</v>
      </c>
      <c r="J72" s="37">
        <f>K72</f>
        <v>8.8696626426259986</v>
      </c>
      <c r="K72" s="37">
        <f>'Cost calculation'!AB23</f>
        <v>8.8696626426259986</v>
      </c>
      <c r="L72" s="37">
        <f>'Cost calculation'!AC23</f>
        <v>8.8696626426259986</v>
      </c>
      <c r="M72" s="20">
        <f t="shared" si="14"/>
        <v>8.8696626426259986</v>
      </c>
      <c r="N72" s="36" t="s">
        <v>239</v>
      </c>
    </row>
    <row r="73" spans="1:14" ht="14.25" customHeight="1" x14ac:dyDescent="0.25">
      <c r="A73" s="36" t="s">
        <v>133</v>
      </c>
      <c r="B73" s="36">
        <v>2022</v>
      </c>
      <c r="C73" s="36" t="s">
        <v>131</v>
      </c>
      <c r="D73" s="36" t="s">
        <v>97</v>
      </c>
      <c r="E73" s="36" t="s">
        <v>48</v>
      </c>
      <c r="F73" s="38" t="s">
        <v>237</v>
      </c>
      <c r="G73" s="38" t="s">
        <v>238</v>
      </c>
      <c r="H73" s="37">
        <v>0.93600000000000005</v>
      </c>
      <c r="I73" s="37">
        <f t="shared" si="13"/>
        <v>1.132091486386082</v>
      </c>
      <c r="J73" s="37">
        <f>K73</f>
        <v>8.8696626426259986</v>
      </c>
      <c r="K73" s="37">
        <f>'Cost calculation'!AB24</f>
        <v>8.8696626426259986</v>
      </c>
      <c r="L73" s="37">
        <f>'Cost calculation'!AC24</f>
        <v>8.8696626426259986</v>
      </c>
      <c r="M73" s="20">
        <f t="shared" si="14"/>
        <v>8.8696626426259986</v>
      </c>
      <c r="N73" s="36"/>
    </row>
    <row r="74" spans="1:14" ht="14.25" customHeight="1" x14ac:dyDescent="0.25">
      <c r="A74" s="36" t="s">
        <v>240</v>
      </c>
      <c r="B74" s="36">
        <v>2022</v>
      </c>
      <c r="C74" s="36" t="s">
        <v>142</v>
      </c>
      <c r="D74" s="36" t="s">
        <v>97</v>
      </c>
      <c r="E74" s="36" t="s">
        <v>46</v>
      </c>
      <c r="F74" s="38" t="s">
        <v>241</v>
      </c>
      <c r="G74" s="38" t="s">
        <v>174</v>
      </c>
      <c r="H74" s="37">
        <v>1.026</v>
      </c>
      <c r="I74" s="37">
        <f t="shared" si="13"/>
        <v>1.132091486386082</v>
      </c>
      <c r="J74" s="37" t="str">
        <f t="shared" ref="J74:J83" si="15">TEXT(K74,IF(ABS(K74)&gt;=1,"0.##",IF(ABS(K74)&gt;=0.01,"0.####","0.######")))&amp;"-"&amp;TEXT(L74,IF(ABS(L74)&gt;=1,"0.##",IF(ABS(L74)&gt;=0.01,"0.####","0.######")))</f>
        <v>0.3641-2.21</v>
      </c>
      <c r="K74" s="37">
        <f>VALUE(LEFT(F74,FIND("-",F74)-1))/H74*I74</f>
        <v>0.36412299269727783</v>
      </c>
      <c r="L74" s="37">
        <f>VALUE(MID(F74,FIND("-",F74)+1,99))/H74*I74</f>
        <v>2.2068060163471381</v>
      </c>
      <c r="M74" s="20">
        <f t="shared" si="14"/>
        <v>1.285464504522208</v>
      </c>
      <c r="N74" s="36"/>
    </row>
    <row r="75" spans="1:14" ht="14.25" customHeight="1" x14ac:dyDescent="0.25">
      <c r="A75" s="36" t="s">
        <v>240</v>
      </c>
      <c r="B75" s="36">
        <v>2022</v>
      </c>
      <c r="C75" s="36" t="s">
        <v>142</v>
      </c>
      <c r="D75" s="36" t="s">
        <v>97</v>
      </c>
      <c r="E75" s="36" t="s">
        <v>47</v>
      </c>
      <c r="F75" s="38" t="s">
        <v>242</v>
      </c>
      <c r="G75" s="38" t="s">
        <v>174</v>
      </c>
      <c r="H75" s="37">
        <v>1.026</v>
      </c>
      <c r="I75" s="37">
        <f t="shared" si="13"/>
        <v>1.132091486386082</v>
      </c>
      <c r="J75" s="37" t="str">
        <f t="shared" si="15"/>
        <v>0.309-2.02</v>
      </c>
      <c r="K75" s="37">
        <f>VALUE(LEFT(F75,FIND("-",F75)-1))/H75*I75</f>
        <v>0.30895284228859943</v>
      </c>
      <c r="L75" s="37">
        <f>VALUE(MID(F75,FIND("-",F75)+1,99))/H75*I75</f>
        <v>2.0192275049576316</v>
      </c>
      <c r="M75" s="20">
        <f t="shared" si="14"/>
        <v>1.1640901736231155</v>
      </c>
      <c r="N75" s="36"/>
    </row>
    <row r="76" spans="1:14" ht="14.25" customHeight="1" x14ac:dyDescent="0.25">
      <c r="A76" s="36" t="s">
        <v>240</v>
      </c>
      <c r="B76" s="36">
        <v>2022</v>
      </c>
      <c r="C76" s="36" t="s">
        <v>142</v>
      </c>
      <c r="D76" s="36" t="s">
        <v>97</v>
      </c>
      <c r="E76" s="36" t="s">
        <v>48</v>
      </c>
      <c r="F76" s="38" t="s">
        <v>243</v>
      </c>
      <c r="G76" s="38" t="s">
        <v>174</v>
      </c>
      <c r="H76" s="37">
        <v>1.026</v>
      </c>
      <c r="I76" s="37">
        <f t="shared" si="13"/>
        <v>1.132091486386082</v>
      </c>
      <c r="J76" s="37" t="str">
        <f t="shared" si="15"/>
        <v>0.309-1.89</v>
      </c>
      <c r="K76" s="37">
        <f>VALUE(LEFT(F76,FIND("-",F76)-1))/H76*I76</f>
        <v>0.30895284228859943</v>
      </c>
      <c r="L76" s="37">
        <f>VALUE(MID(F76,FIND("-",F76)+1,99))/H76*I76</f>
        <v>1.8868191439768032</v>
      </c>
      <c r="M76" s="20">
        <f t="shared" si="14"/>
        <v>1.0978859931327012</v>
      </c>
      <c r="N76" s="36"/>
    </row>
    <row r="77" spans="1:14" ht="14.25" customHeight="1" x14ac:dyDescent="0.25">
      <c r="A77" s="36" t="s">
        <v>244</v>
      </c>
      <c r="B77" s="36">
        <v>2021</v>
      </c>
      <c r="C77" s="36" t="s">
        <v>201</v>
      </c>
      <c r="D77" s="36" t="s">
        <v>201</v>
      </c>
      <c r="E77" s="36" t="s">
        <v>46</v>
      </c>
      <c r="F77" s="38" t="s">
        <v>245</v>
      </c>
      <c r="G77" s="38" t="s">
        <v>210</v>
      </c>
      <c r="H77" s="37">
        <v>1</v>
      </c>
      <c r="I77" s="37">
        <f t="shared" ref="I77:I91" si="16">331.279875/270.973416666667</f>
        <v>1.2225548877642043</v>
      </c>
      <c r="J77" s="37" t="str">
        <f t="shared" si="15"/>
        <v>0.6113-9.17</v>
      </c>
      <c r="K77" s="37">
        <f>VALUE(LEFT(F77,FIND("-",F77)-1))/H77*I77</f>
        <v>0.61127744388210214</v>
      </c>
      <c r="L77" s="37">
        <f>VALUE(MID(F77,FIND("-",F77)+1,99))/H77*I77</f>
        <v>9.1691616582315323</v>
      </c>
      <c r="M77" s="20">
        <f t="shared" si="14"/>
        <v>4.8902195510568172</v>
      </c>
      <c r="N77" s="36"/>
    </row>
    <row r="78" spans="1:14" ht="14.25" customHeight="1" x14ac:dyDescent="0.25">
      <c r="A78" s="36" t="s">
        <v>246</v>
      </c>
      <c r="B78" s="36">
        <v>2021</v>
      </c>
      <c r="C78" s="36" t="s">
        <v>75</v>
      </c>
      <c r="D78" s="36" t="s">
        <v>75</v>
      </c>
      <c r="E78" s="36" t="s">
        <v>46</v>
      </c>
      <c r="F78" s="38" t="s">
        <v>247</v>
      </c>
      <c r="G78" s="38" t="s">
        <v>161</v>
      </c>
      <c r="H78" s="37">
        <v>1</v>
      </c>
      <c r="I78" s="37">
        <f t="shared" si="16"/>
        <v>1.2225548877642043</v>
      </c>
      <c r="J78" s="37" t="str">
        <f t="shared" si="15"/>
        <v>2.38-7.12</v>
      </c>
      <c r="K78" s="37">
        <f>VALUE(LEFT(F78,FIND("-",F78)-1))/1.609344/H78*I78</f>
        <v>2.377737015021002</v>
      </c>
      <c r="L78" s="37">
        <f>VALUE(MID(F78,FIND("-",F78)+1,99))/1.609344/H78*I78</f>
        <v>7.1180178372992922</v>
      </c>
      <c r="M78" s="20">
        <f t="shared" si="14"/>
        <v>4.7478774261601471</v>
      </c>
      <c r="N78" s="36"/>
    </row>
    <row r="79" spans="1:14" ht="14.25" customHeight="1" x14ac:dyDescent="0.25">
      <c r="A79" s="36" t="s">
        <v>246</v>
      </c>
      <c r="B79" s="36">
        <v>2021</v>
      </c>
      <c r="C79" s="36" t="s">
        <v>75</v>
      </c>
      <c r="D79" s="36" t="s">
        <v>75</v>
      </c>
      <c r="E79" s="36" t="s">
        <v>48</v>
      </c>
      <c r="F79" s="38" t="s">
        <v>247</v>
      </c>
      <c r="G79" s="38" t="s">
        <v>161</v>
      </c>
      <c r="H79" s="37">
        <v>1</v>
      </c>
      <c r="I79" s="37">
        <f t="shared" si="16"/>
        <v>1.2225548877642043</v>
      </c>
      <c r="J79" s="37" t="str">
        <f t="shared" si="15"/>
        <v>2.38-7.12</v>
      </c>
      <c r="K79" s="37">
        <f>VALUE(LEFT(F79,FIND("-",F79)-1))/1.609344/H79*I79</f>
        <v>2.377737015021002</v>
      </c>
      <c r="L79" s="37">
        <f>VALUE(MID(F79,FIND("-",F79)+1,99))/1.609344/H79*I79</f>
        <v>7.1180178372992922</v>
      </c>
      <c r="M79" s="20">
        <f t="shared" si="14"/>
        <v>4.7478774261601471</v>
      </c>
      <c r="N79" s="36"/>
    </row>
    <row r="80" spans="1:14" ht="14.25" customHeight="1" x14ac:dyDescent="0.25">
      <c r="A80" s="36" t="s">
        <v>140</v>
      </c>
      <c r="B80" s="36">
        <v>2021</v>
      </c>
      <c r="C80" s="36" t="s">
        <v>75</v>
      </c>
      <c r="D80" s="36" t="s">
        <v>75</v>
      </c>
      <c r="E80" s="36" t="s">
        <v>46</v>
      </c>
      <c r="F80" s="38" t="s">
        <v>248</v>
      </c>
      <c r="G80" s="38" t="s">
        <v>176</v>
      </c>
      <c r="H80" s="37">
        <v>1</v>
      </c>
      <c r="I80" s="37">
        <f t="shared" si="16"/>
        <v>1.2225548877642043</v>
      </c>
      <c r="J80" s="37" t="str">
        <f t="shared" si="15"/>
        <v>0.758-7.6</v>
      </c>
      <c r="K80" s="37">
        <f>'Cost calculation'!T13</f>
        <v>0.75798403041380669</v>
      </c>
      <c r="L80" s="37">
        <f>'Cost calculation'!U13</f>
        <v>7.6042914018933505</v>
      </c>
      <c r="M80" s="20">
        <f t="shared" si="14"/>
        <v>4.1811377161535788</v>
      </c>
      <c r="N80" s="36" t="s">
        <v>249</v>
      </c>
    </row>
    <row r="81" spans="1:14" ht="14.25" customHeight="1" x14ac:dyDescent="0.25">
      <c r="A81" s="36" t="s">
        <v>140</v>
      </c>
      <c r="B81" s="36">
        <v>2021</v>
      </c>
      <c r="C81" s="36" t="s">
        <v>75</v>
      </c>
      <c r="D81" s="36" t="s">
        <v>75</v>
      </c>
      <c r="E81" s="36" t="s">
        <v>46</v>
      </c>
      <c r="F81" s="38" t="s">
        <v>248</v>
      </c>
      <c r="G81" s="38" t="s">
        <v>176</v>
      </c>
      <c r="H81" s="37">
        <v>1</v>
      </c>
      <c r="I81" s="37">
        <f t="shared" si="16"/>
        <v>1.2225548877642043</v>
      </c>
      <c r="J81" s="37" t="str">
        <f t="shared" si="15"/>
        <v>0.6113-7.6</v>
      </c>
      <c r="K81" s="37">
        <f>'Cost calculation'!T14</f>
        <v>0.61127744388210214</v>
      </c>
      <c r="L81" s="37">
        <f>'Cost calculation'!U14</f>
        <v>7.6042914018933505</v>
      </c>
      <c r="M81" s="20">
        <f t="shared" si="14"/>
        <v>4.1077844228877263</v>
      </c>
      <c r="N81" s="36" t="s">
        <v>250</v>
      </c>
    </row>
    <row r="82" spans="1:14" ht="14.25" customHeight="1" x14ac:dyDescent="0.25">
      <c r="A82" s="36" t="s">
        <v>140</v>
      </c>
      <c r="B82" s="36">
        <v>2021</v>
      </c>
      <c r="C82" s="36" t="s">
        <v>75</v>
      </c>
      <c r="D82" s="36" t="s">
        <v>75</v>
      </c>
      <c r="E82" s="36" t="s">
        <v>46</v>
      </c>
      <c r="F82" s="38" t="s">
        <v>251</v>
      </c>
      <c r="G82" s="38" t="s">
        <v>176</v>
      </c>
      <c r="H82" s="37">
        <v>1</v>
      </c>
      <c r="I82" s="37">
        <f t="shared" si="16"/>
        <v>1.2225548877642043</v>
      </c>
      <c r="J82" s="37" t="str">
        <f t="shared" si="15"/>
        <v>0.758-4.56</v>
      </c>
      <c r="K82" s="37">
        <f>'Cost calculation'!T15</f>
        <v>0.75798403041380669</v>
      </c>
      <c r="L82" s="37">
        <f>'Cost calculation'!U15</f>
        <v>4.5601297313604823</v>
      </c>
      <c r="M82" s="20">
        <f t="shared" si="14"/>
        <v>2.6590568808871446</v>
      </c>
      <c r="N82" s="36" t="s">
        <v>252</v>
      </c>
    </row>
    <row r="83" spans="1:14" ht="14.25" customHeight="1" x14ac:dyDescent="0.25">
      <c r="A83" s="36" t="s">
        <v>140</v>
      </c>
      <c r="B83" s="36">
        <v>2021</v>
      </c>
      <c r="C83" s="36" t="s">
        <v>75</v>
      </c>
      <c r="D83" s="36" t="s">
        <v>75</v>
      </c>
      <c r="E83" s="36" t="s">
        <v>46</v>
      </c>
      <c r="F83" s="38" t="s">
        <v>251</v>
      </c>
      <c r="G83" s="38" t="s">
        <v>176</v>
      </c>
      <c r="H83" s="37">
        <v>1</v>
      </c>
      <c r="I83" s="37">
        <f t="shared" si="16"/>
        <v>1.2225548877642043</v>
      </c>
      <c r="J83" s="37" t="str">
        <f t="shared" si="15"/>
        <v>0.648-3.04</v>
      </c>
      <c r="K83" s="37">
        <f>'Cost calculation'!T16</f>
        <v>0.64795409051502828</v>
      </c>
      <c r="L83" s="37">
        <f>'Cost calculation'!U16</f>
        <v>3.0441616705328691</v>
      </c>
      <c r="M83" s="20">
        <f t="shared" si="14"/>
        <v>1.8460578805239487</v>
      </c>
      <c r="N83" s="36" t="s">
        <v>253</v>
      </c>
    </row>
    <row r="84" spans="1:14" ht="14.25" customHeight="1" x14ac:dyDescent="0.25">
      <c r="A84" s="36" t="s">
        <v>254</v>
      </c>
      <c r="B84" s="36">
        <v>2021</v>
      </c>
      <c r="C84" s="36" t="s">
        <v>142</v>
      </c>
      <c r="D84" s="36" t="s">
        <v>97</v>
      </c>
      <c r="E84" s="36" t="s">
        <v>47</v>
      </c>
      <c r="F84" s="38" t="s">
        <v>255</v>
      </c>
      <c r="G84" s="38" t="s">
        <v>238</v>
      </c>
      <c r="H84" s="37">
        <v>0.88200000000000001</v>
      </c>
      <c r="I84" s="37">
        <f t="shared" si="16"/>
        <v>1.2225548877642043</v>
      </c>
      <c r="J84" s="37">
        <f t="shared" ref="J84:J95" si="17">K84</f>
        <v>5.7408331369879946</v>
      </c>
      <c r="K84" s="37">
        <f>'Cost calculation'!AB25</f>
        <v>5.7408331369879946</v>
      </c>
      <c r="L84" s="37">
        <f>'Cost calculation'!AC25</f>
        <v>5.7408331369879946</v>
      </c>
      <c r="M84" s="20">
        <f t="shared" si="14"/>
        <v>5.7408331369879946</v>
      </c>
      <c r="N84" s="36" t="s">
        <v>256</v>
      </c>
    </row>
    <row r="85" spans="1:14" ht="14.25" customHeight="1" x14ac:dyDescent="0.25">
      <c r="A85" s="36" t="s">
        <v>257</v>
      </c>
      <c r="B85" s="36">
        <v>2021</v>
      </c>
      <c r="C85" s="36" t="s">
        <v>75</v>
      </c>
      <c r="D85" s="36" t="s">
        <v>75</v>
      </c>
      <c r="E85" s="36" t="s">
        <v>47</v>
      </c>
      <c r="F85" s="38" t="s">
        <v>258</v>
      </c>
      <c r="G85" s="38" t="s">
        <v>259</v>
      </c>
      <c r="H85" s="37">
        <v>1</v>
      </c>
      <c r="I85" s="37">
        <f t="shared" si="16"/>
        <v>1.2225548877642043</v>
      </c>
      <c r="J85" s="37">
        <f t="shared" si="17"/>
        <v>1.5955266977085496</v>
      </c>
      <c r="K85" s="37">
        <f>'Cost calculation'!AB26</f>
        <v>1.5955266977085496</v>
      </c>
      <c r="L85" s="37">
        <f>'Cost calculation'!AC26</f>
        <v>1.5955266977085496</v>
      </c>
      <c r="M85" s="20">
        <f t="shared" si="14"/>
        <v>1.5955266977085496</v>
      </c>
      <c r="N85" s="36" t="s">
        <v>260</v>
      </c>
    </row>
    <row r="86" spans="1:14" ht="14.25" customHeight="1" x14ac:dyDescent="0.25">
      <c r="A86" s="36" t="s">
        <v>261</v>
      </c>
      <c r="B86" s="36">
        <v>2021</v>
      </c>
      <c r="C86" s="36" t="s">
        <v>75</v>
      </c>
      <c r="D86" s="36" t="s">
        <v>75</v>
      </c>
      <c r="E86" s="36" t="s">
        <v>48</v>
      </c>
      <c r="F86" s="38" t="s">
        <v>262</v>
      </c>
      <c r="G86" s="38" t="s">
        <v>259</v>
      </c>
      <c r="H86" s="37">
        <v>1</v>
      </c>
      <c r="I86" s="37">
        <f t="shared" si="16"/>
        <v>1.2225548877642043</v>
      </c>
      <c r="J86" s="37">
        <f t="shared" si="17"/>
        <v>3.4700848967935696</v>
      </c>
      <c r="K86" s="37">
        <f>'Cost calculation'!AB27</f>
        <v>3.4700848967935696</v>
      </c>
      <c r="L86" s="37">
        <f>'Cost calculation'!AC27</f>
        <v>3.4700848967935696</v>
      </c>
      <c r="M86" s="20">
        <f t="shared" si="14"/>
        <v>3.4700848967935696</v>
      </c>
      <c r="N86" s="36" t="s">
        <v>263</v>
      </c>
    </row>
    <row r="87" spans="1:14" ht="14.25" customHeight="1" x14ac:dyDescent="0.25">
      <c r="A87" s="36" t="s">
        <v>264</v>
      </c>
      <c r="B87" s="36">
        <v>2021</v>
      </c>
      <c r="C87" s="36" t="s">
        <v>75</v>
      </c>
      <c r="D87" s="36" t="s">
        <v>75</v>
      </c>
      <c r="E87" s="36" t="s">
        <v>48</v>
      </c>
      <c r="F87" s="38" t="s">
        <v>265</v>
      </c>
      <c r="G87" s="38" t="s">
        <v>259</v>
      </c>
      <c r="H87" s="37">
        <v>1</v>
      </c>
      <c r="I87" s="37">
        <f t="shared" si="16"/>
        <v>1.2225548877642043</v>
      </c>
      <c r="J87" s="37">
        <f t="shared" si="17"/>
        <v>2.8030865174960606</v>
      </c>
      <c r="K87" s="37">
        <f>'Cost calculation'!AB28</f>
        <v>2.8030865174960606</v>
      </c>
      <c r="L87" s="37">
        <f>'Cost calculation'!AC28</f>
        <v>2.8030865174960606</v>
      </c>
      <c r="M87" s="20">
        <f t="shared" si="14"/>
        <v>2.8030865174960606</v>
      </c>
      <c r="N87" s="36" t="s">
        <v>266</v>
      </c>
    </row>
    <row r="88" spans="1:14" ht="14.25" customHeight="1" x14ac:dyDescent="0.25">
      <c r="A88" s="36" t="s">
        <v>267</v>
      </c>
      <c r="B88" s="36">
        <v>2021</v>
      </c>
      <c r="C88" s="36" t="s">
        <v>268</v>
      </c>
      <c r="D88" s="36" t="s">
        <v>66</v>
      </c>
      <c r="E88" s="36" t="s">
        <v>46</v>
      </c>
      <c r="F88" s="38">
        <v>8.4</v>
      </c>
      <c r="G88" s="38" t="s">
        <v>269</v>
      </c>
      <c r="H88" s="37">
        <v>1.36</v>
      </c>
      <c r="I88" s="37">
        <f t="shared" si="16"/>
        <v>1.2225548877642043</v>
      </c>
      <c r="J88" s="37">
        <f t="shared" si="17"/>
        <v>7.5510743067789088</v>
      </c>
      <c r="K88" s="37">
        <f>F88/H88*I88</f>
        <v>7.5510743067789088</v>
      </c>
      <c r="L88" s="37">
        <f>F88/H88*I88</f>
        <v>7.5510743067789088</v>
      </c>
      <c r="M88" s="20">
        <f t="shared" si="14"/>
        <v>7.5510743067789088</v>
      </c>
      <c r="N88" s="36"/>
    </row>
    <row r="89" spans="1:14" ht="14.25" customHeight="1" x14ac:dyDescent="0.25">
      <c r="A89" s="36" t="s">
        <v>270</v>
      </c>
      <c r="B89" s="36">
        <v>2021</v>
      </c>
      <c r="C89" s="36" t="s">
        <v>75</v>
      </c>
      <c r="D89" s="36" t="s">
        <v>75</v>
      </c>
      <c r="E89" s="36" t="s">
        <v>46</v>
      </c>
      <c r="F89" s="38">
        <v>5.73</v>
      </c>
      <c r="G89" s="38" t="s">
        <v>161</v>
      </c>
      <c r="H89" s="37">
        <v>1</v>
      </c>
      <c r="I89" s="37">
        <f t="shared" si="16"/>
        <v>1.2225548877642043</v>
      </c>
      <c r="J89" s="37">
        <f t="shared" si="17"/>
        <v>4.3528540243036238</v>
      </c>
      <c r="K89" s="37">
        <f>F89/1.609344/H89*I89</f>
        <v>4.3528540243036238</v>
      </c>
      <c r="L89" s="37">
        <f>F89/1.609344/H89*I89</f>
        <v>4.3528540243036238</v>
      </c>
      <c r="M89" s="20">
        <f t="shared" si="14"/>
        <v>4.3528540243036238</v>
      </c>
      <c r="N89" s="36" t="s">
        <v>271</v>
      </c>
    </row>
    <row r="90" spans="1:14" ht="14.25" customHeight="1" x14ac:dyDescent="0.25">
      <c r="A90" s="36" t="s">
        <v>270</v>
      </c>
      <c r="B90" s="36">
        <v>2021</v>
      </c>
      <c r="C90" s="36" t="s">
        <v>75</v>
      </c>
      <c r="D90" s="36" t="s">
        <v>75</v>
      </c>
      <c r="E90" s="36" t="s">
        <v>46</v>
      </c>
      <c r="F90" s="38">
        <v>1.86</v>
      </c>
      <c r="G90" s="38" t="s">
        <v>161</v>
      </c>
      <c r="H90" s="37">
        <v>1</v>
      </c>
      <c r="I90" s="37">
        <f t="shared" si="16"/>
        <v>1.2225548877642043</v>
      </c>
      <c r="J90" s="37">
        <f t="shared" si="17"/>
        <v>1.41296832202526</v>
      </c>
      <c r="K90" s="37">
        <f>F90/1.609344/H90*I90</f>
        <v>1.41296832202526</v>
      </c>
      <c r="L90" s="37">
        <f>F90/1.609344/H90*I90</f>
        <v>1.41296832202526</v>
      </c>
      <c r="M90" s="20">
        <f t="shared" si="14"/>
        <v>1.41296832202526</v>
      </c>
      <c r="N90" s="36" t="s">
        <v>272</v>
      </c>
    </row>
    <row r="91" spans="1:14" ht="14.25" customHeight="1" x14ac:dyDescent="0.25">
      <c r="A91" s="36" t="s">
        <v>270</v>
      </c>
      <c r="B91" s="36">
        <v>2021</v>
      </c>
      <c r="C91" s="36" t="s">
        <v>75</v>
      </c>
      <c r="D91" s="36" t="s">
        <v>75</v>
      </c>
      <c r="E91" s="36" t="s">
        <v>46</v>
      </c>
      <c r="F91" s="38">
        <v>0.44</v>
      </c>
      <c r="G91" s="38" t="s">
        <v>161</v>
      </c>
      <c r="H91" s="37">
        <v>1</v>
      </c>
      <c r="I91" s="37">
        <f t="shared" si="16"/>
        <v>1.2225548877642043</v>
      </c>
      <c r="J91" s="37">
        <f t="shared" si="17"/>
        <v>0.33425057080167442</v>
      </c>
      <c r="K91" s="37">
        <f>F91/1.609344/H91*I91</f>
        <v>0.33425057080167442</v>
      </c>
      <c r="L91" s="37">
        <f>F91/1.609344/H91*I91</f>
        <v>0.33425057080167442</v>
      </c>
      <c r="M91" s="20">
        <f t="shared" si="14"/>
        <v>0.33425057080167442</v>
      </c>
      <c r="N91" s="36" t="s">
        <v>273</v>
      </c>
    </row>
    <row r="92" spans="1:14" ht="14.25" customHeight="1" x14ac:dyDescent="0.25">
      <c r="A92" s="36" t="s">
        <v>141</v>
      </c>
      <c r="B92" s="36">
        <v>2020</v>
      </c>
      <c r="C92" s="36" t="s">
        <v>142</v>
      </c>
      <c r="D92" s="36" t="s">
        <v>97</v>
      </c>
      <c r="E92" s="36" t="s">
        <v>71</v>
      </c>
      <c r="F92" s="38" t="s">
        <v>274</v>
      </c>
      <c r="G92" s="38" t="s">
        <v>238</v>
      </c>
      <c r="H92" s="37">
        <v>0.81499999999999995</v>
      </c>
      <c r="I92" s="37">
        <f t="shared" ref="I92:I99" si="18">331.279875/258.85575</f>
        <v>1.2797856528201519</v>
      </c>
      <c r="J92" s="37">
        <f t="shared" si="17"/>
        <v>4.9333250625071301</v>
      </c>
      <c r="K92" s="37">
        <f>'Cost calculation'!AB29</f>
        <v>4.9333250625071301</v>
      </c>
      <c r="L92" s="37">
        <f>'Cost calculation'!AC29</f>
        <v>4.9333250625071301</v>
      </c>
      <c r="M92" s="20">
        <f t="shared" si="14"/>
        <v>4.9333250625071301</v>
      </c>
      <c r="N92" s="36" t="s">
        <v>275</v>
      </c>
    </row>
    <row r="93" spans="1:14" ht="14.25" customHeight="1" x14ac:dyDescent="0.25">
      <c r="A93" s="36" t="s">
        <v>143</v>
      </c>
      <c r="B93" s="36">
        <v>2020</v>
      </c>
      <c r="C93" s="36" t="s">
        <v>142</v>
      </c>
      <c r="D93" s="36" t="s">
        <v>97</v>
      </c>
      <c r="E93" s="36" t="s">
        <v>46</v>
      </c>
      <c r="F93" s="38" t="s">
        <v>274</v>
      </c>
      <c r="G93" s="38" t="s">
        <v>238</v>
      </c>
      <c r="H93" s="37">
        <v>0.91400000000000003</v>
      </c>
      <c r="I93" s="37">
        <f t="shared" si="18"/>
        <v>1.2797856528201519</v>
      </c>
      <c r="J93" s="37">
        <f t="shared" si="17"/>
        <v>4.3989714725856786</v>
      </c>
      <c r="K93" s="37">
        <f>'Cost calculation'!AB30</f>
        <v>4.3989714725856786</v>
      </c>
      <c r="L93" s="37">
        <f>'Cost calculation'!AC30</f>
        <v>4.3989714725856786</v>
      </c>
      <c r="M93" s="20">
        <f t="shared" si="14"/>
        <v>4.3989714725856786</v>
      </c>
      <c r="N93" s="36" t="s">
        <v>275</v>
      </c>
    </row>
    <row r="94" spans="1:14" ht="14.25" customHeight="1" x14ac:dyDescent="0.25">
      <c r="A94" s="36" t="s">
        <v>143</v>
      </c>
      <c r="B94" s="36">
        <v>2020</v>
      </c>
      <c r="C94" s="36" t="s">
        <v>142</v>
      </c>
      <c r="D94" s="36" t="s">
        <v>97</v>
      </c>
      <c r="E94" s="36" t="s">
        <v>47</v>
      </c>
      <c r="F94" s="38" t="s">
        <v>274</v>
      </c>
      <c r="G94" s="38" t="s">
        <v>238</v>
      </c>
      <c r="H94" s="37">
        <v>0.91400000000000003</v>
      </c>
      <c r="I94" s="37">
        <f t="shared" si="18"/>
        <v>1.2797856528201519</v>
      </c>
      <c r="J94" s="37">
        <f t="shared" si="17"/>
        <v>4.3989714725856786</v>
      </c>
      <c r="K94" s="37">
        <f>'Cost calculation'!AB31</f>
        <v>4.3989714725856786</v>
      </c>
      <c r="L94" s="37">
        <f>'Cost calculation'!AC31</f>
        <v>4.3989714725856786</v>
      </c>
      <c r="M94" s="20">
        <f t="shared" si="14"/>
        <v>4.3989714725856786</v>
      </c>
      <c r="N94" s="36"/>
    </row>
    <row r="95" spans="1:14" ht="14.25" customHeight="1" x14ac:dyDescent="0.25">
      <c r="A95" s="36" t="s">
        <v>143</v>
      </c>
      <c r="B95" s="36">
        <v>2020</v>
      </c>
      <c r="C95" s="36" t="s">
        <v>142</v>
      </c>
      <c r="D95" s="36" t="s">
        <v>97</v>
      </c>
      <c r="E95" s="36" t="s">
        <v>48</v>
      </c>
      <c r="F95" s="38" t="s">
        <v>274</v>
      </c>
      <c r="G95" s="38" t="s">
        <v>238</v>
      </c>
      <c r="H95" s="37">
        <v>0.91400000000000003</v>
      </c>
      <c r="I95" s="37">
        <f t="shared" si="18"/>
        <v>1.2797856528201519</v>
      </c>
      <c r="J95" s="37">
        <f t="shared" si="17"/>
        <v>4.3989714725856786</v>
      </c>
      <c r="K95" s="37">
        <f>'Cost calculation'!AB32</f>
        <v>4.3989714725856786</v>
      </c>
      <c r="L95" s="37">
        <f>'Cost calculation'!AC32</f>
        <v>4.3989714725856786</v>
      </c>
      <c r="M95" s="20">
        <f t="shared" si="14"/>
        <v>4.3989714725856786</v>
      </c>
      <c r="N95" s="36"/>
    </row>
    <row r="96" spans="1:14" ht="14.25" customHeight="1" x14ac:dyDescent="0.25">
      <c r="A96" s="36" t="s">
        <v>276</v>
      </c>
      <c r="B96" s="36">
        <v>2020</v>
      </c>
      <c r="C96" s="36" t="s">
        <v>201</v>
      </c>
      <c r="D96" s="36" t="s">
        <v>201</v>
      </c>
      <c r="E96" s="36" t="s">
        <v>46</v>
      </c>
      <c r="F96" s="38" t="s">
        <v>277</v>
      </c>
      <c r="G96" s="38" t="s">
        <v>210</v>
      </c>
      <c r="H96" s="37">
        <v>1</v>
      </c>
      <c r="I96" s="37">
        <f t="shared" si="18"/>
        <v>1.2797856528201519</v>
      </c>
      <c r="J96" s="37" t="str">
        <f>TEXT(K96,IF(ABS(K96)&gt;=1,"0.##",IF(ABS(K96)&gt;=0.01,"0.####","0.######")))&amp;"-"&amp;TEXT(L96,IF(ABS(L96)&gt;=1,"0.##",IF(ABS(L96)&gt;=0.01,"0.####","0.######")))</f>
        <v>0.3839-9.21</v>
      </c>
      <c r="K96" s="37">
        <f>VALUE(LEFT(F96,FIND("-",F96)-1))/H96*I96</f>
        <v>0.38393569584604553</v>
      </c>
      <c r="L96" s="37">
        <f>VALUE(MID(F96,FIND("-",F96)+1,99))/H96*I96</f>
        <v>9.2144567003050941</v>
      </c>
      <c r="M96" s="20">
        <f t="shared" si="14"/>
        <v>4.7991961980755695</v>
      </c>
      <c r="N96" s="36"/>
    </row>
    <row r="97" spans="1:14" ht="14.25" customHeight="1" x14ac:dyDescent="0.25">
      <c r="A97" s="36" t="s">
        <v>144</v>
      </c>
      <c r="B97" s="36">
        <v>2020</v>
      </c>
      <c r="C97" s="36" t="s">
        <v>142</v>
      </c>
      <c r="D97" s="36" t="s">
        <v>97</v>
      </c>
      <c r="E97" s="36" t="s">
        <v>46</v>
      </c>
      <c r="F97" s="38" t="s">
        <v>274</v>
      </c>
      <c r="G97" s="38" t="s">
        <v>238</v>
      </c>
      <c r="H97" s="37">
        <v>0.89300000000000002</v>
      </c>
      <c r="I97" s="37">
        <f t="shared" si="18"/>
        <v>1.2797856528201519</v>
      </c>
      <c r="J97" s="37">
        <f t="shared" ref="J97:J104" si="19">K97</f>
        <v>4.5024187300596985</v>
      </c>
      <c r="K97" s="37">
        <f>'Cost calculation'!AB33</f>
        <v>4.5024187300596985</v>
      </c>
      <c r="L97" s="37">
        <f>'Cost calculation'!AC33</f>
        <v>4.5024187300596985</v>
      </c>
      <c r="M97" s="20">
        <f t="shared" si="14"/>
        <v>4.5024187300596985</v>
      </c>
      <c r="N97" s="36" t="s">
        <v>275</v>
      </c>
    </row>
    <row r="98" spans="1:14" ht="14.25" customHeight="1" x14ac:dyDescent="0.25">
      <c r="A98" s="36" t="s">
        <v>144</v>
      </c>
      <c r="B98" s="36">
        <v>2020</v>
      </c>
      <c r="C98" s="36" t="s">
        <v>142</v>
      </c>
      <c r="D98" s="36" t="s">
        <v>97</v>
      </c>
      <c r="E98" s="36" t="s">
        <v>47</v>
      </c>
      <c r="F98" s="38" t="s">
        <v>274</v>
      </c>
      <c r="G98" s="38" t="s">
        <v>238</v>
      </c>
      <c r="H98" s="37">
        <v>0.89300000000000002</v>
      </c>
      <c r="I98" s="37">
        <f t="shared" si="18"/>
        <v>1.2797856528201519</v>
      </c>
      <c r="J98" s="37">
        <f t="shared" si="19"/>
        <v>4.5024187300596985</v>
      </c>
      <c r="K98" s="37">
        <f>'Cost calculation'!AB34</f>
        <v>4.5024187300596985</v>
      </c>
      <c r="L98" s="37">
        <f>'Cost calculation'!AC34</f>
        <v>4.5024187300596985</v>
      </c>
      <c r="M98" s="20">
        <f t="shared" si="14"/>
        <v>4.5024187300596985</v>
      </c>
      <c r="N98" s="36"/>
    </row>
    <row r="99" spans="1:14" ht="14.25" customHeight="1" x14ac:dyDescent="0.25">
      <c r="A99" s="36" t="s">
        <v>144</v>
      </c>
      <c r="B99" s="36">
        <v>2020</v>
      </c>
      <c r="C99" s="36" t="s">
        <v>142</v>
      </c>
      <c r="D99" s="36" t="s">
        <v>97</v>
      </c>
      <c r="E99" s="36" t="s">
        <v>48</v>
      </c>
      <c r="F99" s="38" t="s">
        <v>274</v>
      </c>
      <c r="G99" s="38" t="s">
        <v>238</v>
      </c>
      <c r="H99" s="37">
        <v>0.89300000000000002</v>
      </c>
      <c r="I99" s="37">
        <f t="shared" si="18"/>
        <v>1.2797856528201519</v>
      </c>
      <c r="J99" s="37">
        <f t="shared" si="19"/>
        <v>4.5024187300596985</v>
      </c>
      <c r="K99" s="37">
        <f>'Cost calculation'!AB35</f>
        <v>4.5024187300596985</v>
      </c>
      <c r="L99" s="37">
        <f>'Cost calculation'!AC35</f>
        <v>4.5024187300596985</v>
      </c>
      <c r="M99" s="20">
        <f t="shared" si="14"/>
        <v>4.5024187300596985</v>
      </c>
      <c r="N99" s="36"/>
    </row>
    <row r="100" spans="1:14" ht="14.25" customHeight="1" x14ac:dyDescent="0.25">
      <c r="A100" s="36" t="s">
        <v>278</v>
      </c>
      <c r="B100" s="36">
        <v>2019</v>
      </c>
      <c r="C100" s="36" t="s">
        <v>146</v>
      </c>
      <c r="D100" s="36" t="s">
        <v>97</v>
      </c>
      <c r="E100" s="36" t="s">
        <v>46</v>
      </c>
      <c r="F100" s="38" t="s">
        <v>279</v>
      </c>
      <c r="G100" s="38" t="s">
        <v>280</v>
      </c>
      <c r="H100" s="37">
        <v>0.73</v>
      </c>
      <c r="I100" s="37">
        <f t="shared" ref="I100:I109" si="20">331.279875/255.652583333333</f>
        <v>1.2958205650832804</v>
      </c>
      <c r="J100" s="37">
        <f t="shared" si="19"/>
        <v>5.844505767858494</v>
      </c>
      <c r="K100" s="37">
        <f>'Cost calculation'!AB36</f>
        <v>5.844505767858494</v>
      </c>
      <c r="L100" s="37">
        <f>'Cost calculation'!AC36</f>
        <v>5.844505767858494</v>
      </c>
      <c r="M100" s="20">
        <f t="shared" si="14"/>
        <v>5.844505767858494</v>
      </c>
      <c r="N100" s="36" t="s">
        <v>281</v>
      </c>
    </row>
    <row r="101" spans="1:14" ht="14.25" customHeight="1" x14ac:dyDescent="0.25">
      <c r="A101" s="36" t="s">
        <v>278</v>
      </c>
      <c r="B101" s="36">
        <v>2019</v>
      </c>
      <c r="C101" s="36" t="s">
        <v>146</v>
      </c>
      <c r="D101" s="36" t="s">
        <v>97</v>
      </c>
      <c r="E101" s="36" t="s">
        <v>47</v>
      </c>
      <c r="F101" s="38" t="s">
        <v>279</v>
      </c>
      <c r="G101" s="38" t="s">
        <v>280</v>
      </c>
      <c r="H101" s="37">
        <v>0.73</v>
      </c>
      <c r="I101" s="37">
        <f t="shared" si="20"/>
        <v>1.2958205650832804</v>
      </c>
      <c r="J101" s="37">
        <f t="shared" si="19"/>
        <v>5.844505767858494</v>
      </c>
      <c r="K101" s="37">
        <f>'Cost calculation'!AB37</f>
        <v>5.844505767858494</v>
      </c>
      <c r="L101" s="37">
        <f>'Cost calculation'!AC37</f>
        <v>5.844505767858494</v>
      </c>
      <c r="M101" s="20">
        <f t="shared" si="14"/>
        <v>5.844505767858494</v>
      </c>
      <c r="N101" s="36"/>
    </row>
    <row r="102" spans="1:14" ht="14.25" customHeight="1" x14ac:dyDescent="0.25">
      <c r="A102" s="36" t="s">
        <v>278</v>
      </c>
      <c r="B102" s="36">
        <v>2019</v>
      </c>
      <c r="C102" s="36" t="s">
        <v>146</v>
      </c>
      <c r="D102" s="36" t="s">
        <v>97</v>
      </c>
      <c r="E102" s="36" t="s">
        <v>48</v>
      </c>
      <c r="F102" s="38" t="s">
        <v>279</v>
      </c>
      <c r="G102" s="38" t="s">
        <v>280</v>
      </c>
      <c r="H102" s="37">
        <v>0.73</v>
      </c>
      <c r="I102" s="37">
        <f t="shared" si="20"/>
        <v>1.2958205650832804</v>
      </c>
      <c r="J102" s="37">
        <f t="shared" si="19"/>
        <v>5.844505767858494</v>
      </c>
      <c r="K102" s="37">
        <f>'Cost calculation'!AB38</f>
        <v>5.844505767858494</v>
      </c>
      <c r="L102" s="37">
        <f>'Cost calculation'!AC38</f>
        <v>5.844505767858494</v>
      </c>
      <c r="M102" s="20">
        <f t="shared" si="14"/>
        <v>5.844505767858494</v>
      </c>
      <c r="N102" s="36"/>
    </row>
    <row r="103" spans="1:14" ht="14.25" customHeight="1" x14ac:dyDescent="0.25">
      <c r="A103" s="36" t="s">
        <v>145</v>
      </c>
      <c r="B103" s="36">
        <v>2019</v>
      </c>
      <c r="C103" s="36" t="s">
        <v>146</v>
      </c>
      <c r="D103" s="36" t="s">
        <v>97</v>
      </c>
      <c r="E103" s="36" t="s">
        <v>46</v>
      </c>
      <c r="F103" s="38" t="s">
        <v>282</v>
      </c>
      <c r="G103" s="38" t="s">
        <v>280</v>
      </c>
      <c r="H103" s="37">
        <v>0.96599999999999997</v>
      </c>
      <c r="I103" s="37">
        <f t="shared" si="20"/>
        <v>1.2958205650832804</v>
      </c>
      <c r="J103" s="37">
        <f t="shared" si="19"/>
        <v>4.1763161069281711</v>
      </c>
      <c r="K103" s="37">
        <f>'Cost calculation'!AB39</f>
        <v>4.1763161069281711</v>
      </c>
      <c r="L103" s="37">
        <f>'Cost calculation'!AC39</f>
        <v>4.1763161069281711</v>
      </c>
      <c r="M103" s="20">
        <f t="shared" si="14"/>
        <v>4.1763161069281711</v>
      </c>
      <c r="N103" s="36" t="s">
        <v>283</v>
      </c>
    </row>
    <row r="104" spans="1:14" ht="14.25" customHeight="1" x14ac:dyDescent="0.25">
      <c r="A104" s="36" t="s">
        <v>145</v>
      </c>
      <c r="B104" s="36">
        <v>2019</v>
      </c>
      <c r="C104" s="36" t="s">
        <v>146</v>
      </c>
      <c r="D104" s="36" t="s">
        <v>97</v>
      </c>
      <c r="E104" s="36" t="s">
        <v>47</v>
      </c>
      <c r="F104" s="38" t="s">
        <v>282</v>
      </c>
      <c r="G104" s="38" t="s">
        <v>280</v>
      </c>
      <c r="H104" s="37">
        <v>0.96599999999999997</v>
      </c>
      <c r="I104" s="37">
        <f t="shared" si="20"/>
        <v>1.2958205650832804</v>
      </c>
      <c r="J104" s="37">
        <f t="shared" si="19"/>
        <v>4.1763161069281711</v>
      </c>
      <c r="K104" s="37">
        <f>'Cost calculation'!AB40</f>
        <v>4.1763161069281711</v>
      </c>
      <c r="L104" s="37">
        <f>'Cost calculation'!AC40</f>
        <v>4.1763161069281711</v>
      </c>
      <c r="M104" s="20">
        <f t="shared" si="14"/>
        <v>4.1763161069281711</v>
      </c>
      <c r="N104" s="36"/>
    </row>
    <row r="105" spans="1:14" ht="14.25" customHeight="1" x14ac:dyDescent="0.25">
      <c r="A105" s="36" t="s">
        <v>143</v>
      </c>
      <c r="B105" s="36">
        <v>2019</v>
      </c>
      <c r="C105" s="36" t="s">
        <v>142</v>
      </c>
      <c r="D105" s="36" t="s">
        <v>97</v>
      </c>
      <c r="E105" s="36" t="s">
        <v>46</v>
      </c>
      <c r="F105" s="38" t="s">
        <v>284</v>
      </c>
      <c r="G105" s="38" t="s">
        <v>174</v>
      </c>
      <c r="H105" s="37">
        <v>0.83</v>
      </c>
      <c r="I105" s="37">
        <f t="shared" si="20"/>
        <v>1.2958205650832804</v>
      </c>
      <c r="J105" s="37" t="str">
        <f t="shared" ref="J105:J113" si="21">TEXT(K105,IF(ABS(K105)&gt;=1,"0.##",IF(ABS(K105)&gt;=0.01,"0.####","0.######")))&amp;"-"&amp;TEXT(L105,IF(ABS(L105)&gt;=1,"0.##",IF(ABS(L105)&gt;=0.01,"0.####","0.######")))</f>
        <v>1.56-7.81</v>
      </c>
      <c r="K105" s="37">
        <f>VALUE(LEFT(F105,FIND("-",F105)-1))/H105*I105</f>
        <v>1.56122959648588</v>
      </c>
      <c r="L105" s="37">
        <f>VALUE(MID(F105,FIND("-",F105)+1,99))/H105*I105</f>
        <v>7.8061479824294002</v>
      </c>
      <c r="M105" s="20">
        <f t="shared" si="14"/>
        <v>4.6836887894576398</v>
      </c>
      <c r="N105" s="36"/>
    </row>
    <row r="106" spans="1:14" ht="14.25" customHeight="1" x14ac:dyDescent="0.25">
      <c r="A106" s="36" t="s">
        <v>151</v>
      </c>
      <c r="B106" s="36">
        <v>2019</v>
      </c>
      <c r="C106" s="36" t="s">
        <v>75</v>
      </c>
      <c r="D106" s="36" t="s">
        <v>75</v>
      </c>
      <c r="E106" s="36" t="s">
        <v>46</v>
      </c>
      <c r="F106" s="38" t="s">
        <v>120</v>
      </c>
      <c r="G106" s="38" t="s">
        <v>176</v>
      </c>
      <c r="H106" s="37">
        <v>1</v>
      </c>
      <c r="I106" s="37">
        <f t="shared" si="20"/>
        <v>1.2958205650832804</v>
      </c>
      <c r="J106" s="37" t="str">
        <f t="shared" si="21"/>
        <v>0.0389-0.1685</v>
      </c>
      <c r="K106" s="37">
        <f>'Cost calculation'!M50</f>
        <v>3.8874616952498414E-2</v>
      </c>
      <c r="L106" s="37">
        <f>'Cost calculation'!N50</f>
        <v>0.16845667346082646</v>
      </c>
      <c r="M106" s="20">
        <f t="shared" si="14"/>
        <v>0.10366564520666244</v>
      </c>
      <c r="N106" s="36" t="s">
        <v>285</v>
      </c>
    </row>
    <row r="107" spans="1:14" ht="14.25" customHeight="1" x14ac:dyDescent="0.25">
      <c r="A107" s="36" t="s">
        <v>151</v>
      </c>
      <c r="B107" s="36">
        <v>2019</v>
      </c>
      <c r="C107" s="36" t="s">
        <v>75</v>
      </c>
      <c r="D107" s="36" t="s">
        <v>75</v>
      </c>
      <c r="E107" s="36" t="s">
        <v>46</v>
      </c>
      <c r="F107" s="38" t="s">
        <v>67</v>
      </c>
      <c r="G107" s="38" t="s">
        <v>176</v>
      </c>
      <c r="H107" s="37">
        <v>1</v>
      </c>
      <c r="I107" s="37">
        <f t="shared" si="20"/>
        <v>1.2958205650832804</v>
      </c>
      <c r="J107" s="37" t="str">
        <f t="shared" si="21"/>
        <v>0.0389-0.3499</v>
      </c>
      <c r="K107" s="37">
        <f>'Cost calculation'!M51</f>
        <v>3.8874616952498414E-2</v>
      </c>
      <c r="L107" s="37">
        <f>'Cost calculation'!N51</f>
        <v>0.3498715525724857</v>
      </c>
      <c r="M107" s="20">
        <f t="shared" si="14"/>
        <v>0.19437308476249204</v>
      </c>
      <c r="N107" s="36" t="s">
        <v>286</v>
      </c>
    </row>
    <row r="108" spans="1:14" ht="14.25" customHeight="1" x14ac:dyDescent="0.25">
      <c r="A108" s="36" t="s">
        <v>151</v>
      </c>
      <c r="B108" s="36">
        <v>2019</v>
      </c>
      <c r="C108" s="36" t="s">
        <v>75</v>
      </c>
      <c r="D108" s="36" t="s">
        <v>75</v>
      </c>
      <c r="E108" s="36" t="s">
        <v>46</v>
      </c>
      <c r="F108" s="38" t="s">
        <v>287</v>
      </c>
      <c r="G108" s="38" t="s">
        <v>176</v>
      </c>
      <c r="H108" s="37">
        <v>1</v>
      </c>
      <c r="I108" s="37">
        <f t="shared" si="20"/>
        <v>1.2958205650832804</v>
      </c>
      <c r="J108" s="37" t="str">
        <f t="shared" si="21"/>
        <v>0.0518-0.5183</v>
      </c>
      <c r="K108" s="37">
        <f>'Cost calculation'!M52</f>
        <v>5.1832822603331219E-2</v>
      </c>
      <c r="L108" s="37">
        <f>'Cost calculation'!N52</f>
        <v>0.51832822603331208</v>
      </c>
      <c r="M108" s="20">
        <f t="shared" si="14"/>
        <v>0.28508052431832165</v>
      </c>
      <c r="N108" s="36" t="s">
        <v>288</v>
      </c>
    </row>
    <row r="109" spans="1:14" ht="14.25" customHeight="1" x14ac:dyDescent="0.25">
      <c r="A109" s="36" t="s">
        <v>151</v>
      </c>
      <c r="B109" s="36">
        <v>2019</v>
      </c>
      <c r="C109" s="36" t="s">
        <v>75</v>
      </c>
      <c r="D109" s="36" t="s">
        <v>75</v>
      </c>
      <c r="E109" s="36" t="s">
        <v>46</v>
      </c>
      <c r="F109" s="38" t="s">
        <v>289</v>
      </c>
      <c r="G109" s="38" t="s">
        <v>176</v>
      </c>
      <c r="H109" s="37">
        <v>1</v>
      </c>
      <c r="I109" s="37">
        <f t="shared" si="20"/>
        <v>1.2958205650832804</v>
      </c>
      <c r="J109" s="37" t="str">
        <f t="shared" si="21"/>
        <v>0.0907-0.4665</v>
      </c>
      <c r="K109" s="37">
        <f>'Cost calculation'!M53</f>
        <v>9.0707439555829633E-2</v>
      </c>
      <c r="L109" s="37">
        <f>'Cost calculation'!N53</f>
        <v>0.46649540342998091</v>
      </c>
      <c r="M109" s="20">
        <f t="shared" si="14"/>
        <v>0.27860142149290529</v>
      </c>
      <c r="N109" s="36" t="s">
        <v>290</v>
      </c>
    </row>
    <row r="110" spans="1:14" ht="14.25" customHeight="1" x14ac:dyDescent="0.25">
      <c r="A110" s="36" t="s">
        <v>152</v>
      </c>
      <c r="B110" s="36">
        <v>2018</v>
      </c>
      <c r="C110" s="36" t="s">
        <v>75</v>
      </c>
      <c r="D110" s="36" t="s">
        <v>75</v>
      </c>
      <c r="E110" s="36" t="s">
        <v>46</v>
      </c>
      <c r="F110" s="38" t="s">
        <v>120</v>
      </c>
      <c r="G110" s="38" t="s">
        <v>176</v>
      </c>
      <c r="H110" s="37">
        <v>1</v>
      </c>
      <c r="I110" s="37">
        <f t="shared" ref="I110:I117" si="22">331.279875/251.0995</f>
        <v>1.3193171432041879</v>
      </c>
      <c r="J110" s="37" t="str">
        <f t="shared" si="21"/>
        <v>0.0396-0.1715</v>
      </c>
      <c r="K110" s="37">
        <f>'Cost calculation'!M54</f>
        <v>3.9579514296125634E-2</v>
      </c>
      <c r="L110" s="37">
        <f>'Cost calculation'!N54</f>
        <v>0.17151122861654444</v>
      </c>
      <c r="M110" s="20">
        <f t="shared" si="14"/>
        <v>0.10554537145633504</v>
      </c>
      <c r="N110" s="36" t="s">
        <v>285</v>
      </c>
    </row>
    <row r="111" spans="1:14" ht="14.25" customHeight="1" x14ac:dyDescent="0.25">
      <c r="A111" s="36" t="s">
        <v>152</v>
      </c>
      <c r="B111" s="36">
        <v>2018</v>
      </c>
      <c r="C111" s="36" t="s">
        <v>75</v>
      </c>
      <c r="D111" s="36" t="s">
        <v>75</v>
      </c>
      <c r="E111" s="36" t="s">
        <v>46</v>
      </c>
      <c r="F111" s="38" t="s">
        <v>67</v>
      </c>
      <c r="G111" s="38" t="s">
        <v>176</v>
      </c>
      <c r="H111" s="37">
        <v>1</v>
      </c>
      <c r="I111" s="37">
        <f t="shared" si="22"/>
        <v>1.3193171432041879</v>
      </c>
      <c r="J111" s="37" t="str">
        <f t="shared" si="21"/>
        <v>0.0396-0.3562</v>
      </c>
      <c r="K111" s="37">
        <f>'Cost calculation'!M55</f>
        <v>3.9579514296125634E-2</v>
      </c>
      <c r="L111" s="37">
        <f>'Cost calculation'!N55</f>
        <v>0.35621562866513073</v>
      </c>
      <c r="M111" s="20">
        <f t="shared" si="14"/>
        <v>0.1978975714806282</v>
      </c>
      <c r="N111" s="36" t="s">
        <v>286</v>
      </c>
    </row>
    <row r="112" spans="1:14" ht="14.25" customHeight="1" x14ac:dyDescent="0.25">
      <c r="A112" s="36" t="s">
        <v>152</v>
      </c>
      <c r="B112" s="36">
        <v>2018</v>
      </c>
      <c r="C112" s="36" t="s">
        <v>75</v>
      </c>
      <c r="D112" s="36" t="s">
        <v>75</v>
      </c>
      <c r="E112" s="36" t="s">
        <v>46</v>
      </c>
      <c r="F112" s="38" t="s">
        <v>287</v>
      </c>
      <c r="G112" s="38" t="s">
        <v>176</v>
      </c>
      <c r="H112" s="37">
        <v>1</v>
      </c>
      <c r="I112" s="37">
        <f t="shared" si="22"/>
        <v>1.3193171432041879</v>
      </c>
      <c r="J112" s="37" t="str">
        <f t="shared" si="21"/>
        <v>0.0528-0.5277</v>
      </c>
      <c r="K112" s="37">
        <f>'Cost calculation'!M56</f>
        <v>5.2772685728167519E-2</v>
      </c>
      <c r="L112" s="37">
        <f>'Cost calculation'!N56</f>
        <v>0.52772685728167523</v>
      </c>
      <c r="M112" s="20">
        <f t="shared" si="14"/>
        <v>0.29024977150492137</v>
      </c>
      <c r="N112" s="36" t="s">
        <v>288</v>
      </c>
    </row>
    <row r="113" spans="1:14" ht="14.25" customHeight="1" x14ac:dyDescent="0.25">
      <c r="A113" s="36" t="s">
        <v>152</v>
      </c>
      <c r="B113" s="36">
        <v>2018</v>
      </c>
      <c r="C113" s="36" t="s">
        <v>75</v>
      </c>
      <c r="D113" s="36" t="s">
        <v>75</v>
      </c>
      <c r="E113" s="36" t="s">
        <v>46</v>
      </c>
      <c r="F113" s="38" t="s">
        <v>289</v>
      </c>
      <c r="G113" s="38" t="s">
        <v>176</v>
      </c>
      <c r="H113" s="37">
        <v>1</v>
      </c>
      <c r="I113" s="37">
        <f t="shared" si="22"/>
        <v>1.3193171432041879</v>
      </c>
      <c r="J113" s="37" t="str">
        <f t="shared" si="21"/>
        <v>0.0924-0.475</v>
      </c>
      <c r="K113" s="37">
        <f>'Cost calculation'!M57</f>
        <v>9.235220002429316E-2</v>
      </c>
      <c r="L113" s="37">
        <f>'Cost calculation'!N57</f>
        <v>0.47495417155350761</v>
      </c>
      <c r="M113" s="20">
        <f t="shared" si="14"/>
        <v>0.28365318578890036</v>
      </c>
      <c r="N113" s="36" t="s">
        <v>290</v>
      </c>
    </row>
    <row r="114" spans="1:14" ht="14.25" customHeight="1" x14ac:dyDescent="0.25">
      <c r="A114" s="36" t="s">
        <v>291</v>
      </c>
      <c r="B114" s="36">
        <v>2018</v>
      </c>
      <c r="C114" s="36" t="s">
        <v>75</v>
      </c>
      <c r="D114" s="36" t="s">
        <v>75</v>
      </c>
      <c r="E114" s="36" t="s">
        <v>46</v>
      </c>
      <c r="F114" s="38">
        <v>5</v>
      </c>
      <c r="G114" s="38" t="s">
        <v>161</v>
      </c>
      <c r="H114" s="37">
        <v>1</v>
      </c>
      <c r="I114" s="37">
        <f t="shared" si="22"/>
        <v>1.3193171432041879</v>
      </c>
      <c r="J114" s="37">
        <f>K114</f>
        <v>4.0989283310596987</v>
      </c>
      <c r="K114" s="37">
        <f>F114/1.609344/H114*I114</f>
        <v>4.0989283310596987</v>
      </c>
      <c r="L114" s="37">
        <f>F114/1.609344/H114*I114</f>
        <v>4.0989283310596987</v>
      </c>
      <c r="M114" s="20">
        <f t="shared" si="14"/>
        <v>4.0989283310596987</v>
      </c>
      <c r="N114" s="36"/>
    </row>
    <row r="115" spans="1:14" ht="14.25" customHeight="1" x14ac:dyDescent="0.25">
      <c r="A115" s="36" t="s">
        <v>291</v>
      </c>
      <c r="B115" s="36">
        <v>2018</v>
      </c>
      <c r="C115" s="36" t="s">
        <v>75</v>
      </c>
      <c r="D115" s="36" t="s">
        <v>75</v>
      </c>
      <c r="E115" s="36" t="s">
        <v>48</v>
      </c>
      <c r="F115" s="38">
        <v>5</v>
      </c>
      <c r="G115" s="38" t="s">
        <v>161</v>
      </c>
      <c r="H115" s="37">
        <v>1</v>
      </c>
      <c r="I115" s="37">
        <f t="shared" si="22"/>
        <v>1.3193171432041879</v>
      </c>
      <c r="J115" s="37">
        <f>K115</f>
        <v>4.0989283310596987</v>
      </c>
      <c r="K115" s="37">
        <f>F115/1.609344/H115*I115</f>
        <v>4.0989283310596987</v>
      </c>
      <c r="L115" s="37">
        <f>F115/1.609344/H115*I115</f>
        <v>4.0989283310596987</v>
      </c>
      <c r="M115" s="20">
        <f t="shared" si="14"/>
        <v>4.0989283310596987</v>
      </c>
      <c r="N115" s="36"/>
    </row>
    <row r="116" spans="1:14" ht="14.25" customHeight="1" x14ac:dyDescent="0.25">
      <c r="A116" s="36" t="s">
        <v>292</v>
      </c>
      <c r="B116" s="36">
        <v>2018</v>
      </c>
      <c r="C116" s="36" t="s">
        <v>75</v>
      </c>
      <c r="D116" s="36" t="s">
        <v>75</v>
      </c>
      <c r="E116" s="36" t="s">
        <v>46</v>
      </c>
      <c r="F116" s="38">
        <v>5</v>
      </c>
      <c r="G116" s="38" t="s">
        <v>161</v>
      </c>
      <c r="H116" s="37">
        <v>1</v>
      </c>
      <c r="I116" s="37">
        <f t="shared" si="22"/>
        <v>1.3193171432041879</v>
      </c>
      <c r="J116" s="37">
        <f>K116</f>
        <v>4.0989283310596987</v>
      </c>
      <c r="K116" s="37">
        <f>F116/1.609344/H116*I116</f>
        <v>4.0989283310596987</v>
      </c>
      <c r="L116" s="37">
        <f>F116/1.609344/H116*I116</f>
        <v>4.0989283310596987</v>
      </c>
      <c r="M116" s="20">
        <f t="shared" si="14"/>
        <v>4.0989283310596987</v>
      </c>
      <c r="N116" s="36"/>
    </row>
    <row r="117" spans="1:14" ht="14.25" customHeight="1" x14ac:dyDescent="0.25">
      <c r="A117" s="36" t="s">
        <v>292</v>
      </c>
      <c r="B117" s="36">
        <v>2018</v>
      </c>
      <c r="C117" s="36" t="s">
        <v>75</v>
      </c>
      <c r="D117" s="36" t="s">
        <v>75</v>
      </c>
      <c r="E117" s="36" t="s">
        <v>48</v>
      </c>
      <c r="F117" s="38">
        <v>5</v>
      </c>
      <c r="G117" s="38" t="s">
        <v>161</v>
      </c>
      <c r="H117" s="37">
        <v>1</v>
      </c>
      <c r="I117" s="37">
        <f t="shared" si="22"/>
        <v>1.3193171432041879</v>
      </c>
      <c r="J117" s="37">
        <f>K117</f>
        <v>4.0989283310596987</v>
      </c>
      <c r="K117" s="37">
        <f>F117/1.609344/H117*I117</f>
        <v>4.0989283310596987</v>
      </c>
      <c r="L117" s="37">
        <f>F117/1.609344/H117*I117</f>
        <v>4.0989283310596987</v>
      </c>
      <c r="M117" s="20">
        <f t="shared" si="14"/>
        <v>4.0989283310596987</v>
      </c>
      <c r="N117" s="36"/>
    </row>
    <row r="118" spans="1:14" ht="14.25" customHeight="1" x14ac:dyDescent="0.25">
      <c r="A118" s="36" t="s">
        <v>293</v>
      </c>
      <c r="B118" s="36">
        <v>2017</v>
      </c>
      <c r="C118" s="36" t="s">
        <v>142</v>
      </c>
      <c r="D118" s="36" t="s">
        <v>97</v>
      </c>
      <c r="E118" s="36" t="s">
        <v>47</v>
      </c>
      <c r="F118" s="38" t="s">
        <v>294</v>
      </c>
      <c r="G118" s="38" t="s">
        <v>174</v>
      </c>
      <c r="H118" s="37">
        <v>0.93600000000000005</v>
      </c>
      <c r="I118" s="37">
        <f>331.279875/245.121</f>
        <v>1.3514952819219894</v>
      </c>
      <c r="J118" s="37" t="str">
        <f>TEXT(K118,IF(ABS(K118)&gt;=1,"0.##",IF(ABS(K118)&gt;=0.01,"0.####","0.######")))&amp;"-"&amp;TEXT(L118,IF(ABS(L118)&gt;=1,"0.##",IF(ABS(L118)&gt;=0.01,"0.####","0.######")))</f>
        <v>0.2888-0.5776</v>
      </c>
      <c r="K118" s="37">
        <f>VALUE(LEFT(F118,FIND("-",F118)-1))/H118*I118</f>
        <v>0.28878104314572423</v>
      </c>
      <c r="L118" s="37">
        <f>VALUE(MID(F118,FIND("-",F118)+1,99))/H118*I118</f>
        <v>0.57756208629144845</v>
      </c>
      <c r="M118" s="20">
        <f t="shared" si="14"/>
        <v>0.43317156471858631</v>
      </c>
      <c r="N118" s="36"/>
    </row>
    <row r="119" spans="1:14" ht="14.25" customHeight="1" x14ac:dyDescent="0.25">
      <c r="A119" s="36" t="s">
        <v>295</v>
      </c>
      <c r="B119" s="36">
        <v>2017</v>
      </c>
      <c r="C119" s="36" t="s">
        <v>75</v>
      </c>
      <c r="D119" s="36" t="s">
        <v>75</v>
      </c>
      <c r="E119" s="36" t="s">
        <v>47</v>
      </c>
      <c r="F119" s="38" t="s">
        <v>296</v>
      </c>
      <c r="G119" s="38" t="s">
        <v>259</v>
      </c>
      <c r="H119" s="37">
        <v>1</v>
      </c>
      <c r="I119" s="37">
        <f>331.279875/245.121</f>
        <v>1.3514952819219894</v>
      </c>
      <c r="J119" s="37">
        <f>K119</f>
        <v>1.6996910092223829</v>
      </c>
      <c r="K119" s="37">
        <f>'Cost calculation'!AB41</f>
        <v>1.6996910092223829</v>
      </c>
      <c r="L119" s="37">
        <f>'Cost calculation'!AC41</f>
        <v>1.6996910092223829</v>
      </c>
      <c r="M119" s="20">
        <f t="shared" si="14"/>
        <v>1.6996910092223829</v>
      </c>
      <c r="N119" s="36" t="s">
        <v>297</v>
      </c>
    </row>
    <row r="120" spans="1:14" ht="14.25" customHeight="1" x14ac:dyDescent="0.25">
      <c r="A120" s="36" t="s">
        <v>298</v>
      </c>
      <c r="B120" s="36">
        <v>2017</v>
      </c>
      <c r="C120" s="36" t="s">
        <v>75</v>
      </c>
      <c r="D120" s="36" t="s">
        <v>75</v>
      </c>
      <c r="E120" s="36" t="s">
        <v>47</v>
      </c>
      <c r="F120" s="38" t="s">
        <v>296</v>
      </c>
      <c r="G120" s="38" t="s">
        <v>259</v>
      </c>
      <c r="H120" s="37">
        <v>1</v>
      </c>
      <c r="I120" s="37">
        <f>331.279875/245.121</f>
        <v>1.3514952819219894</v>
      </c>
      <c r="J120" s="37">
        <f>K120</f>
        <v>1.6996910092223829</v>
      </c>
      <c r="K120" s="37">
        <f>'Cost calculation'!AB42</f>
        <v>1.6996910092223829</v>
      </c>
      <c r="L120" s="37">
        <f>'Cost calculation'!AC42</f>
        <v>1.6996910092223829</v>
      </c>
      <c r="M120" s="20">
        <f t="shared" si="14"/>
        <v>1.6996910092223829</v>
      </c>
      <c r="N120" s="36" t="s">
        <v>297</v>
      </c>
    </row>
    <row r="121" spans="1:14" ht="14.25" customHeight="1" x14ac:dyDescent="0.25">
      <c r="A121" s="5"/>
      <c r="B121" s="5"/>
      <c r="C121" s="5"/>
      <c r="D121" s="5"/>
      <c r="E121" s="5"/>
      <c r="F121" s="5"/>
      <c r="G121" s="5"/>
      <c r="H121" s="5"/>
      <c r="I121" s="5"/>
      <c r="J121" s="5"/>
      <c r="K121" s="5"/>
      <c r="L121" s="5"/>
      <c r="M121" s="20"/>
      <c r="N121" s="5"/>
    </row>
    <row r="122" spans="1:14" ht="14.25" customHeight="1" x14ac:dyDescent="0.25">
      <c r="A122" s="5"/>
      <c r="B122" s="5"/>
      <c r="C122" s="5"/>
      <c r="D122" s="5"/>
      <c r="E122" s="5"/>
      <c r="F122" s="5"/>
      <c r="G122" s="5"/>
      <c r="H122" s="5"/>
      <c r="I122" s="5"/>
      <c r="J122" s="5"/>
      <c r="K122" s="5"/>
      <c r="L122" s="5"/>
      <c r="M122" s="20"/>
      <c r="N122" s="5"/>
    </row>
    <row r="123" spans="1:14" ht="14.25" customHeight="1" x14ac:dyDescent="0.25">
      <c r="A123" s="5"/>
      <c r="B123" s="5"/>
      <c r="C123" s="5"/>
      <c r="D123" s="5"/>
      <c r="E123" s="5"/>
      <c r="F123" s="5"/>
      <c r="G123" s="5"/>
      <c r="H123" s="5"/>
      <c r="I123" s="5"/>
      <c r="J123" s="5"/>
      <c r="K123" s="5"/>
      <c r="L123" s="5"/>
      <c r="M123" s="20"/>
      <c r="N123" s="5"/>
    </row>
    <row r="124" spans="1:14" ht="14.25" customHeight="1" x14ac:dyDescent="0.25">
      <c r="A124" s="5"/>
      <c r="B124" s="5"/>
      <c r="C124" s="5"/>
      <c r="D124" s="5"/>
      <c r="E124" s="5"/>
      <c r="F124" s="5"/>
      <c r="G124" s="5"/>
      <c r="H124" s="5"/>
      <c r="I124" s="5"/>
      <c r="J124" s="5"/>
      <c r="K124" s="5"/>
      <c r="L124" s="5"/>
      <c r="M124" s="20"/>
      <c r="N124" s="5"/>
    </row>
    <row r="125" spans="1:14" ht="14.25" customHeight="1" x14ac:dyDescent="0.25">
      <c r="A125" s="5"/>
      <c r="B125" s="5"/>
      <c r="C125" s="5"/>
      <c r="D125" s="5"/>
      <c r="E125" s="5"/>
      <c r="F125" s="5"/>
      <c r="G125" s="5"/>
      <c r="H125" s="5"/>
      <c r="I125" s="5"/>
      <c r="J125" s="5"/>
      <c r="K125" s="5"/>
      <c r="L125" s="5"/>
      <c r="M125" s="20"/>
      <c r="N125" s="5"/>
    </row>
    <row r="126" spans="1:14" ht="14.25" customHeight="1" x14ac:dyDescent="0.25">
      <c r="A126" s="5"/>
      <c r="B126" s="5"/>
      <c r="C126" s="5"/>
      <c r="D126" s="5"/>
      <c r="E126" s="5"/>
      <c r="F126" s="5"/>
      <c r="G126" s="5"/>
      <c r="H126" s="5"/>
      <c r="I126" s="5"/>
      <c r="J126" s="5"/>
      <c r="K126" s="5"/>
      <c r="L126" s="5"/>
      <c r="M126" s="20"/>
      <c r="N126" s="5"/>
    </row>
    <row r="127" spans="1:14" ht="14.25" customHeight="1" x14ac:dyDescent="0.25">
      <c r="A127" s="5"/>
      <c r="B127" s="5"/>
      <c r="C127" s="5"/>
      <c r="D127" s="5"/>
      <c r="E127" s="5"/>
      <c r="F127" s="5"/>
      <c r="G127" s="5"/>
      <c r="H127" s="5"/>
      <c r="I127" s="5"/>
      <c r="J127" s="5"/>
      <c r="K127" s="5"/>
      <c r="L127" s="5"/>
      <c r="M127" s="20"/>
      <c r="N127" s="5"/>
    </row>
    <row r="128" spans="1:14" ht="14.25" customHeight="1" x14ac:dyDescent="0.25">
      <c r="A128" s="5"/>
      <c r="B128" s="5"/>
      <c r="C128" s="5"/>
      <c r="D128" s="5"/>
      <c r="E128" s="5"/>
      <c r="F128" s="5"/>
      <c r="G128" s="5"/>
      <c r="H128" s="5"/>
      <c r="I128" s="5"/>
      <c r="J128" s="5"/>
      <c r="K128" s="5"/>
      <c r="L128" s="5"/>
      <c r="M128" s="20"/>
      <c r="N128" s="5"/>
    </row>
    <row r="129" spans="1:14" ht="14.25" customHeight="1" x14ac:dyDescent="0.25">
      <c r="A129" s="5"/>
      <c r="B129" s="5"/>
      <c r="C129" s="5"/>
      <c r="D129" s="5"/>
      <c r="E129" s="5"/>
      <c r="F129" s="5"/>
      <c r="G129" s="5"/>
      <c r="H129" s="5"/>
      <c r="I129" s="5"/>
      <c r="J129" s="5"/>
      <c r="K129" s="5"/>
      <c r="L129" s="5"/>
      <c r="M129" s="20"/>
      <c r="N129" s="5"/>
    </row>
    <row r="130" spans="1:14" ht="14.25" customHeight="1" x14ac:dyDescent="0.25">
      <c r="A130" s="5"/>
      <c r="B130" s="5"/>
      <c r="C130" s="5"/>
      <c r="D130" s="5"/>
      <c r="E130" s="5"/>
      <c r="F130" s="5"/>
      <c r="G130" s="5"/>
      <c r="H130" s="5"/>
      <c r="I130" s="5"/>
      <c r="J130" s="5"/>
      <c r="K130" s="5"/>
      <c r="L130" s="5"/>
      <c r="M130" s="20"/>
      <c r="N130" s="5"/>
    </row>
    <row r="131" spans="1:14" ht="14.25" customHeight="1" x14ac:dyDescent="0.25">
      <c r="A131" s="5"/>
      <c r="B131" s="5"/>
      <c r="C131" s="5"/>
      <c r="D131" s="5"/>
      <c r="E131" s="5"/>
      <c r="F131" s="5"/>
      <c r="G131" s="5"/>
      <c r="H131" s="5"/>
      <c r="I131" s="5"/>
      <c r="J131" s="5"/>
      <c r="K131" s="5"/>
      <c r="L131" s="5"/>
      <c r="M131" s="20"/>
      <c r="N131" s="5"/>
    </row>
    <row r="132" spans="1:14" ht="14.25" customHeight="1" x14ac:dyDescent="0.25">
      <c r="A132" s="5"/>
      <c r="B132" s="5"/>
      <c r="C132" s="5"/>
      <c r="D132" s="5"/>
      <c r="E132" s="5"/>
      <c r="F132" s="5"/>
      <c r="G132" s="5"/>
      <c r="H132" s="5"/>
      <c r="I132" s="5"/>
      <c r="J132" s="5"/>
      <c r="K132" s="5"/>
      <c r="L132" s="5"/>
      <c r="M132" s="20"/>
      <c r="N132" s="5"/>
    </row>
    <row r="133" spans="1:14" ht="14.25" customHeight="1" x14ac:dyDescent="0.25">
      <c r="A133" s="5"/>
      <c r="B133" s="5"/>
      <c r="C133" s="5"/>
      <c r="D133" s="5"/>
      <c r="E133" s="5"/>
      <c r="F133" s="5"/>
      <c r="G133" s="5"/>
      <c r="H133" s="5"/>
      <c r="I133" s="5"/>
      <c r="J133" s="5"/>
      <c r="K133" s="5"/>
      <c r="L133" s="5"/>
      <c r="M133" s="20"/>
      <c r="N133" s="5"/>
    </row>
    <row r="134" spans="1:14" ht="14.25" customHeight="1" x14ac:dyDescent="0.25">
      <c r="A134" s="5"/>
      <c r="B134" s="5"/>
      <c r="C134" s="5"/>
      <c r="D134" s="5"/>
      <c r="E134" s="5"/>
      <c r="F134" s="5"/>
      <c r="G134" s="5"/>
      <c r="H134" s="5"/>
      <c r="I134" s="5"/>
      <c r="J134" s="5"/>
      <c r="K134" s="5"/>
      <c r="L134" s="5"/>
      <c r="M134" s="20"/>
      <c r="N134" s="5"/>
    </row>
    <row r="135" spans="1:14" ht="14.25" customHeight="1" x14ac:dyDescent="0.25">
      <c r="A135" s="5"/>
      <c r="B135" s="5"/>
      <c r="C135" s="5"/>
      <c r="D135" s="5"/>
      <c r="E135" s="5"/>
      <c r="F135" s="5"/>
      <c r="G135" s="5"/>
      <c r="H135" s="5"/>
      <c r="I135" s="5"/>
      <c r="J135" s="5"/>
      <c r="K135" s="5"/>
      <c r="L135" s="5"/>
      <c r="M135" s="20"/>
      <c r="N135" s="5"/>
    </row>
    <row r="136" spans="1:14" ht="14.25" customHeight="1" x14ac:dyDescent="0.25">
      <c r="A136" s="5"/>
      <c r="B136" s="5"/>
      <c r="C136" s="5"/>
      <c r="D136" s="5"/>
      <c r="E136" s="5"/>
      <c r="F136" s="5"/>
      <c r="G136" s="5"/>
      <c r="H136" s="5"/>
      <c r="I136" s="5"/>
      <c r="J136" s="5"/>
      <c r="K136" s="5"/>
      <c r="L136" s="5"/>
      <c r="M136" s="20"/>
      <c r="N136" s="5"/>
    </row>
    <row r="137" spans="1:14" ht="14.25" customHeight="1" x14ac:dyDescent="0.25">
      <c r="A137" s="5"/>
      <c r="B137" s="5"/>
      <c r="C137" s="5"/>
      <c r="D137" s="5"/>
      <c r="E137" s="5"/>
      <c r="F137" s="5"/>
      <c r="G137" s="5"/>
      <c r="H137" s="5"/>
      <c r="I137" s="5"/>
      <c r="J137" s="5"/>
      <c r="K137" s="5"/>
      <c r="L137" s="5"/>
      <c r="M137" s="20"/>
      <c r="N137" s="5"/>
    </row>
    <row r="138" spans="1:14" ht="14.25" customHeight="1" x14ac:dyDescent="0.25">
      <c r="A138" s="5"/>
      <c r="B138" s="5"/>
      <c r="C138" s="5"/>
      <c r="D138" s="5"/>
      <c r="E138" s="5"/>
      <c r="F138" s="5"/>
      <c r="G138" s="5"/>
      <c r="H138" s="5"/>
      <c r="I138" s="5"/>
      <c r="J138" s="5"/>
      <c r="K138" s="5"/>
      <c r="L138" s="5"/>
      <c r="M138" s="20"/>
      <c r="N138" s="5"/>
    </row>
    <row r="139" spans="1:14" ht="14.25" customHeight="1" x14ac:dyDescent="0.25">
      <c r="A139" s="5"/>
      <c r="B139" s="5"/>
      <c r="C139" s="5"/>
      <c r="D139" s="5"/>
      <c r="E139" s="5"/>
      <c r="F139" s="5"/>
      <c r="G139" s="5"/>
      <c r="H139" s="5"/>
      <c r="I139" s="5"/>
      <c r="J139" s="5"/>
      <c r="K139" s="5"/>
      <c r="L139" s="5"/>
      <c r="M139" s="20"/>
      <c r="N139" s="5"/>
    </row>
    <row r="140" spans="1:14" ht="14.25" customHeight="1" x14ac:dyDescent="0.25">
      <c r="A140" s="5"/>
      <c r="B140" s="5"/>
      <c r="C140" s="5"/>
      <c r="D140" s="5"/>
      <c r="E140" s="5"/>
      <c r="F140" s="5"/>
      <c r="G140" s="5"/>
      <c r="H140" s="5"/>
      <c r="I140" s="5"/>
      <c r="J140" s="5"/>
      <c r="K140" s="5"/>
      <c r="L140" s="5"/>
      <c r="M140" s="20"/>
      <c r="N140" s="5"/>
    </row>
    <row r="141" spans="1:14" ht="14.25" customHeight="1" x14ac:dyDescent="0.25">
      <c r="A141" s="5"/>
      <c r="B141" s="5"/>
      <c r="C141" s="5"/>
      <c r="D141" s="5"/>
      <c r="E141" s="5"/>
      <c r="F141" s="5"/>
      <c r="G141" s="5"/>
      <c r="H141" s="5"/>
      <c r="I141" s="5"/>
      <c r="J141" s="5"/>
      <c r="K141" s="5"/>
      <c r="L141" s="5"/>
      <c r="M141" s="20"/>
      <c r="N141" s="5"/>
    </row>
    <row r="142" spans="1:14" ht="14.25" customHeight="1" x14ac:dyDescent="0.25">
      <c r="A142" s="5"/>
      <c r="B142" s="5"/>
      <c r="C142" s="5"/>
      <c r="D142" s="5"/>
      <c r="E142" s="5"/>
      <c r="F142" s="5"/>
      <c r="G142" s="5"/>
      <c r="H142" s="5"/>
      <c r="I142" s="5"/>
      <c r="J142" s="5"/>
      <c r="K142" s="5"/>
      <c r="L142" s="5"/>
      <c r="M142" s="20"/>
      <c r="N142" s="5"/>
    </row>
    <row r="143" spans="1:14" ht="14.25" customHeight="1" x14ac:dyDescent="0.25">
      <c r="A143" s="5"/>
      <c r="B143" s="5"/>
      <c r="C143" s="5"/>
      <c r="D143" s="5"/>
      <c r="E143" s="5"/>
      <c r="F143" s="5"/>
      <c r="G143" s="5"/>
      <c r="H143" s="5"/>
      <c r="I143" s="5"/>
      <c r="J143" s="5"/>
      <c r="K143" s="5"/>
      <c r="L143" s="5"/>
      <c r="M143" s="20"/>
      <c r="N143" s="5"/>
    </row>
    <row r="144" spans="1:14" ht="14.25" customHeight="1" x14ac:dyDescent="0.25">
      <c r="A144" s="5"/>
      <c r="B144" s="5"/>
      <c r="C144" s="5"/>
      <c r="D144" s="5"/>
      <c r="E144" s="5"/>
      <c r="F144" s="5"/>
      <c r="G144" s="5"/>
      <c r="H144" s="5"/>
      <c r="I144" s="5"/>
      <c r="J144" s="5"/>
      <c r="K144" s="5"/>
      <c r="L144" s="5"/>
      <c r="M144" s="20"/>
      <c r="N144" s="5"/>
    </row>
    <row r="145" spans="1:14" ht="14.25" customHeight="1" x14ac:dyDescent="0.25">
      <c r="A145" s="5"/>
      <c r="B145" s="5"/>
      <c r="C145" s="5"/>
      <c r="D145" s="5"/>
      <c r="E145" s="5"/>
      <c r="F145" s="5"/>
      <c r="G145" s="5"/>
      <c r="H145" s="5"/>
      <c r="I145" s="5"/>
      <c r="J145" s="5"/>
      <c r="K145" s="5"/>
      <c r="L145" s="5"/>
      <c r="M145" s="20"/>
      <c r="N145" s="5"/>
    </row>
    <row r="146" spans="1:14" ht="14.25" customHeight="1" x14ac:dyDescent="0.25">
      <c r="A146" s="5"/>
      <c r="B146" s="5"/>
      <c r="C146" s="5"/>
      <c r="D146" s="5"/>
      <c r="E146" s="5"/>
      <c r="F146" s="5"/>
      <c r="G146" s="5"/>
      <c r="H146" s="5"/>
      <c r="I146" s="5"/>
      <c r="J146" s="5"/>
      <c r="K146" s="5"/>
      <c r="L146" s="5"/>
      <c r="M146" s="20"/>
      <c r="N146" s="5"/>
    </row>
    <row r="147" spans="1:14" ht="14.25" customHeight="1" x14ac:dyDescent="0.25">
      <c r="A147" s="5"/>
      <c r="B147" s="5"/>
      <c r="C147" s="5"/>
      <c r="D147" s="5"/>
      <c r="E147" s="5"/>
      <c r="F147" s="5"/>
      <c r="G147" s="5"/>
      <c r="H147" s="5"/>
      <c r="I147" s="5"/>
      <c r="J147" s="5"/>
      <c r="K147" s="5"/>
      <c r="L147" s="5"/>
      <c r="M147" s="20"/>
      <c r="N147" s="5"/>
    </row>
    <row r="148" spans="1:14" ht="14.25" customHeight="1" x14ac:dyDescent="0.25">
      <c r="A148" s="5"/>
      <c r="B148" s="5"/>
      <c r="C148" s="5"/>
      <c r="D148" s="5"/>
      <c r="E148" s="5"/>
      <c r="F148" s="5"/>
      <c r="G148" s="5"/>
      <c r="H148" s="5"/>
      <c r="I148" s="5"/>
      <c r="J148" s="5"/>
      <c r="K148" s="5"/>
      <c r="L148" s="5"/>
      <c r="M148" s="20"/>
      <c r="N148" s="5"/>
    </row>
    <row r="149" spans="1:14" ht="14.25" customHeight="1" x14ac:dyDescent="0.25">
      <c r="A149" s="5"/>
      <c r="B149" s="5"/>
      <c r="C149" s="5"/>
      <c r="D149" s="5"/>
      <c r="E149" s="5"/>
      <c r="F149" s="5"/>
      <c r="G149" s="5"/>
      <c r="H149" s="5"/>
      <c r="I149" s="5"/>
      <c r="J149" s="5"/>
      <c r="K149" s="5"/>
      <c r="L149" s="5"/>
      <c r="M149" s="20"/>
      <c r="N149" s="5"/>
    </row>
    <row r="150" spans="1:14" ht="14.25" customHeight="1" x14ac:dyDescent="0.25">
      <c r="A150" s="5"/>
      <c r="B150" s="5"/>
      <c r="C150" s="5"/>
      <c r="D150" s="5"/>
      <c r="E150" s="5"/>
      <c r="F150" s="5"/>
      <c r="G150" s="5"/>
      <c r="H150" s="5"/>
      <c r="I150" s="5"/>
      <c r="J150" s="5"/>
      <c r="K150" s="5"/>
      <c r="L150" s="5"/>
      <c r="M150" s="20"/>
      <c r="N150" s="5"/>
    </row>
    <row r="151" spans="1:14" ht="14.25" customHeight="1" x14ac:dyDescent="0.25">
      <c r="A151" s="5"/>
      <c r="B151" s="5"/>
      <c r="C151" s="5"/>
      <c r="D151" s="5"/>
      <c r="E151" s="5"/>
      <c r="F151" s="5"/>
      <c r="G151" s="5"/>
      <c r="H151" s="5"/>
      <c r="I151" s="5"/>
      <c r="J151" s="5"/>
      <c r="K151" s="5"/>
      <c r="L151" s="5"/>
      <c r="M151" s="20"/>
      <c r="N151" s="5"/>
    </row>
    <row r="152" spans="1:14" ht="14.25" customHeight="1" x14ac:dyDescent="0.25">
      <c r="A152" s="5"/>
      <c r="B152" s="5"/>
      <c r="C152" s="5"/>
      <c r="D152" s="5"/>
      <c r="E152" s="5"/>
      <c r="F152" s="5"/>
      <c r="G152" s="5"/>
      <c r="H152" s="5"/>
      <c r="I152" s="5"/>
      <c r="J152" s="5"/>
      <c r="K152" s="5"/>
      <c r="L152" s="5"/>
      <c r="M152" s="20"/>
      <c r="N152" s="5"/>
    </row>
    <row r="153" spans="1:14" ht="14.25" customHeight="1" x14ac:dyDescent="0.25">
      <c r="A153" s="5"/>
      <c r="B153" s="5"/>
      <c r="C153" s="5"/>
      <c r="D153" s="5"/>
      <c r="E153" s="5"/>
      <c r="F153" s="5"/>
      <c r="G153" s="5"/>
      <c r="H153" s="5"/>
      <c r="I153" s="5"/>
      <c r="J153" s="5"/>
      <c r="K153" s="5"/>
      <c r="L153" s="5"/>
      <c r="M153" s="20"/>
      <c r="N153" s="5"/>
    </row>
    <row r="154" spans="1:14" ht="14.25" customHeight="1" x14ac:dyDescent="0.25">
      <c r="A154" s="5"/>
      <c r="B154" s="5"/>
      <c r="C154" s="5"/>
      <c r="D154" s="5"/>
      <c r="E154" s="5"/>
      <c r="F154" s="5"/>
      <c r="G154" s="5"/>
      <c r="H154" s="5"/>
      <c r="I154" s="5"/>
      <c r="J154" s="5"/>
      <c r="K154" s="5"/>
      <c r="L154" s="5"/>
      <c r="M154" s="20"/>
      <c r="N154" s="5"/>
    </row>
    <row r="155" spans="1:14" ht="14.25" customHeight="1" x14ac:dyDescent="0.25">
      <c r="A155" s="5"/>
      <c r="B155" s="5"/>
      <c r="C155" s="5"/>
      <c r="D155" s="5"/>
      <c r="E155" s="5"/>
      <c r="F155" s="5"/>
      <c r="G155" s="5"/>
      <c r="H155" s="5"/>
      <c r="I155" s="5"/>
      <c r="J155" s="5"/>
      <c r="K155" s="5"/>
      <c r="L155" s="5"/>
      <c r="M155" s="20"/>
      <c r="N155" s="5"/>
    </row>
    <row r="156" spans="1:14" ht="14.25" customHeight="1" x14ac:dyDescent="0.25">
      <c r="A156" s="5"/>
      <c r="B156" s="5"/>
      <c r="C156" s="5"/>
      <c r="D156" s="5"/>
      <c r="E156" s="5"/>
      <c r="F156" s="5"/>
      <c r="G156" s="5"/>
      <c r="H156" s="5"/>
      <c r="I156" s="5"/>
      <c r="J156" s="5"/>
      <c r="K156" s="5"/>
      <c r="L156" s="5"/>
      <c r="M156" s="20"/>
      <c r="N156" s="5"/>
    </row>
    <row r="157" spans="1:14" ht="14.25" customHeight="1" x14ac:dyDescent="0.25">
      <c r="A157" s="5"/>
      <c r="B157" s="5"/>
      <c r="C157" s="5"/>
      <c r="D157" s="5"/>
      <c r="E157" s="5"/>
      <c r="F157" s="5"/>
      <c r="G157" s="5"/>
      <c r="H157" s="5"/>
      <c r="I157" s="5"/>
      <c r="J157" s="5"/>
      <c r="K157" s="5"/>
      <c r="L157" s="5"/>
      <c r="M157" s="20"/>
      <c r="N157" s="5"/>
    </row>
    <row r="158" spans="1:14" ht="14.25" customHeight="1" x14ac:dyDescent="0.25">
      <c r="A158" s="5"/>
      <c r="B158" s="5"/>
      <c r="C158" s="5"/>
      <c r="D158" s="5"/>
      <c r="E158" s="5"/>
      <c r="F158" s="5"/>
      <c r="G158" s="5"/>
      <c r="H158" s="5"/>
      <c r="I158" s="5"/>
      <c r="J158" s="5"/>
      <c r="K158" s="5"/>
      <c r="L158" s="5"/>
      <c r="M158" s="20"/>
      <c r="N158" s="5"/>
    </row>
    <row r="159" spans="1:14" ht="14.25" customHeight="1" x14ac:dyDescent="0.25">
      <c r="A159" s="5"/>
      <c r="B159" s="5"/>
      <c r="C159" s="5"/>
      <c r="D159" s="5"/>
      <c r="E159" s="5"/>
      <c r="F159" s="5"/>
      <c r="G159" s="5"/>
      <c r="H159" s="5"/>
      <c r="I159" s="5"/>
      <c r="J159" s="5"/>
      <c r="K159" s="5"/>
      <c r="L159" s="5"/>
      <c r="M159" s="20"/>
      <c r="N159" s="5"/>
    </row>
    <row r="160" spans="1:14" ht="14.25" customHeight="1" x14ac:dyDescent="0.25">
      <c r="A160" s="5"/>
      <c r="B160" s="5"/>
      <c r="C160" s="5"/>
      <c r="D160" s="5"/>
      <c r="E160" s="5"/>
      <c r="F160" s="5"/>
      <c r="G160" s="5"/>
      <c r="H160" s="5"/>
      <c r="I160" s="5"/>
      <c r="J160" s="5"/>
      <c r="K160" s="5"/>
      <c r="L160" s="5"/>
      <c r="M160" s="20"/>
      <c r="N160" s="5"/>
    </row>
    <row r="161" spans="1:14" ht="14.25" customHeight="1" x14ac:dyDescent="0.25">
      <c r="A161" s="5"/>
      <c r="B161" s="5"/>
      <c r="C161" s="5"/>
      <c r="D161" s="5"/>
      <c r="E161" s="5"/>
      <c r="F161" s="5"/>
      <c r="G161" s="5"/>
      <c r="H161" s="5"/>
      <c r="I161" s="5"/>
      <c r="J161" s="5"/>
      <c r="K161" s="5"/>
      <c r="L161" s="5"/>
      <c r="M161" s="20"/>
      <c r="N161" s="5"/>
    </row>
    <row r="162" spans="1:14" ht="14.25" customHeight="1" x14ac:dyDescent="0.25">
      <c r="A162" s="5"/>
      <c r="B162" s="5"/>
      <c r="C162" s="5"/>
      <c r="D162" s="5"/>
      <c r="E162" s="5"/>
      <c r="F162" s="5"/>
      <c r="G162" s="5"/>
      <c r="H162" s="5"/>
      <c r="I162" s="5"/>
      <c r="J162" s="5"/>
      <c r="K162" s="5"/>
      <c r="L162" s="5"/>
      <c r="M162" s="20"/>
      <c r="N162" s="5"/>
    </row>
    <row r="163" spans="1:14" ht="14.25" customHeight="1" x14ac:dyDescent="0.25">
      <c r="A163" s="5"/>
      <c r="B163" s="5"/>
      <c r="C163" s="5"/>
      <c r="D163" s="5"/>
      <c r="E163" s="5"/>
      <c r="F163" s="5"/>
      <c r="G163" s="5"/>
      <c r="H163" s="5"/>
      <c r="I163" s="5"/>
      <c r="J163" s="5"/>
      <c r="K163" s="5"/>
      <c r="L163" s="5"/>
      <c r="M163" s="20"/>
      <c r="N163" s="5"/>
    </row>
    <row r="164" spans="1:14" ht="14.25" customHeight="1" x14ac:dyDescent="0.25">
      <c r="A164" s="5"/>
      <c r="B164" s="5"/>
      <c r="C164" s="5"/>
      <c r="D164" s="5"/>
      <c r="E164" s="5"/>
      <c r="F164" s="5"/>
      <c r="G164" s="5"/>
      <c r="H164" s="5"/>
      <c r="I164" s="5"/>
      <c r="J164" s="5"/>
      <c r="K164" s="5"/>
      <c r="L164" s="5"/>
      <c r="M164" s="20"/>
      <c r="N164" s="5"/>
    </row>
    <row r="165" spans="1:14" ht="14.25" customHeight="1" x14ac:dyDescent="0.25">
      <c r="A165" s="5"/>
      <c r="B165" s="5"/>
      <c r="C165" s="5"/>
      <c r="D165" s="5"/>
      <c r="E165" s="5"/>
      <c r="F165" s="5"/>
      <c r="G165" s="5"/>
      <c r="H165" s="5"/>
      <c r="I165" s="5"/>
      <c r="J165" s="5"/>
      <c r="K165" s="5"/>
      <c r="L165" s="5"/>
      <c r="M165" s="20"/>
      <c r="N165" s="5"/>
    </row>
    <row r="166" spans="1:14" ht="14.25" customHeight="1" x14ac:dyDescent="0.25">
      <c r="A166" s="5"/>
      <c r="B166" s="5"/>
      <c r="C166" s="5"/>
      <c r="D166" s="5"/>
      <c r="E166" s="5"/>
      <c r="F166" s="5"/>
      <c r="G166" s="5"/>
      <c r="H166" s="5"/>
      <c r="I166" s="5"/>
      <c r="J166" s="5"/>
      <c r="K166" s="5"/>
      <c r="L166" s="5"/>
      <c r="M166" s="20"/>
      <c r="N166" s="5"/>
    </row>
    <row r="167" spans="1:14" ht="14.25" customHeight="1" x14ac:dyDescent="0.25">
      <c r="A167" s="5"/>
      <c r="B167" s="5"/>
      <c r="C167" s="5"/>
      <c r="D167" s="5"/>
      <c r="E167" s="5"/>
      <c r="F167" s="5"/>
      <c r="G167" s="5"/>
      <c r="H167" s="5"/>
      <c r="I167" s="5"/>
      <c r="J167" s="5"/>
      <c r="K167" s="5"/>
      <c r="L167" s="5"/>
      <c r="M167" s="20"/>
      <c r="N167" s="5"/>
    </row>
    <row r="168" spans="1:14" ht="14.25" customHeight="1" x14ac:dyDescent="0.25">
      <c r="A168" s="5"/>
      <c r="B168" s="5"/>
      <c r="C168" s="5"/>
      <c r="D168" s="5"/>
      <c r="E168" s="5"/>
      <c r="F168" s="5"/>
      <c r="G168" s="5"/>
      <c r="H168" s="5"/>
      <c r="I168" s="5"/>
      <c r="J168" s="5"/>
      <c r="K168" s="5"/>
      <c r="L168" s="5"/>
      <c r="M168" s="20"/>
      <c r="N168" s="5"/>
    </row>
    <row r="169" spans="1:14" ht="14.25" customHeight="1" x14ac:dyDescent="0.25">
      <c r="A169" s="5"/>
      <c r="B169" s="5"/>
      <c r="C169" s="5"/>
      <c r="D169" s="5"/>
      <c r="E169" s="5"/>
      <c r="F169" s="5"/>
      <c r="G169" s="5"/>
      <c r="H169" s="5"/>
      <c r="I169" s="5"/>
      <c r="J169" s="5"/>
      <c r="K169" s="5"/>
      <c r="L169" s="5"/>
      <c r="M169" s="20"/>
      <c r="N169" s="5"/>
    </row>
    <row r="170" spans="1:14" ht="14.25" customHeight="1" x14ac:dyDescent="0.25">
      <c r="A170" s="5"/>
      <c r="B170" s="5"/>
      <c r="C170" s="5"/>
      <c r="D170" s="5"/>
      <c r="E170" s="5"/>
      <c r="F170" s="5"/>
      <c r="G170" s="5"/>
      <c r="H170" s="5"/>
      <c r="I170" s="5"/>
      <c r="J170" s="5"/>
      <c r="K170" s="5"/>
      <c r="L170" s="5"/>
      <c r="M170" s="20"/>
      <c r="N170" s="5"/>
    </row>
    <row r="171" spans="1:14" ht="14.25" customHeight="1" x14ac:dyDescent="0.25">
      <c r="A171" s="5"/>
      <c r="B171" s="5"/>
      <c r="C171" s="5"/>
      <c r="D171" s="5"/>
      <c r="E171" s="5"/>
      <c r="F171" s="5"/>
      <c r="G171" s="5"/>
      <c r="H171" s="5"/>
      <c r="I171" s="5"/>
      <c r="J171" s="5"/>
      <c r="K171" s="5"/>
      <c r="L171" s="5"/>
      <c r="M171" s="20"/>
      <c r="N171" s="5"/>
    </row>
    <row r="172" spans="1:14" ht="14.25" customHeight="1" x14ac:dyDescent="0.25">
      <c r="A172" s="5"/>
      <c r="B172" s="5"/>
      <c r="C172" s="5"/>
      <c r="D172" s="5"/>
      <c r="E172" s="5"/>
      <c r="F172" s="5"/>
      <c r="G172" s="5"/>
      <c r="H172" s="5"/>
      <c r="I172" s="5"/>
      <c r="J172" s="5"/>
      <c r="K172" s="5"/>
      <c r="L172" s="5"/>
      <c r="M172" s="20"/>
      <c r="N172" s="5"/>
    </row>
    <row r="173" spans="1:14" ht="14.25" customHeight="1" x14ac:dyDescent="0.25">
      <c r="A173" s="5"/>
      <c r="B173" s="5"/>
      <c r="C173" s="5"/>
      <c r="D173" s="5"/>
      <c r="E173" s="5"/>
      <c r="F173" s="5"/>
      <c r="G173" s="5"/>
      <c r="H173" s="5"/>
      <c r="I173" s="5"/>
      <c r="J173" s="5"/>
      <c r="K173" s="5"/>
      <c r="L173" s="5"/>
      <c r="M173" s="20"/>
      <c r="N173" s="5"/>
    </row>
    <row r="174" spans="1:14" ht="14.25" customHeight="1" x14ac:dyDescent="0.25">
      <c r="A174" s="5"/>
      <c r="B174" s="5"/>
      <c r="C174" s="5"/>
      <c r="D174" s="5"/>
      <c r="E174" s="5"/>
      <c r="F174" s="5"/>
      <c r="G174" s="5"/>
      <c r="H174" s="5"/>
      <c r="I174" s="5"/>
      <c r="J174" s="5"/>
      <c r="K174" s="5"/>
      <c r="L174" s="5"/>
      <c r="M174" s="20"/>
      <c r="N174" s="5"/>
    </row>
    <row r="175" spans="1:14" ht="14.25" customHeight="1" x14ac:dyDescent="0.25">
      <c r="A175" s="5"/>
      <c r="B175" s="5"/>
      <c r="C175" s="5"/>
      <c r="D175" s="5"/>
      <c r="E175" s="5"/>
      <c r="F175" s="5"/>
      <c r="G175" s="5"/>
      <c r="H175" s="5"/>
      <c r="I175" s="5"/>
      <c r="J175" s="5"/>
      <c r="K175" s="5"/>
      <c r="L175" s="5"/>
      <c r="M175" s="20"/>
      <c r="N175" s="5"/>
    </row>
    <row r="176" spans="1:14" ht="14.25" customHeight="1" x14ac:dyDescent="0.25">
      <c r="A176" s="5"/>
      <c r="B176" s="5"/>
      <c r="C176" s="5"/>
      <c r="D176" s="5"/>
      <c r="E176" s="5"/>
      <c r="F176" s="5"/>
      <c r="G176" s="5"/>
      <c r="H176" s="5"/>
      <c r="I176" s="5"/>
      <c r="J176" s="5"/>
      <c r="K176" s="5"/>
      <c r="L176" s="5"/>
      <c r="M176" s="20"/>
      <c r="N176" s="5"/>
    </row>
    <row r="177" spans="1:14" ht="14.25" customHeight="1" x14ac:dyDescent="0.25">
      <c r="A177" s="5"/>
      <c r="B177" s="5"/>
      <c r="C177" s="5"/>
      <c r="D177" s="5"/>
      <c r="E177" s="5"/>
      <c r="F177" s="5"/>
      <c r="G177" s="5"/>
      <c r="H177" s="5"/>
      <c r="I177" s="5"/>
      <c r="J177" s="5"/>
      <c r="K177" s="5"/>
      <c r="L177" s="5"/>
      <c r="M177" s="20"/>
      <c r="N177" s="5"/>
    </row>
    <row r="178" spans="1:14" ht="14.25" customHeight="1" x14ac:dyDescent="0.25">
      <c r="A178" s="5"/>
      <c r="B178" s="5"/>
      <c r="C178" s="5"/>
      <c r="D178" s="5"/>
      <c r="E178" s="5"/>
      <c r="F178" s="5"/>
      <c r="G178" s="5"/>
      <c r="H178" s="5"/>
      <c r="I178" s="5"/>
      <c r="J178" s="5"/>
      <c r="K178" s="5"/>
      <c r="L178" s="5"/>
      <c r="M178" s="20"/>
      <c r="N178" s="5"/>
    </row>
    <row r="179" spans="1:14" ht="14.25" customHeight="1" x14ac:dyDescent="0.25">
      <c r="A179" s="5"/>
      <c r="B179" s="5"/>
      <c r="C179" s="5"/>
      <c r="D179" s="5"/>
      <c r="E179" s="5"/>
      <c r="F179" s="5"/>
      <c r="G179" s="5"/>
      <c r="H179" s="5"/>
      <c r="I179" s="5"/>
      <c r="J179" s="5"/>
      <c r="K179" s="5"/>
      <c r="L179" s="5"/>
      <c r="M179" s="20"/>
      <c r="N179" s="5"/>
    </row>
    <row r="180" spans="1:14" ht="14.25" customHeight="1" x14ac:dyDescent="0.25">
      <c r="A180" s="5"/>
      <c r="B180" s="5"/>
      <c r="C180" s="5"/>
      <c r="D180" s="5"/>
      <c r="E180" s="5"/>
      <c r="F180" s="5"/>
      <c r="G180" s="5"/>
      <c r="H180" s="5"/>
      <c r="I180" s="5"/>
      <c r="J180" s="5"/>
      <c r="K180" s="5"/>
      <c r="L180" s="5"/>
      <c r="M180" s="20"/>
      <c r="N180" s="5"/>
    </row>
    <row r="181" spans="1:14" ht="14.25" customHeight="1" x14ac:dyDescent="0.25">
      <c r="A181" s="5"/>
      <c r="B181" s="5"/>
      <c r="C181" s="5"/>
      <c r="D181" s="5"/>
      <c r="E181" s="5"/>
      <c r="F181" s="5"/>
      <c r="G181" s="5"/>
      <c r="H181" s="5"/>
      <c r="I181" s="5"/>
      <c r="J181" s="5"/>
      <c r="K181" s="5"/>
      <c r="L181" s="5"/>
      <c r="M181" s="20"/>
      <c r="N181" s="5"/>
    </row>
    <row r="182" spans="1:14" ht="14.25" customHeight="1" x14ac:dyDescent="0.25">
      <c r="A182" s="5"/>
      <c r="B182" s="5"/>
      <c r="C182" s="5"/>
      <c r="D182" s="5"/>
      <c r="E182" s="5"/>
      <c r="F182" s="5"/>
      <c r="G182" s="5"/>
      <c r="H182" s="5"/>
      <c r="I182" s="5"/>
      <c r="J182" s="5"/>
      <c r="K182" s="5"/>
      <c r="L182" s="5"/>
      <c r="M182" s="20"/>
      <c r="N182" s="5"/>
    </row>
    <row r="183" spans="1:14" ht="14.25" customHeight="1" x14ac:dyDescent="0.25">
      <c r="A183" s="5"/>
      <c r="B183" s="5"/>
      <c r="C183" s="5"/>
      <c r="D183" s="5"/>
      <c r="E183" s="5"/>
      <c r="F183" s="5"/>
      <c r="G183" s="5"/>
      <c r="H183" s="5"/>
      <c r="I183" s="5"/>
      <c r="J183" s="5"/>
      <c r="K183" s="5"/>
      <c r="L183" s="5"/>
      <c r="M183" s="20"/>
      <c r="N183" s="5"/>
    </row>
    <row r="184" spans="1:14" ht="14.25" customHeight="1" x14ac:dyDescent="0.25">
      <c r="A184" s="5"/>
      <c r="B184" s="5"/>
      <c r="C184" s="5"/>
      <c r="D184" s="5"/>
      <c r="E184" s="5"/>
      <c r="F184" s="5"/>
      <c r="G184" s="5"/>
      <c r="H184" s="5"/>
      <c r="I184" s="5"/>
      <c r="J184" s="5"/>
      <c r="K184" s="5"/>
      <c r="L184" s="5"/>
      <c r="M184" s="20"/>
      <c r="N184" s="5"/>
    </row>
    <row r="185" spans="1:14" ht="14.25" customHeight="1" x14ac:dyDescent="0.25">
      <c r="A185" s="5"/>
      <c r="B185" s="5"/>
      <c r="C185" s="5"/>
      <c r="D185" s="5"/>
      <c r="E185" s="5"/>
      <c r="F185" s="5"/>
      <c r="G185" s="5"/>
      <c r="H185" s="5"/>
      <c r="I185" s="5"/>
      <c r="J185" s="5"/>
      <c r="K185" s="5"/>
      <c r="L185" s="5"/>
      <c r="M185" s="20"/>
      <c r="N185" s="5"/>
    </row>
    <row r="186" spans="1:14" ht="14.25" customHeight="1" x14ac:dyDescent="0.25">
      <c r="A186" s="5"/>
      <c r="B186" s="5"/>
      <c r="C186" s="5"/>
      <c r="D186" s="5"/>
      <c r="E186" s="5"/>
      <c r="F186" s="5"/>
      <c r="G186" s="5"/>
      <c r="H186" s="5"/>
      <c r="I186" s="5"/>
      <c r="J186" s="5"/>
      <c r="K186" s="5"/>
      <c r="L186" s="5"/>
      <c r="M186" s="20"/>
      <c r="N186" s="5"/>
    </row>
    <row r="187" spans="1:14" ht="14.25" customHeight="1" x14ac:dyDescent="0.25">
      <c r="A187" s="5"/>
      <c r="B187" s="5"/>
      <c r="C187" s="5"/>
      <c r="D187" s="5"/>
      <c r="E187" s="5"/>
      <c r="F187" s="5"/>
      <c r="G187" s="5"/>
      <c r="H187" s="5"/>
      <c r="I187" s="5"/>
      <c r="J187" s="5"/>
      <c r="K187" s="5"/>
      <c r="L187" s="5"/>
      <c r="M187" s="20"/>
      <c r="N187" s="5"/>
    </row>
    <row r="188" spans="1:14" ht="14.25" customHeight="1" x14ac:dyDescent="0.25">
      <c r="A188" s="5"/>
      <c r="B188" s="5"/>
      <c r="C188" s="5"/>
      <c r="D188" s="5"/>
      <c r="E188" s="5"/>
      <c r="F188" s="5"/>
      <c r="G188" s="5"/>
      <c r="H188" s="5"/>
      <c r="I188" s="5"/>
      <c r="J188" s="5"/>
      <c r="K188" s="5"/>
      <c r="L188" s="5"/>
      <c r="M188" s="20"/>
      <c r="N188" s="5"/>
    </row>
    <row r="189" spans="1:14" ht="14.25" customHeight="1" x14ac:dyDescent="0.25">
      <c r="A189" s="5"/>
      <c r="B189" s="5"/>
      <c r="C189" s="5"/>
      <c r="D189" s="5"/>
      <c r="E189" s="5"/>
      <c r="F189" s="5"/>
      <c r="G189" s="5"/>
      <c r="H189" s="5"/>
      <c r="I189" s="5"/>
      <c r="J189" s="5"/>
      <c r="K189" s="5"/>
      <c r="L189" s="5"/>
      <c r="M189" s="20"/>
      <c r="N189" s="5"/>
    </row>
    <row r="190" spans="1:14" ht="14.25" customHeight="1" x14ac:dyDescent="0.25">
      <c r="A190" s="5"/>
      <c r="B190" s="5"/>
      <c r="C190" s="5"/>
      <c r="D190" s="5"/>
      <c r="E190" s="5"/>
      <c r="F190" s="5"/>
      <c r="G190" s="5"/>
      <c r="H190" s="5"/>
      <c r="I190" s="5"/>
      <c r="J190" s="5"/>
      <c r="K190" s="5"/>
      <c r="L190" s="5"/>
      <c r="M190" s="20"/>
      <c r="N190" s="5"/>
    </row>
    <row r="191" spans="1:14" ht="14.25" customHeight="1" x14ac:dyDescent="0.25">
      <c r="A191" s="5"/>
      <c r="B191" s="5"/>
      <c r="C191" s="5"/>
      <c r="D191" s="5"/>
      <c r="E191" s="5"/>
      <c r="F191" s="5"/>
      <c r="G191" s="5"/>
      <c r="H191" s="5"/>
      <c r="I191" s="5"/>
      <c r="J191" s="5"/>
      <c r="K191" s="5"/>
      <c r="L191" s="5"/>
      <c r="M191" s="20"/>
      <c r="N191" s="5"/>
    </row>
    <row r="192" spans="1:14" ht="14.25" customHeight="1" x14ac:dyDescent="0.25">
      <c r="A192" s="5"/>
      <c r="B192" s="5"/>
      <c r="C192" s="5"/>
      <c r="D192" s="5"/>
      <c r="E192" s="5"/>
      <c r="F192" s="5"/>
      <c r="G192" s="5"/>
      <c r="H192" s="5"/>
      <c r="I192" s="5"/>
      <c r="J192" s="5"/>
      <c r="K192" s="5"/>
      <c r="L192" s="5"/>
      <c r="M192" s="20"/>
      <c r="N192" s="5"/>
    </row>
    <row r="193" spans="1:14" ht="14.25" customHeight="1" x14ac:dyDescent="0.25">
      <c r="A193" s="5"/>
      <c r="B193" s="5"/>
      <c r="C193" s="5"/>
      <c r="D193" s="5"/>
      <c r="E193" s="5"/>
      <c r="F193" s="5"/>
      <c r="G193" s="5"/>
      <c r="H193" s="5"/>
      <c r="I193" s="5"/>
      <c r="J193" s="5"/>
      <c r="K193" s="5"/>
      <c r="L193" s="5"/>
      <c r="M193" s="20"/>
      <c r="N193" s="5"/>
    </row>
    <row r="194" spans="1:14" ht="14.25" customHeight="1" x14ac:dyDescent="0.25">
      <c r="A194" s="5"/>
      <c r="B194" s="5"/>
      <c r="C194" s="5"/>
      <c r="D194" s="5"/>
      <c r="E194" s="5"/>
      <c r="F194" s="5"/>
      <c r="G194" s="5"/>
      <c r="H194" s="5"/>
      <c r="I194" s="5"/>
      <c r="J194" s="5"/>
      <c r="K194" s="5"/>
      <c r="L194" s="5"/>
      <c r="M194" s="20"/>
      <c r="N194" s="5"/>
    </row>
    <row r="195" spans="1:14" ht="14.25" customHeight="1" x14ac:dyDescent="0.25">
      <c r="A195" s="5"/>
      <c r="B195" s="5"/>
      <c r="C195" s="5"/>
      <c r="D195" s="5"/>
      <c r="E195" s="5"/>
      <c r="F195" s="5"/>
      <c r="G195" s="5"/>
      <c r="H195" s="5"/>
      <c r="I195" s="5"/>
      <c r="J195" s="5"/>
      <c r="K195" s="5"/>
      <c r="L195" s="5"/>
      <c r="M195" s="20"/>
      <c r="N195" s="5"/>
    </row>
    <row r="196" spans="1:14" ht="14.25" customHeight="1" x14ac:dyDescent="0.25">
      <c r="A196" s="5"/>
      <c r="B196" s="5"/>
      <c r="C196" s="5"/>
      <c r="D196" s="5"/>
      <c r="E196" s="5"/>
      <c r="F196" s="5"/>
      <c r="G196" s="5"/>
      <c r="H196" s="5"/>
      <c r="I196" s="5"/>
      <c r="J196" s="5"/>
      <c r="K196" s="5"/>
      <c r="L196" s="5"/>
      <c r="M196" s="20"/>
      <c r="N196" s="5"/>
    </row>
    <row r="197" spans="1:14" ht="14.25" customHeight="1" x14ac:dyDescent="0.25">
      <c r="A197" s="5"/>
      <c r="B197" s="5"/>
      <c r="C197" s="5"/>
      <c r="D197" s="5"/>
      <c r="E197" s="5"/>
      <c r="F197" s="5"/>
      <c r="G197" s="5"/>
      <c r="H197" s="5"/>
      <c r="I197" s="5"/>
      <c r="J197" s="5"/>
      <c r="K197" s="5"/>
      <c r="L197" s="5"/>
      <c r="M197" s="20"/>
      <c r="N197" s="5"/>
    </row>
    <row r="198" spans="1:14" ht="14.25" customHeight="1" x14ac:dyDescent="0.25">
      <c r="A198" s="5"/>
      <c r="B198" s="5"/>
      <c r="C198" s="5"/>
      <c r="D198" s="5"/>
      <c r="E198" s="5"/>
      <c r="F198" s="5"/>
      <c r="G198" s="5"/>
      <c r="H198" s="5"/>
      <c r="I198" s="5"/>
      <c r="J198" s="5"/>
      <c r="K198" s="5"/>
      <c r="L198" s="5"/>
      <c r="M198" s="20"/>
      <c r="N198" s="5"/>
    </row>
    <row r="199" spans="1:14" ht="14.25" customHeight="1" x14ac:dyDescent="0.25">
      <c r="A199" s="5"/>
      <c r="B199" s="5"/>
      <c r="C199" s="5"/>
      <c r="D199" s="5"/>
      <c r="E199" s="5"/>
      <c r="F199" s="5"/>
      <c r="G199" s="5"/>
      <c r="H199" s="5"/>
      <c r="I199" s="5"/>
      <c r="J199" s="5"/>
      <c r="K199" s="5"/>
      <c r="L199" s="5"/>
      <c r="M199" s="20"/>
      <c r="N199" s="5"/>
    </row>
    <row r="200" spans="1:14" ht="14.25" customHeight="1" x14ac:dyDescent="0.25">
      <c r="A200" s="5"/>
      <c r="B200" s="5"/>
      <c r="C200" s="5"/>
      <c r="D200" s="5"/>
      <c r="E200" s="5"/>
      <c r="F200" s="5"/>
      <c r="G200" s="5"/>
      <c r="H200" s="5"/>
      <c r="I200" s="5"/>
      <c r="J200" s="5"/>
      <c r="K200" s="5"/>
      <c r="L200" s="5"/>
      <c r="M200" s="20"/>
      <c r="N200" s="5"/>
    </row>
    <row r="201" spans="1:14" ht="14.25" customHeight="1" x14ac:dyDescent="0.25">
      <c r="A201" s="5"/>
      <c r="B201" s="5"/>
      <c r="C201" s="5"/>
      <c r="D201" s="5"/>
      <c r="E201" s="5"/>
      <c r="F201" s="5"/>
      <c r="G201" s="5"/>
      <c r="H201" s="5"/>
      <c r="I201" s="5"/>
      <c r="J201" s="5"/>
      <c r="K201" s="5"/>
      <c r="L201" s="5"/>
      <c r="M201" s="20"/>
      <c r="N201" s="5"/>
    </row>
    <row r="202" spans="1:14" ht="14.25" customHeight="1" x14ac:dyDescent="0.25">
      <c r="A202" s="5"/>
      <c r="B202" s="5"/>
      <c r="C202" s="5"/>
      <c r="D202" s="5"/>
      <c r="E202" s="5"/>
      <c r="F202" s="5"/>
      <c r="G202" s="5"/>
      <c r="H202" s="5"/>
      <c r="I202" s="5"/>
      <c r="J202" s="5"/>
      <c r="K202" s="5"/>
      <c r="L202" s="5"/>
      <c r="M202" s="20"/>
      <c r="N202" s="5"/>
    </row>
    <row r="203" spans="1:14" ht="14.25" customHeight="1" x14ac:dyDescent="0.25">
      <c r="A203" s="5"/>
      <c r="B203" s="5"/>
      <c r="C203" s="5"/>
      <c r="D203" s="5"/>
      <c r="E203" s="5"/>
      <c r="F203" s="5"/>
      <c r="G203" s="5"/>
      <c r="H203" s="5"/>
      <c r="I203" s="5"/>
      <c r="J203" s="5"/>
      <c r="K203" s="5"/>
      <c r="L203" s="5"/>
      <c r="M203" s="20"/>
      <c r="N203" s="5"/>
    </row>
    <row r="204" spans="1:14" ht="14.25" customHeight="1" x14ac:dyDescent="0.25">
      <c r="A204" s="5"/>
      <c r="B204" s="5"/>
      <c r="C204" s="5"/>
      <c r="D204" s="5"/>
      <c r="E204" s="5"/>
      <c r="F204" s="5"/>
      <c r="G204" s="5"/>
      <c r="H204" s="5"/>
      <c r="I204" s="5"/>
      <c r="J204" s="5"/>
      <c r="K204" s="5"/>
      <c r="L204" s="5"/>
      <c r="M204" s="20"/>
      <c r="N204" s="5"/>
    </row>
    <row r="205" spans="1:14" ht="14.25" customHeight="1" x14ac:dyDescent="0.25">
      <c r="A205" s="5"/>
      <c r="B205" s="5"/>
      <c r="C205" s="5"/>
      <c r="D205" s="5"/>
      <c r="E205" s="5"/>
      <c r="F205" s="5"/>
      <c r="G205" s="5"/>
      <c r="H205" s="5"/>
      <c r="I205" s="5"/>
      <c r="J205" s="5"/>
      <c r="K205" s="5"/>
      <c r="L205" s="5"/>
      <c r="M205" s="20"/>
      <c r="N205" s="5"/>
    </row>
    <row r="206" spans="1:14" ht="14.25" customHeight="1" x14ac:dyDescent="0.25">
      <c r="A206" s="5"/>
      <c r="B206" s="5"/>
      <c r="C206" s="5"/>
      <c r="D206" s="5"/>
      <c r="E206" s="5"/>
      <c r="F206" s="5"/>
      <c r="G206" s="5"/>
      <c r="H206" s="5"/>
      <c r="I206" s="5"/>
      <c r="J206" s="5"/>
      <c r="K206" s="5"/>
      <c r="L206" s="5"/>
      <c r="M206" s="20"/>
      <c r="N206" s="5"/>
    </row>
    <row r="207" spans="1:14" ht="14.25" customHeight="1" x14ac:dyDescent="0.25">
      <c r="A207" s="5"/>
      <c r="B207" s="5"/>
      <c r="C207" s="5"/>
      <c r="D207" s="5"/>
      <c r="E207" s="5"/>
      <c r="F207" s="5"/>
      <c r="G207" s="5"/>
      <c r="H207" s="5"/>
      <c r="I207" s="5"/>
      <c r="J207" s="5"/>
      <c r="K207" s="5"/>
      <c r="L207" s="5"/>
      <c r="M207" s="20"/>
      <c r="N207" s="5"/>
    </row>
    <row r="208" spans="1:14" ht="14.25" customHeight="1" x14ac:dyDescent="0.25">
      <c r="A208" s="5"/>
      <c r="B208" s="5"/>
      <c r="C208" s="5"/>
      <c r="D208" s="5"/>
      <c r="E208" s="5"/>
      <c r="F208" s="5"/>
      <c r="G208" s="5"/>
      <c r="H208" s="5"/>
      <c r="I208" s="5"/>
      <c r="J208" s="5"/>
      <c r="K208" s="5"/>
      <c r="L208" s="5"/>
      <c r="M208" s="20"/>
      <c r="N208" s="5"/>
    </row>
    <row r="209" spans="1:14" ht="14.25" customHeight="1" x14ac:dyDescent="0.25">
      <c r="A209" s="5"/>
      <c r="B209" s="5"/>
      <c r="C209" s="5"/>
      <c r="D209" s="5"/>
      <c r="E209" s="5"/>
      <c r="F209" s="5"/>
      <c r="G209" s="5"/>
      <c r="H209" s="5"/>
      <c r="I209" s="5"/>
      <c r="J209" s="5"/>
      <c r="K209" s="5"/>
      <c r="L209" s="5"/>
      <c r="M209" s="20"/>
      <c r="N209" s="5"/>
    </row>
    <row r="210" spans="1:14" ht="14.25" customHeight="1" x14ac:dyDescent="0.25">
      <c r="A210" s="5"/>
      <c r="B210" s="5"/>
      <c r="C210" s="5"/>
      <c r="D210" s="5"/>
      <c r="E210" s="5"/>
      <c r="F210" s="5"/>
      <c r="G210" s="5"/>
      <c r="H210" s="5"/>
      <c r="I210" s="5"/>
      <c r="J210" s="5"/>
      <c r="K210" s="5"/>
      <c r="L210" s="5"/>
      <c r="M210" s="20"/>
      <c r="N210" s="5"/>
    </row>
    <row r="211" spans="1:14" ht="14.25" customHeight="1" x14ac:dyDescent="0.25">
      <c r="A211" s="5"/>
      <c r="B211" s="5"/>
      <c r="C211" s="5"/>
      <c r="D211" s="5"/>
      <c r="E211" s="5"/>
      <c r="F211" s="5"/>
      <c r="G211" s="5"/>
      <c r="H211" s="5"/>
      <c r="I211" s="5"/>
      <c r="J211" s="5"/>
      <c r="K211" s="5"/>
      <c r="L211" s="5"/>
      <c r="M211" s="20"/>
      <c r="N211" s="5"/>
    </row>
    <row r="212" spans="1:14" ht="14.25" customHeight="1" x14ac:dyDescent="0.25">
      <c r="A212" s="5"/>
      <c r="B212" s="5"/>
      <c r="C212" s="5"/>
      <c r="D212" s="5"/>
      <c r="E212" s="5"/>
      <c r="F212" s="5"/>
      <c r="G212" s="5"/>
      <c r="H212" s="5"/>
      <c r="I212" s="5"/>
      <c r="J212" s="5"/>
      <c r="K212" s="5"/>
      <c r="L212" s="5"/>
      <c r="M212" s="20"/>
      <c r="N212" s="5"/>
    </row>
    <row r="213" spans="1:14" ht="14.25" customHeight="1" x14ac:dyDescent="0.25">
      <c r="A213" s="5"/>
      <c r="B213" s="5"/>
      <c r="C213" s="5"/>
      <c r="D213" s="5"/>
      <c r="E213" s="5"/>
      <c r="F213" s="5"/>
      <c r="G213" s="5"/>
      <c r="H213" s="5"/>
      <c r="I213" s="5"/>
      <c r="J213" s="5"/>
      <c r="K213" s="5"/>
      <c r="L213" s="5"/>
      <c r="M213" s="20"/>
      <c r="N213" s="5"/>
    </row>
    <row r="214" spans="1:14" ht="14.25" customHeight="1" x14ac:dyDescent="0.25">
      <c r="A214" s="5"/>
      <c r="B214" s="5"/>
      <c r="C214" s="5"/>
      <c r="D214" s="5"/>
      <c r="E214" s="5"/>
      <c r="F214" s="5"/>
      <c r="G214" s="5"/>
      <c r="H214" s="5"/>
      <c r="I214" s="5"/>
      <c r="J214" s="5"/>
      <c r="K214" s="5"/>
      <c r="L214" s="5"/>
      <c r="M214" s="20"/>
      <c r="N214" s="5"/>
    </row>
    <row r="215" spans="1:14" ht="14.25" customHeight="1" x14ac:dyDescent="0.25">
      <c r="A215" s="5"/>
      <c r="B215" s="5"/>
      <c r="C215" s="5"/>
      <c r="D215" s="5"/>
      <c r="E215" s="5"/>
      <c r="F215" s="5"/>
      <c r="G215" s="5"/>
      <c r="H215" s="5"/>
      <c r="I215" s="5"/>
      <c r="J215" s="5"/>
      <c r="K215" s="5"/>
      <c r="L215" s="5"/>
      <c r="M215" s="20"/>
      <c r="N215" s="5"/>
    </row>
    <row r="216" spans="1:14" ht="14.25" customHeight="1" x14ac:dyDescent="0.25">
      <c r="A216" s="5"/>
      <c r="B216" s="5"/>
      <c r="C216" s="5"/>
      <c r="D216" s="5"/>
      <c r="E216" s="5"/>
      <c r="F216" s="5"/>
      <c r="G216" s="5"/>
      <c r="H216" s="5"/>
      <c r="I216" s="5"/>
      <c r="J216" s="5"/>
      <c r="K216" s="5"/>
      <c r="L216" s="5"/>
      <c r="M216" s="20"/>
      <c r="N216" s="5"/>
    </row>
    <row r="217" spans="1:14" ht="14.25" customHeight="1" x14ac:dyDescent="0.25">
      <c r="A217" s="5"/>
      <c r="B217" s="5"/>
      <c r="C217" s="5"/>
      <c r="D217" s="5"/>
      <c r="E217" s="5"/>
      <c r="F217" s="5"/>
      <c r="G217" s="5"/>
      <c r="H217" s="5"/>
      <c r="I217" s="5"/>
      <c r="J217" s="5"/>
      <c r="K217" s="5"/>
      <c r="L217" s="5"/>
      <c r="M217" s="20"/>
      <c r="N217" s="5"/>
    </row>
    <row r="218" spans="1:14" ht="14.25" customHeight="1" x14ac:dyDescent="0.25">
      <c r="A218" s="5"/>
      <c r="B218" s="5"/>
      <c r="C218" s="5"/>
      <c r="D218" s="5"/>
      <c r="E218" s="5"/>
      <c r="F218" s="5"/>
      <c r="G218" s="5"/>
      <c r="H218" s="5"/>
      <c r="I218" s="5"/>
      <c r="J218" s="5"/>
      <c r="K218" s="5"/>
      <c r="L218" s="5"/>
      <c r="M218" s="20"/>
      <c r="N218" s="5"/>
    </row>
    <row r="219" spans="1:14" ht="14.25" customHeight="1" x14ac:dyDescent="0.25">
      <c r="A219" s="5"/>
      <c r="B219" s="5"/>
      <c r="C219" s="5"/>
      <c r="D219" s="5"/>
      <c r="E219" s="5"/>
      <c r="F219" s="5"/>
      <c r="G219" s="5"/>
      <c r="H219" s="5"/>
      <c r="I219" s="5"/>
      <c r="J219" s="5"/>
      <c r="K219" s="5"/>
      <c r="L219" s="5"/>
      <c r="M219" s="20"/>
      <c r="N219" s="5"/>
    </row>
    <row r="220" spans="1:14" ht="14.25" customHeight="1" x14ac:dyDescent="0.25">
      <c r="A220" s="5"/>
      <c r="B220" s="5"/>
      <c r="C220" s="5"/>
      <c r="D220" s="5"/>
      <c r="E220" s="5"/>
      <c r="F220" s="5"/>
      <c r="G220" s="5"/>
      <c r="H220" s="5"/>
      <c r="I220" s="5"/>
      <c r="J220" s="5"/>
      <c r="K220" s="5"/>
      <c r="L220" s="5"/>
      <c r="M220" s="20"/>
      <c r="N220" s="5"/>
    </row>
    <row r="221" spans="1:14" ht="14.25" customHeight="1" x14ac:dyDescent="0.25">
      <c r="A221" s="5"/>
      <c r="B221" s="5"/>
      <c r="C221" s="5"/>
      <c r="D221" s="5"/>
      <c r="E221" s="5"/>
      <c r="F221" s="5"/>
      <c r="G221" s="5"/>
      <c r="H221" s="5"/>
      <c r="I221" s="5"/>
      <c r="J221" s="5"/>
      <c r="K221" s="5"/>
      <c r="L221" s="5"/>
      <c r="M221" s="20"/>
      <c r="N221" s="5"/>
    </row>
    <row r="222" spans="1:14" ht="14.25" customHeight="1" x14ac:dyDescent="0.25">
      <c r="A222" s="5"/>
      <c r="B222" s="5"/>
      <c r="C222" s="5"/>
      <c r="D222" s="5"/>
      <c r="E222" s="5"/>
      <c r="F222" s="5"/>
      <c r="G222" s="5"/>
      <c r="H222" s="5"/>
      <c r="I222" s="5"/>
      <c r="J222" s="5"/>
      <c r="K222" s="5"/>
      <c r="L222" s="5"/>
      <c r="M222" s="20"/>
      <c r="N222" s="5"/>
    </row>
    <row r="223" spans="1:14" ht="14.25" customHeight="1" x14ac:dyDescent="0.25">
      <c r="A223" s="5"/>
      <c r="B223" s="5"/>
      <c r="C223" s="5"/>
      <c r="D223" s="5"/>
      <c r="E223" s="5"/>
      <c r="F223" s="5"/>
      <c r="G223" s="5"/>
      <c r="H223" s="5"/>
      <c r="I223" s="5"/>
      <c r="J223" s="5"/>
      <c r="K223" s="5"/>
      <c r="L223" s="5"/>
      <c r="M223" s="20"/>
      <c r="N223" s="5"/>
    </row>
    <row r="224" spans="1:14" ht="14.25" customHeight="1" x14ac:dyDescent="0.25">
      <c r="A224" s="5"/>
      <c r="B224" s="5"/>
      <c r="C224" s="5"/>
      <c r="D224" s="5"/>
      <c r="E224" s="5"/>
      <c r="F224" s="5"/>
      <c r="G224" s="5"/>
      <c r="H224" s="5"/>
      <c r="I224" s="5"/>
      <c r="J224" s="5"/>
      <c r="K224" s="5"/>
      <c r="L224" s="5"/>
      <c r="M224" s="20"/>
      <c r="N224" s="5"/>
    </row>
    <row r="225" spans="1:14" ht="14.25" customHeight="1" x14ac:dyDescent="0.25">
      <c r="A225" s="5"/>
      <c r="B225" s="5"/>
      <c r="C225" s="5"/>
      <c r="D225" s="5"/>
      <c r="E225" s="5"/>
      <c r="F225" s="5"/>
      <c r="G225" s="5"/>
      <c r="H225" s="5"/>
      <c r="I225" s="5"/>
      <c r="J225" s="5"/>
      <c r="K225" s="5"/>
      <c r="L225" s="5"/>
      <c r="M225" s="20"/>
      <c r="N225" s="5"/>
    </row>
    <row r="226" spans="1:14" ht="14.25" customHeight="1" x14ac:dyDescent="0.25">
      <c r="A226" s="5"/>
      <c r="B226" s="5"/>
      <c r="C226" s="5"/>
      <c r="D226" s="5"/>
      <c r="E226" s="5"/>
      <c r="F226" s="5"/>
      <c r="G226" s="5"/>
      <c r="H226" s="5"/>
      <c r="I226" s="5"/>
      <c r="J226" s="5"/>
      <c r="K226" s="5"/>
      <c r="L226" s="5"/>
      <c r="M226" s="20"/>
      <c r="N226" s="5"/>
    </row>
    <row r="227" spans="1:14" ht="14.25" customHeight="1" x14ac:dyDescent="0.25">
      <c r="A227" s="5"/>
      <c r="B227" s="5"/>
      <c r="C227" s="5"/>
      <c r="D227" s="5"/>
      <c r="E227" s="5"/>
      <c r="F227" s="5"/>
      <c r="G227" s="5"/>
      <c r="H227" s="5"/>
      <c r="I227" s="5"/>
      <c r="J227" s="5"/>
      <c r="K227" s="5"/>
      <c r="L227" s="5"/>
      <c r="M227" s="20"/>
      <c r="N227" s="5"/>
    </row>
    <row r="228" spans="1:14" ht="14.25" customHeight="1" x14ac:dyDescent="0.25">
      <c r="A228" s="5"/>
      <c r="B228" s="5"/>
      <c r="C228" s="5"/>
      <c r="D228" s="5"/>
      <c r="E228" s="5"/>
      <c r="F228" s="5"/>
      <c r="G228" s="5"/>
      <c r="H228" s="5"/>
      <c r="I228" s="5"/>
      <c r="J228" s="5"/>
      <c r="K228" s="5"/>
      <c r="L228" s="5"/>
      <c r="M228" s="20"/>
      <c r="N228" s="5"/>
    </row>
    <row r="229" spans="1:14" ht="14.25" customHeight="1" x14ac:dyDescent="0.25">
      <c r="A229" s="5"/>
      <c r="B229" s="5"/>
      <c r="C229" s="5"/>
      <c r="D229" s="5"/>
      <c r="E229" s="5"/>
      <c r="F229" s="5"/>
      <c r="G229" s="5"/>
      <c r="H229" s="5"/>
      <c r="I229" s="5"/>
      <c r="J229" s="5"/>
      <c r="K229" s="5"/>
      <c r="L229" s="5"/>
      <c r="M229" s="20"/>
      <c r="N229" s="5"/>
    </row>
    <row r="230" spans="1:14" ht="14.25" customHeight="1" x14ac:dyDescent="0.25">
      <c r="A230" s="5"/>
      <c r="B230" s="5"/>
      <c r="C230" s="5"/>
      <c r="D230" s="5"/>
      <c r="E230" s="5"/>
      <c r="F230" s="5"/>
      <c r="G230" s="5"/>
      <c r="H230" s="5"/>
      <c r="I230" s="5"/>
      <c r="J230" s="5"/>
      <c r="K230" s="5"/>
      <c r="L230" s="5"/>
      <c r="M230" s="20"/>
      <c r="N230" s="5"/>
    </row>
    <row r="231" spans="1:14" ht="14.25" customHeight="1" x14ac:dyDescent="0.25">
      <c r="A231" s="5"/>
      <c r="B231" s="5"/>
      <c r="C231" s="5"/>
      <c r="D231" s="5"/>
      <c r="E231" s="5"/>
      <c r="F231" s="5"/>
      <c r="G231" s="5"/>
      <c r="H231" s="5"/>
      <c r="I231" s="5"/>
      <c r="J231" s="5"/>
      <c r="K231" s="5"/>
      <c r="L231" s="5"/>
      <c r="M231" s="20"/>
      <c r="N231" s="5"/>
    </row>
    <row r="232" spans="1:14" ht="14.25" customHeight="1" x14ac:dyDescent="0.25">
      <c r="A232" s="5"/>
      <c r="B232" s="5"/>
      <c r="C232" s="5"/>
      <c r="D232" s="5"/>
      <c r="E232" s="5"/>
      <c r="F232" s="5"/>
      <c r="G232" s="5"/>
      <c r="H232" s="5"/>
      <c r="I232" s="5"/>
      <c r="J232" s="5"/>
      <c r="K232" s="5"/>
      <c r="L232" s="5"/>
      <c r="M232" s="20"/>
      <c r="N232" s="5"/>
    </row>
    <row r="233" spans="1:14" ht="14.25" customHeight="1" x14ac:dyDescent="0.25">
      <c r="A233" s="5"/>
      <c r="B233" s="5"/>
      <c r="C233" s="5"/>
      <c r="D233" s="5"/>
      <c r="E233" s="5"/>
      <c r="F233" s="5"/>
      <c r="G233" s="5"/>
      <c r="H233" s="5"/>
      <c r="I233" s="5"/>
      <c r="J233" s="5"/>
      <c r="K233" s="5"/>
      <c r="L233" s="5"/>
      <c r="M233" s="20"/>
      <c r="N233" s="5"/>
    </row>
    <row r="234" spans="1:14" ht="14.25" customHeight="1" x14ac:dyDescent="0.25">
      <c r="A234" s="5"/>
      <c r="B234" s="5"/>
      <c r="C234" s="5"/>
      <c r="D234" s="5"/>
      <c r="E234" s="5"/>
      <c r="F234" s="5"/>
      <c r="G234" s="5"/>
      <c r="H234" s="5"/>
      <c r="I234" s="5"/>
      <c r="J234" s="5"/>
      <c r="K234" s="5"/>
      <c r="L234" s="5"/>
      <c r="M234" s="20"/>
      <c r="N234" s="5"/>
    </row>
    <row r="235" spans="1:14" ht="14.25" customHeight="1" x14ac:dyDescent="0.25">
      <c r="A235" s="5"/>
      <c r="B235" s="5"/>
      <c r="C235" s="5"/>
      <c r="D235" s="5"/>
      <c r="E235" s="5"/>
      <c r="F235" s="5"/>
      <c r="G235" s="5"/>
      <c r="H235" s="5"/>
      <c r="I235" s="5"/>
      <c r="J235" s="5"/>
      <c r="K235" s="5"/>
      <c r="L235" s="5"/>
      <c r="M235" s="20"/>
      <c r="N235" s="5"/>
    </row>
    <row r="236" spans="1:14" ht="14.25" customHeight="1" x14ac:dyDescent="0.25">
      <c r="A236" s="5"/>
      <c r="B236" s="5"/>
      <c r="C236" s="5"/>
      <c r="D236" s="5"/>
      <c r="E236" s="5"/>
      <c r="F236" s="5"/>
      <c r="G236" s="5"/>
      <c r="H236" s="5"/>
      <c r="I236" s="5"/>
      <c r="J236" s="5"/>
      <c r="K236" s="5"/>
      <c r="L236" s="5"/>
      <c r="M236" s="20"/>
      <c r="N236" s="5"/>
    </row>
    <row r="237" spans="1:14" ht="14.25" customHeight="1" x14ac:dyDescent="0.25">
      <c r="A237" s="5"/>
      <c r="B237" s="5"/>
      <c r="C237" s="5"/>
      <c r="D237" s="5"/>
      <c r="E237" s="5"/>
      <c r="F237" s="5"/>
      <c r="G237" s="5"/>
      <c r="H237" s="5"/>
      <c r="I237" s="5"/>
      <c r="J237" s="5"/>
      <c r="K237" s="5"/>
      <c r="L237" s="5"/>
      <c r="M237" s="20"/>
      <c r="N237" s="5"/>
    </row>
    <row r="238" spans="1:14" ht="14.25" customHeight="1" x14ac:dyDescent="0.25">
      <c r="A238" s="5"/>
      <c r="B238" s="5"/>
      <c r="C238" s="5"/>
      <c r="D238" s="5"/>
      <c r="E238" s="5"/>
      <c r="F238" s="5"/>
      <c r="G238" s="5"/>
      <c r="H238" s="5"/>
      <c r="I238" s="5"/>
      <c r="J238" s="5"/>
      <c r="K238" s="5"/>
      <c r="L238" s="5"/>
      <c r="M238" s="20"/>
      <c r="N238" s="5"/>
    </row>
    <row r="239" spans="1:14" ht="14.25" customHeight="1" x14ac:dyDescent="0.25">
      <c r="A239" s="5"/>
      <c r="B239" s="5"/>
      <c r="C239" s="5"/>
      <c r="D239" s="5"/>
      <c r="E239" s="5"/>
      <c r="F239" s="5"/>
      <c r="G239" s="5"/>
      <c r="H239" s="5"/>
      <c r="I239" s="5"/>
      <c r="J239" s="5"/>
      <c r="K239" s="5"/>
      <c r="L239" s="5"/>
      <c r="M239" s="20"/>
      <c r="N239" s="5"/>
    </row>
    <row r="240" spans="1:14" ht="14.25" customHeight="1" x14ac:dyDescent="0.25">
      <c r="A240" s="5"/>
      <c r="B240" s="5"/>
      <c r="C240" s="5"/>
      <c r="D240" s="5"/>
      <c r="E240" s="5"/>
      <c r="F240" s="5"/>
      <c r="G240" s="5"/>
      <c r="H240" s="5"/>
      <c r="I240" s="5"/>
      <c r="J240" s="5"/>
      <c r="K240" s="5"/>
      <c r="L240" s="5"/>
      <c r="M240" s="20"/>
      <c r="N240" s="5"/>
    </row>
    <row r="241" spans="1:14" ht="14.25" customHeight="1" x14ac:dyDescent="0.25">
      <c r="A241" s="5"/>
      <c r="B241" s="5"/>
      <c r="C241" s="5"/>
      <c r="D241" s="5"/>
      <c r="E241" s="5"/>
      <c r="F241" s="5"/>
      <c r="G241" s="5"/>
      <c r="H241" s="5"/>
      <c r="I241" s="5"/>
      <c r="J241" s="5"/>
      <c r="K241" s="5"/>
      <c r="L241" s="5"/>
      <c r="M241" s="20"/>
      <c r="N241" s="5"/>
    </row>
    <row r="242" spans="1:14" ht="14.25" customHeight="1" x14ac:dyDescent="0.25">
      <c r="A242" s="5"/>
      <c r="B242" s="5"/>
      <c r="C242" s="5"/>
      <c r="D242" s="5"/>
      <c r="E242" s="5"/>
      <c r="F242" s="5"/>
      <c r="G242" s="5"/>
      <c r="H242" s="5"/>
      <c r="I242" s="5"/>
      <c r="J242" s="5"/>
      <c r="K242" s="5"/>
      <c r="L242" s="5"/>
      <c r="M242" s="20"/>
      <c r="N242" s="5"/>
    </row>
    <row r="243" spans="1:14" ht="14.25" customHeight="1" x14ac:dyDescent="0.25">
      <c r="A243" s="5"/>
      <c r="B243" s="5"/>
      <c r="C243" s="5"/>
      <c r="D243" s="5"/>
      <c r="E243" s="5"/>
      <c r="F243" s="5"/>
      <c r="G243" s="5"/>
      <c r="H243" s="5"/>
      <c r="I243" s="5"/>
      <c r="J243" s="5"/>
      <c r="K243" s="5"/>
      <c r="L243" s="5"/>
      <c r="M243" s="20"/>
      <c r="N243" s="5"/>
    </row>
    <row r="244" spans="1:14" ht="14.25" customHeight="1" x14ac:dyDescent="0.25">
      <c r="A244" s="5"/>
      <c r="B244" s="5"/>
      <c r="C244" s="5"/>
      <c r="D244" s="5"/>
      <c r="E244" s="5"/>
      <c r="F244" s="5"/>
      <c r="G244" s="5"/>
      <c r="H244" s="5"/>
      <c r="I244" s="5"/>
      <c r="J244" s="5"/>
      <c r="K244" s="5"/>
      <c r="L244" s="5"/>
      <c r="M244" s="20"/>
      <c r="N244" s="5"/>
    </row>
    <row r="245" spans="1:14" ht="14.25" customHeight="1" x14ac:dyDescent="0.25">
      <c r="A245" s="5"/>
      <c r="B245" s="5"/>
      <c r="C245" s="5"/>
      <c r="D245" s="5"/>
      <c r="E245" s="5"/>
      <c r="F245" s="5"/>
      <c r="G245" s="5"/>
      <c r="H245" s="5"/>
      <c r="I245" s="5"/>
      <c r="J245" s="5"/>
      <c r="K245" s="5"/>
      <c r="L245" s="5"/>
      <c r="M245" s="20"/>
      <c r="N245" s="5"/>
    </row>
    <row r="246" spans="1:14" ht="14.25" customHeight="1" x14ac:dyDescent="0.25">
      <c r="A246" s="5"/>
      <c r="B246" s="5"/>
      <c r="C246" s="5"/>
      <c r="D246" s="5"/>
      <c r="E246" s="5"/>
      <c r="F246" s="5"/>
      <c r="G246" s="5"/>
      <c r="H246" s="5"/>
      <c r="I246" s="5"/>
      <c r="J246" s="5"/>
      <c r="K246" s="5"/>
      <c r="L246" s="5"/>
      <c r="M246" s="20"/>
      <c r="N246" s="5"/>
    </row>
    <row r="247" spans="1:14" ht="14.25" customHeight="1" x14ac:dyDescent="0.25">
      <c r="A247" s="5"/>
      <c r="B247" s="5"/>
      <c r="C247" s="5"/>
      <c r="D247" s="5"/>
      <c r="E247" s="5"/>
      <c r="F247" s="5"/>
      <c r="G247" s="5"/>
      <c r="H247" s="5"/>
      <c r="I247" s="5"/>
      <c r="J247" s="5"/>
      <c r="K247" s="5"/>
      <c r="L247" s="5"/>
      <c r="M247" s="20"/>
      <c r="N247" s="5"/>
    </row>
    <row r="248" spans="1:14" ht="14.25" customHeight="1" x14ac:dyDescent="0.25">
      <c r="A248" s="5"/>
      <c r="B248" s="5"/>
      <c r="C248" s="5"/>
      <c r="D248" s="5"/>
      <c r="E248" s="5"/>
      <c r="F248" s="5"/>
      <c r="G248" s="5"/>
      <c r="H248" s="5"/>
      <c r="I248" s="5"/>
      <c r="J248" s="5"/>
      <c r="K248" s="5"/>
      <c r="L248" s="5"/>
      <c r="M248" s="20"/>
      <c r="N248" s="5"/>
    </row>
    <row r="249" spans="1:14" ht="14.25" customHeight="1" x14ac:dyDescent="0.25">
      <c r="A249" s="5"/>
      <c r="B249" s="5"/>
      <c r="C249" s="5"/>
      <c r="D249" s="5"/>
      <c r="E249" s="5"/>
      <c r="F249" s="5"/>
      <c r="G249" s="5"/>
      <c r="H249" s="5"/>
      <c r="I249" s="5"/>
      <c r="J249" s="5"/>
      <c r="K249" s="5"/>
      <c r="L249" s="5"/>
      <c r="M249" s="20"/>
      <c r="N249" s="5"/>
    </row>
    <row r="250" spans="1:14" ht="14.25" customHeight="1" x14ac:dyDescent="0.25">
      <c r="A250" s="5"/>
      <c r="B250" s="5"/>
      <c r="C250" s="5"/>
      <c r="D250" s="5"/>
      <c r="E250" s="5"/>
      <c r="F250" s="5"/>
      <c r="G250" s="5"/>
      <c r="H250" s="5"/>
      <c r="I250" s="5"/>
      <c r="J250" s="5"/>
      <c r="K250" s="5"/>
      <c r="L250" s="5"/>
      <c r="M250" s="20"/>
      <c r="N250" s="5"/>
    </row>
    <row r="251" spans="1:14" ht="14.25" customHeight="1" x14ac:dyDescent="0.25">
      <c r="A251" s="5"/>
      <c r="B251" s="5"/>
      <c r="C251" s="5"/>
      <c r="D251" s="5"/>
      <c r="E251" s="5"/>
      <c r="F251" s="5"/>
      <c r="G251" s="5"/>
      <c r="H251" s="5"/>
      <c r="I251" s="5"/>
      <c r="J251" s="5"/>
      <c r="K251" s="5"/>
      <c r="L251" s="5"/>
      <c r="M251" s="20"/>
      <c r="N251" s="5"/>
    </row>
    <row r="252" spans="1:14" ht="14.25" customHeight="1" x14ac:dyDescent="0.25">
      <c r="A252" s="5"/>
      <c r="B252" s="5"/>
      <c r="C252" s="5"/>
      <c r="D252" s="5"/>
      <c r="E252" s="5"/>
      <c r="F252" s="5"/>
      <c r="G252" s="5"/>
      <c r="H252" s="5"/>
      <c r="I252" s="5"/>
      <c r="J252" s="5"/>
      <c r="K252" s="5"/>
      <c r="L252" s="5"/>
      <c r="M252" s="20"/>
      <c r="N252" s="5"/>
    </row>
    <row r="253" spans="1:14" ht="14.25" customHeight="1" x14ac:dyDescent="0.25">
      <c r="A253" s="5"/>
      <c r="B253" s="5"/>
      <c r="C253" s="5"/>
      <c r="D253" s="5"/>
      <c r="E253" s="5"/>
      <c r="F253" s="5"/>
      <c r="G253" s="5"/>
      <c r="H253" s="5"/>
      <c r="I253" s="5"/>
      <c r="J253" s="5"/>
      <c r="K253" s="5"/>
      <c r="L253" s="5"/>
      <c r="M253" s="20"/>
      <c r="N253" s="5"/>
    </row>
    <row r="254" spans="1:14" ht="14.25" customHeight="1" x14ac:dyDescent="0.25">
      <c r="A254" s="5"/>
      <c r="B254" s="5"/>
      <c r="C254" s="5"/>
      <c r="D254" s="5"/>
      <c r="E254" s="5"/>
      <c r="F254" s="5"/>
      <c r="G254" s="5"/>
      <c r="H254" s="5"/>
      <c r="I254" s="5"/>
      <c r="J254" s="5"/>
      <c r="K254" s="5"/>
      <c r="L254" s="5"/>
      <c r="M254" s="20"/>
      <c r="N254" s="5"/>
    </row>
    <row r="255" spans="1:14" ht="14.25" customHeight="1" x14ac:dyDescent="0.25">
      <c r="A255" s="5"/>
      <c r="B255" s="5"/>
      <c r="C255" s="5"/>
      <c r="D255" s="5"/>
      <c r="E255" s="5"/>
      <c r="F255" s="5"/>
      <c r="G255" s="5"/>
      <c r="H255" s="5"/>
      <c r="I255" s="5"/>
      <c r="J255" s="5"/>
      <c r="K255" s="5"/>
      <c r="L255" s="5"/>
      <c r="M255" s="20"/>
      <c r="N255" s="5"/>
    </row>
    <row r="256" spans="1:14" ht="14.25" customHeight="1" x14ac:dyDescent="0.25">
      <c r="A256" s="5"/>
      <c r="B256" s="5"/>
      <c r="C256" s="5"/>
      <c r="D256" s="5"/>
      <c r="E256" s="5"/>
      <c r="F256" s="5"/>
      <c r="G256" s="5"/>
      <c r="H256" s="5"/>
      <c r="I256" s="5"/>
      <c r="J256" s="5"/>
      <c r="K256" s="5"/>
      <c r="L256" s="5"/>
      <c r="M256" s="20"/>
      <c r="N256" s="5"/>
    </row>
    <row r="257" spans="1:14" ht="14.25" customHeight="1" x14ac:dyDescent="0.25">
      <c r="A257" s="5"/>
      <c r="B257" s="5"/>
      <c r="C257" s="5"/>
      <c r="D257" s="5"/>
      <c r="E257" s="5"/>
      <c r="F257" s="5"/>
      <c r="G257" s="5"/>
      <c r="H257" s="5"/>
      <c r="I257" s="5"/>
      <c r="J257" s="5"/>
      <c r="K257" s="5"/>
      <c r="L257" s="5"/>
      <c r="M257" s="20"/>
      <c r="N257" s="5"/>
    </row>
    <row r="258" spans="1:14" ht="14.25" customHeight="1" x14ac:dyDescent="0.25">
      <c r="A258" s="5"/>
      <c r="B258" s="5"/>
      <c r="C258" s="5"/>
      <c r="D258" s="5"/>
      <c r="E258" s="5"/>
      <c r="F258" s="5"/>
      <c r="G258" s="5"/>
      <c r="H258" s="5"/>
      <c r="I258" s="5"/>
      <c r="J258" s="5"/>
      <c r="K258" s="5"/>
      <c r="L258" s="5"/>
      <c r="M258" s="20"/>
      <c r="N258" s="5"/>
    </row>
    <row r="259" spans="1:14" ht="14.25" customHeight="1" x14ac:dyDescent="0.25">
      <c r="A259" s="5"/>
      <c r="B259" s="5"/>
      <c r="C259" s="5"/>
      <c r="D259" s="5"/>
      <c r="E259" s="5"/>
      <c r="F259" s="5"/>
      <c r="G259" s="5"/>
      <c r="H259" s="5"/>
      <c r="I259" s="5"/>
      <c r="J259" s="5"/>
      <c r="K259" s="5"/>
      <c r="L259" s="5"/>
      <c r="M259" s="20"/>
      <c r="N259" s="5"/>
    </row>
    <row r="260" spans="1:14" ht="14.25" customHeight="1" x14ac:dyDescent="0.25">
      <c r="A260" s="5"/>
      <c r="B260" s="5"/>
      <c r="C260" s="5"/>
      <c r="D260" s="5"/>
      <c r="E260" s="5"/>
      <c r="F260" s="5"/>
      <c r="G260" s="5"/>
      <c r="H260" s="5"/>
      <c r="I260" s="5"/>
      <c r="J260" s="5"/>
      <c r="K260" s="5"/>
      <c r="L260" s="5"/>
      <c r="M260" s="20"/>
      <c r="N260" s="5"/>
    </row>
    <row r="261" spans="1:14" ht="14.25" customHeight="1" x14ac:dyDescent="0.25">
      <c r="A261" s="5"/>
      <c r="B261" s="5"/>
      <c r="C261" s="5"/>
      <c r="D261" s="5"/>
      <c r="E261" s="5"/>
      <c r="F261" s="5"/>
      <c r="G261" s="5"/>
      <c r="H261" s="5"/>
      <c r="I261" s="5"/>
      <c r="J261" s="5"/>
      <c r="K261" s="5"/>
      <c r="L261" s="5"/>
      <c r="M261" s="20"/>
      <c r="N261" s="5"/>
    </row>
    <row r="262" spans="1:14" ht="14.25" customHeight="1" x14ac:dyDescent="0.25">
      <c r="A262" s="5"/>
      <c r="B262" s="5"/>
      <c r="C262" s="5"/>
      <c r="D262" s="5"/>
      <c r="E262" s="5"/>
      <c r="F262" s="5"/>
      <c r="G262" s="5"/>
      <c r="H262" s="5"/>
      <c r="I262" s="5"/>
      <c r="J262" s="5"/>
      <c r="K262" s="5"/>
      <c r="L262" s="5"/>
      <c r="M262" s="20"/>
      <c r="N262" s="5"/>
    </row>
    <row r="263" spans="1:14" ht="14.25" customHeight="1" x14ac:dyDescent="0.25">
      <c r="A263" s="5"/>
      <c r="B263" s="5"/>
      <c r="C263" s="5"/>
      <c r="D263" s="5"/>
      <c r="E263" s="5"/>
      <c r="F263" s="5"/>
      <c r="G263" s="5"/>
      <c r="H263" s="5"/>
      <c r="I263" s="5"/>
      <c r="J263" s="5"/>
      <c r="K263" s="5"/>
      <c r="L263" s="5"/>
      <c r="M263" s="20"/>
      <c r="N263" s="5"/>
    </row>
    <row r="264" spans="1:14" ht="14.25" customHeight="1" x14ac:dyDescent="0.25">
      <c r="A264" s="5"/>
      <c r="B264" s="5"/>
      <c r="C264" s="5"/>
      <c r="D264" s="5"/>
      <c r="E264" s="5"/>
      <c r="F264" s="5"/>
      <c r="G264" s="5"/>
      <c r="H264" s="5"/>
      <c r="I264" s="5"/>
      <c r="J264" s="5"/>
      <c r="K264" s="5"/>
      <c r="L264" s="5"/>
      <c r="M264" s="20"/>
      <c r="N264" s="5"/>
    </row>
    <row r="265" spans="1:14" ht="14.25" customHeight="1" x14ac:dyDescent="0.25">
      <c r="A265" s="5"/>
      <c r="B265" s="5"/>
      <c r="C265" s="5"/>
      <c r="D265" s="5"/>
      <c r="E265" s="5"/>
      <c r="F265" s="5"/>
      <c r="G265" s="5"/>
      <c r="H265" s="5"/>
      <c r="I265" s="5"/>
      <c r="J265" s="5"/>
      <c r="K265" s="5"/>
      <c r="L265" s="5"/>
      <c r="M265" s="20"/>
      <c r="N265" s="5"/>
    </row>
    <row r="266" spans="1:14" ht="14.25" customHeight="1" x14ac:dyDescent="0.25">
      <c r="A266" s="5"/>
      <c r="B266" s="5"/>
      <c r="C266" s="5"/>
      <c r="D266" s="5"/>
      <c r="E266" s="5"/>
      <c r="F266" s="5"/>
      <c r="G266" s="5"/>
      <c r="H266" s="5"/>
      <c r="I266" s="5"/>
      <c r="J266" s="5"/>
      <c r="K266" s="5"/>
      <c r="L266" s="5"/>
      <c r="M266" s="20"/>
      <c r="N266" s="5"/>
    </row>
    <row r="267" spans="1:14" ht="14.25" customHeight="1" x14ac:dyDescent="0.25">
      <c r="A267" s="5"/>
      <c r="B267" s="5"/>
      <c r="C267" s="5"/>
      <c r="D267" s="5"/>
      <c r="E267" s="5"/>
      <c r="F267" s="5"/>
      <c r="G267" s="5"/>
      <c r="H267" s="5"/>
      <c r="I267" s="5"/>
      <c r="J267" s="5"/>
      <c r="K267" s="5"/>
      <c r="L267" s="5"/>
      <c r="M267" s="20"/>
      <c r="N267" s="5"/>
    </row>
    <row r="268" spans="1:14" ht="14.25" customHeight="1" x14ac:dyDescent="0.25">
      <c r="A268" s="5"/>
      <c r="B268" s="5"/>
      <c r="C268" s="5"/>
      <c r="D268" s="5"/>
      <c r="E268" s="5"/>
      <c r="F268" s="5"/>
      <c r="G268" s="5"/>
      <c r="H268" s="5"/>
      <c r="I268" s="5"/>
      <c r="J268" s="5"/>
      <c r="K268" s="5"/>
      <c r="L268" s="5"/>
      <c r="M268" s="20"/>
      <c r="N268" s="5"/>
    </row>
    <row r="269" spans="1:14" ht="14.25" customHeight="1" x14ac:dyDescent="0.25">
      <c r="A269" s="5"/>
      <c r="B269" s="5"/>
      <c r="C269" s="5"/>
      <c r="D269" s="5"/>
      <c r="E269" s="5"/>
      <c r="F269" s="5"/>
      <c r="G269" s="5"/>
      <c r="H269" s="5"/>
      <c r="I269" s="5"/>
      <c r="J269" s="5"/>
      <c r="K269" s="5"/>
      <c r="L269" s="5"/>
      <c r="M269" s="20"/>
      <c r="N269" s="5"/>
    </row>
    <row r="270" spans="1:14" ht="14.25" customHeight="1" x14ac:dyDescent="0.25">
      <c r="A270" s="5"/>
      <c r="B270" s="5"/>
      <c r="C270" s="5"/>
      <c r="D270" s="5"/>
      <c r="E270" s="5"/>
      <c r="F270" s="5"/>
      <c r="G270" s="5"/>
      <c r="H270" s="5"/>
      <c r="I270" s="5"/>
      <c r="J270" s="5"/>
      <c r="K270" s="5"/>
      <c r="L270" s="5"/>
      <c r="M270" s="20"/>
      <c r="N270" s="5"/>
    </row>
    <row r="271" spans="1:14" ht="14.25" customHeight="1" x14ac:dyDescent="0.25">
      <c r="A271" s="5"/>
      <c r="B271" s="5"/>
      <c r="C271" s="5"/>
      <c r="D271" s="5"/>
      <c r="E271" s="5"/>
      <c r="F271" s="5"/>
      <c r="G271" s="5"/>
      <c r="H271" s="5"/>
      <c r="I271" s="5"/>
      <c r="J271" s="5"/>
      <c r="K271" s="5"/>
      <c r="L271" s="5"/>
      <c r="M271" s="20"/>
      <c r="N271" s="5"/>
    </row>
    <row r="272" spans="1:14" ht="14.25" customHeight="1" x14ac:dyDescent="0.25">
      <c r="A272" s="5"/>
      <c r="B272" s="5"/>
      <c r="C272" s="5"/>
      <c r="D272" s="5"/>
      <c r="E272" s="5"/>
      <c r="F272" s="5"/>
      <c r="G272" s="5"/>
      <c r="H272" s="5"/>
      <c r="I272" s="5"/>
      <c r="J272" s="5"/>
      <c r="K272" s="5"/>
      <c r="L272" s="5"/>
      <c r="M272" s="20"/>
      <c r="N272" s="5"/>
    </row>
    <row r="273" spans="1:14" ht="14.25" customHeight="1" x14ac:dyDescent="0.25">
      <c r="A273" s="5"/>
      <c r="B273" s="5"/>
      <c r="C273" s="5"/>
      <c r="D273" s="5"/>
      <c r="E273" s="5"/>
      <c r="F273" s="5"/>
      <c r="G273" s="5"/>
      <c r="H273" s="5"/>
      <c r="I273" s="5"/>
      <c r="J273" s="5"/>
      <c r="K273" s="5"/>
      <c r="L273" s="5"/>
      <c r="M273" s="20"/>
      <c r="N273" s="5"/>
    </row>
    <row r="274" spans="1:14" ht="14.25" customHeight="1" x14ac:dyDescent="0.25">
      <c r="A274" s="5"/>
      <c r="B274" s="5"/>
      <c r="C274" s="5"/>
      <c r="D274" s="5"/>
      <c r="E274" s="5"/>
      <c r="F274" s="5"/>
      <c r="G274" s="5"/>
      <c r="H274" s="5"/>
      <c r="I274" s="5"/>
      <c r="J274" s="5"/>
      <c r="K274" s="5"/>
      <c r="L274" s="5"/>
      <c r="M274" s="20"/>
      <c r="N274" s="5"/>
    </row>
    <row r="275" spans="1:14" ht="14.25" customHeight="1" x14ac:dyDescent="0.25">
      <c r="A275" s="5"/>
      <c r="B275" s="5"/>
      <c r="C275" s="5"/>
      <c r="D275" s="5"/>
      <c r="E275" s="5"/>
      <c r="F275" s="5"/>
      <c r="G275" s="5"/>
      <c r="H275" s="5"/>
      <c r="I275" s="5"/>
      <c r="J275" s="5"/>
      <c r="K275" s="5"/>
      <c r="L275" s="5"/>
      <c r="M275" s="20"/>
      <c r="N275" s="5"/>
    </row>
    <row r="276" spans="1:14" ht="14.25" customHeight="1" x14ac:dyDescent="0.25">
      <c r="A276" s="5"/>
      <c r="B276" s="5"/>
      <c r="C276" s="5"/>
      <c r="D276" s="5"/>
      <c r="E276" s="5"/>
      <c r="F276" s="5"/>
      <c r="G276" s="5"/>
      <c r="H276" s="5"/>
      <c r="I276" s="5"/>
      <c r="J276" s="5"/>
      <c r="K276" s="5"/>
      <c r="L276" s="5"/>
      <c r="M276" s="20"/>
      <c r="N276" s="5"/>
    </row>
    <row r="277" spans="1:14" ht="14.25" customHeight="1" x14ac:dyDescent="0.25">
      <c r="A277" s="5"/>
      <c r="B277" s="5"/>
      <c r="C277" s="5"/>
      <c r="D277" s="5"/>
      <c r="E277" s="5"/>
      <c r="F277" s="5"/>
      <c r="G277" s="5"/>
      <c r="H277" s="5"/>
      <c r="I277" s="5"/>
      <c r="J277" s="5"/>
      <c r="K277" s="5"/>
      <c r="L277" s="5"/>
      <c r="M277" s="20"/>
      <c r="N277" s="5"/>
    </row>
    <row r="278" spans="1:14" ht="14.25" customHeight="1" x14ac:dyDescent="0.25">
      <c r="A278" s="5"/>
      <c r="B278" s="5"/>
      <c r="C278" s="5"/>
      <c r="D278" s="5"/>
      <c r="E278" s="5"/>
      <c r="F278" s="5"/>
      <c r="G278" s="5"/>
      <c r="H278" s="5"/>
      <c r="I278" s="5"/>
      <c r="J278" s="5"/>
      <c r="K278" s="5"/>
      <c r="L278" s="5"/>
      <c r="M278" s="20"/>
      <c r="N278" s="5"/>
    </row>
    <row r="279" spans="1:14" ht="14.25" customHeight="1" x14ac:dyDescent="0.25">
      <c r="A279" s="5"/>
      <c r="B279" s="5"/>
      <c r="C279" s="5"/>
      <c r="D279" s="5"/>
      <c r="E279" s="5"/>
      <c r="F279" s="5"/>
      <c r="G279" s="5"/>
      <c r="H279" s="5"/>
      <c r="I279" s="5"/>
      <c r="J279" s="5"/>
      <c r="K279" s="5"/>
      <c r="L279" s="5"/>
      <c r="M279" s="20"/>
      <c r="N279" s="5"/>
    </row>
    <row r="280" spans="1:14" ht="14.25" customHeight="1" x14ac:dyDescent="0.25">
      <c r="A280" s="5"/>
      <c r="B280" s="5"/>
      <c r="C280" s="5"/>
      <c r="D280" s="5"/>
      <c r="E280" s="5"/>
      <c r="F280" s="5"/>
      <c r="G280" s="5"/>
      <c r="H280" s="5"/>
      <c r="I280" s="5"/>
      <c r="J280" s="5"/>
      <c r="K280" s="5"/>
      <c r="L280" s="5"/>
      <c r="M280" s="20"/>
      <c r="N280" s="5"/>
    </row>
    <row r="281" spans="1:14" ht="14.25" customHeight="1" x14ac:dyDescent="0.25">
      <c r="A281" s="5"/>
      <c r="B281" s="5"/>
      <c r="C281" s="5"/>
      <c r="D281" s="5"/>
      <c r="E281" s="5"/>
      <c r="F281" s="5"/>
      <c r="G281" s="5"/>
      <c r="H281" s="5"/>
      <c r="I281" s="5"/>
      <c r="J281" s="5"/>
      <c r="K281" s="5"/>
      <c r="L281" s="5"/>
      <c r="M281" s="20"/>
      <c r="N281" s="5"/>
    </row>
    <row r="282" spans="1:14" ht="14.25" customHeight="1" x14ac:dyDescent="0.25">
      <c r="A282" s="5"/>
      <c r="B282" s="5"/>
      <c r="C282" s="5"/>
      <c r="D282" s="5"/>
      <c r="E282" s="5"/>
      <c r="F282" s="5"/>
      <c r="G282" s="5"/>
      <c r="H282" s="5"/>
      <c r="I282" s="5"/>
      <c r="J282" s="5"/>
      <c r="K282" s="5"/>
      <c r="L282" s="5"/>
      <c r="M282" s="20"/>
      <c r="N282" s="5"/>
    </row>
    <row r="283" spans="1:14" ht="14.25" customHeight="1" x14ac:dyDescent="0.25">
      <c r="A283" s="5"/>
      <c r="B283" s="5"/>
      <c r="C283" s="5"/>
      <c r="D283" s="5"/>
      <c r="E283" s="5"/>
      <c r="F283" s="5"/>
      <c r="G283" s="5"/>
      <c r="H283" s="5"/>
      <c r="I283" s="5"/>
      <c r="J283" s="5"/>
      <c r="K283" s="5"/>
      <c r="L283" s="5"/>
      <c r="M283" s="20"/>
      <c r="N283" s="5"/>
    </row>
    <row r="284" spans="1:14" ht="14.25" customHeight="1" x14ac:dyDescent="0.25">
      <c r="A284" s="5"/>
      <c r="B284" s="5"/>
      <c r="C284" s="5"/>
      <c r="D284" s="5"/>
      <c r="E284" s="5"/>
      <c r="F284" s="5"/>
      <c r="G284" s="5"/>
      <c r="H284" s="5"/>
      <c r="I284" s="5"/>
      <c r="J284" s="5"/>
      <c r="K284" s="5"/>
      <c r="L284" s="5"/>
      <c r="M284" s="20"/>
      <c r="N284" s="5"/>
    </row>
    <row r="285" spans="1:14" ht="14.25" customHeight="1" x14ac:dyDescent="0.25">
      <c r="A285" s="5"/>
      <c r="B285" s="5"/>
      <c r="C285" s="5"/>
      <c r="D285" s="5"/>
      <c r="E285" s="5"/>
      <c r="F285" s="5"/>
      <c r="G285" s="5"/>
      <c r="H285" s="5"/>
      <c r="I285" s="5"/>
      <c r="J285" s="5"/>
      <c r="K285" s="5"/>
      <c r="L285" s="5"/>
      <c r="M285" s="20"/>
      <c r="N285" s="5"/>
    </row>
    <row r="286" spans="1:14" ht="14.25" customHeight="1" x14ac:dyDescent="0.25">
      <c r="A286" s="5"/>
      <c r="B286" s="5"/>
      <c r="C286" s="5"/>
      <c r="D286" s="5"/>
      <c r="E286" s="5"/>
      <c r="F286" s="5"/>
      <c r="G286" s="5"/>
      <c r="H286" s="5"/>
      <c r="I286" s="5"/>
      <c r="J286" s="5"/>
      <c r="K286" s="5"/>
      <c r="L286" s="5"/>
      <c r="M286" s="20"/>
      <c r="N286" s="5"/>
    </row>
    <row r="287" spans="1:14" ht="14.25" customHeight="1" x14ac:dyDescent="0.25">
      <c r="A287" s="5"/>
      <c r="B287" s="5"/>
      <c r="C287" s="5"/>
      <c r="D287" s="5"/>
      <c r="E287" s="5"/>
      <c r="F287" s="5"/>
      <c r="G287" s="5"/>
      <c r="H287" s="5"/>
      <c r="I287" s="5"/>
      <c r="J287" s="5"/>
      <c r="K287" s="5"/>
      <c r="L287" s="5"/>
      <c r="M287" s="20"/>
      <c r="N287" s="5"/>
    </row>
    <row r="288" spans="1:14" ht="14.25" customHeight="1" x14ac:dyDescent="0.25">
      <c r="A288" s="5"/>
      <c r="B288" s="5"/>
      <c r="C288" s="5"/>
      <c r="D288" s="5"/>
      <c r="E288" s="5"/>
      <c r="F288" s="5"/>
      <c r="G288" s="5"/>
      <c r="H288" s="5"/>
      <c r="I288" s="5"/>
      <c r="J288" s="5"/>
      <c r="K288" s="5"/>
      <c r="L288" s="5"/>
      <c r="M288" s="20"/>
      <c r="N288" s="5"/>
    </row>
    <row r="289" spans="1:14" ht="14.25" customHeight="1" x14ac:dyDescent="0.25">
      <c r="A289" s="5"/>
      <c r="B289" s="5"/>
      <c r="C289" s="5"/>
      <c r="D289" s="5"/>
      <c r="E289" s="5"/>
      <c r="F289" s="5"/>
      <c r="G289" s="5"/>
      <c r="H289" s="5"/>
      <c r="I289" s="5"/>
      <c r="J289" s="5"/>
      <c r="K289" s="5"/>
      <c r="L289" s="5"/>
      <c r="M289" s="20"/>
      <c r="N289" s="5"/>
    </row>
    <row r="290" spans="1:14" ht="14.25" customHeight="1" x14ac:dyDescent="0.25">
      <c r="A290" s="5"/>
      <c r="B290" s="5"/>
      <c r="C290" s="5"/>
      <c r="D290" s="5"/>
      <c r="E290" s="5"/>
      <c r="F290" s="5"/>
      <c r="G290" s="5"/>
      <c r="H290" s="5"/>
      <c r="I290" s="5"/>
      <c r="J290" s="5"/>
      <c r="K290" s="5"/>
      <c r="L290" s="5"/>
      <c r="M290" s="20"/>
      <c r="N290" s="5"/>
    </row>
    <row r="291" spans="1:14" ht="14.25" customHeight="1" x14ac:dyDescent="0.25">
      <c r="A291" s="5"/>
      <c r="B291" s="5"/>
      <c r="C291" s="5"/>
      <c r="D291" s="5"/>
      <c r="E291" s="5"/>
      <c r="F291" s="5"/>
      <c r="G291" s="5"/>
      <c r="H291" s="5"/>
      <c r="I291" s="5"/>
      <c r="J291" s="5"/>
      <c r="K291" s="5"/>
      <c r="L291" s="5"/>
      <c r="M291" s="20"/>
      <c r="N291" s="5"/>
    </row>
    <row r="292" spans="1:14" ht="14.25" customHeight="1" x14ac:dyDescent="0.25">
      <c r="A292" s="5"/>
      <c r="B292" s="5"/>
      <c r="C292" s="5"/>
      <c r="D292" s="5"/>
      <c r="E292" s="5"/>
      <c r="F292" s="5"/>
      <c r="G292" s="5"/>
      <c r="H292" s="5"/>
      <c r="I292" s="5"/>
      <c r="J292" s="5"/>
      <c r="K292" s="5"/>
      <c r="L292" s="5"/>
      <c r="M292" s="20"/>
      <c r="N292" s="5"/>
    </row>
    <row r="293" spans="1:14" ht="14.25" customHeight="1" x14ac:dyDescent="0.25">
      <c r="A293" s="5"/>
      <c r="B293" s="5"/>
      <c r="C293" s="5"/>
      <c r="D293" s="5"/>
      <c r="E293" s="5"/>
      <c r="F293" s="5"/>
      <c r="G293" s="5"/>
      <c r="H293" s="5"/>
      <c r="I293" s="5"/>
      <c r="J293" s="5"/>
      <c r="K293" s="5"/>
      <c r="L293" s="5"/>
      <c r="M293" s="20"/>
      <c r="N293" s="5"/>
    </row>
    <row r="294" spans="1:14" ht="14.25" customHeight="1" x14ac:dyDescent="0.25">
      <c r="A294" s="5"/>
      <c r="B294" s="5"/>
      <c r="C294" s="5"/>
      <c r="D294" s="5"/>
      <c r="E294" s="5"/>
      <c r="F294" s="5"/>
      <c r="G294" s="5"/>
      <c r="H294" s="5"/>
      <c r="I294" s="5"/>
      <c r="J294" s="5"/>
      <c r="K294" s="5"/>
      <c r="L294" s="5"/>
      <c r="M294" s="20"/>
      <c r="N294" s="5"/>
    </row>
    <row r="295" spans="1:14" ht="14.25" customHeight="1" x14ac:dyDescent="0.25">
      <c r="A295" s="5"/>
      <c r="B295" s="5"/>
      <c r="C295" s="5"/>
      <c r="D295" s="5"/>
      <c r="E295" s="5"/>
      <c r="F295" s="5"/>
      <c r="G295" s="5"/>
      <c r="H295" s="5"/>
      <c r="I295" s="5"/>
      <c r="J295" s="5"/>
      <c r="K295" s="5"/>
      <c r="L295" s="5"/>
      <c r="M295" s="20"/>
      <c r="N295" s="5"/>
    </row>
    <row r="296" spans="1:14" ht="14.25" customHeight="1" x14ac:dyDescent="0.25">
      <c r="A296" s="5"/>
      <c r="B296" s="5"/>
      <c r="C296" s="5"/>
      <c r="D296" s="5"/>
      <c r="E296" s="5"/>
      <c r="F296" s="5"/>
      <c r="G296" s="5"/>
      <c r="H296" s="5"/>
      <c r="I296" s="5"/>
      <c r="J296" s="5"/>
      <c r="K296" s="5"/>
      <c r="L296" s="5"/>
      <c r="M296" s="20"/>
      <c r="N296" s="5"/>
    </row>
    <row r="297" spans="1:14" ht="14.25" customHeight="1" x14ac:dyDescent="0.25">
      <c r="A297" s="5"/>
      <c r="B297" s="5"/>
      <c r="C297" s="5"/>
      <c r="D297" s="5"/>
      <c r="E297" s="5"/>
      <c r="F297" s="5"/>
      <c r="G297" s="5"/>
      <c r="H297" s="5"/>
      <c r="I297" s="5"/>
      <c r="J297" s="5"/>
      <c r="K297" s="5"/>
      <c r="L297" s="5"/>
      <c r="M297" s="20"/>
      <c r="N297" s="5"/>
    </row>
    <row r="298" spans="1:14" ht="14.25" customHeight="1" x14ac:dyDescent="0.25">
      <c r="A298" s="5"/>
      <c r="B298" s="5"/>
      <c r="C298" s="5"/>
      <c r="D298" s="5"/>
      <c r="E298" s="5"/>
      <c r="F298" s="5"/>
      <c r="G298" s="5"/>
      <c r="H298" s="5"/>
      <c r="I298" s="5"/>
      <c r="J298" s="5"/>
      <c r="K298" s="5"/>
      <c r="L298" s="5"/>
      <c r="M298" s="20"/>
      <c r="N298" s="5"/>
    </row>
    <row r="299" spans="1:14" ht="14.25" customHeight="1" x14ac:dyDescent="0.25">
      <c r="A299" s="5"/>
      <c r="B299" s="5"/>
      <c r="C299" s="5"/>
      <c r="D299" s="5"/>
      <c r="E299" s="5"/>
      <c r="F299" s="5"/>
      <c r="G299" s="5"/>
      <c r="H299" s="5"/>
      <c r="I299" s="5"/>
      <c r="J299" s="5"/>
      <c r="K299" s="5"/>
      <c r="L299" s="5"/>
      <c r="M299" s="20"/>
      <c r="N299" s="5"/>
    </row>
    <row r="300" spans="1:14" ht="14.25" customHeight="1" x14ac:dyDescent="0.25">
      <c r="A300" s="5"/>
      <c r="B300" s="5"/>
      <c r="C300" s="5"/>
      <c r="D300" s="5"/>
      <c r="E300" s="5"/>
      <c r="F300" s="5"/>
      <c r="G300" s="5"/>
      <c r="H300" s="5"/>
      <c r="I300" s="5"/>
      <c r="J300" s="5"/>
      <c r="K300" s="5"/>
      <c r="L300" s="5"/>
      <c r="M300" s="20"/>
      <c r="N300" s="5"/>
    </row>
    <row r="301" spans="1:14" ht="14.25" customHeight="1" x14ac:dyDescent="0.25">
      <c r="A301" s="5"/>
      <c r="B301" s="5"/>
      <c r="C301" s="5"/>
      <c r="D301" s="5"/>
      <c r="E301" s="5"/>
      <c r="F301" s="5"/>
      <c r="G301" s="5"/>
      <c r="H301" s="5"/>
      <c r="I301" s="5"/>
      <c r="J301" s="5"/>
      <c r="K301" s="5"/>
      <c r="L301" s="5"/>
      <c r="M301" s="20"/>
      <c r="N301" s="5"/>
    </row>
    <row r="302" spans="1:14" ht="14.25" customHeight="1" x14ac:dyDescent="0.25">
      <c r="A302" s="5"/>
      <c r="B302" s="5"/>
      <c r="C302" s="5"/>
      <c r="D302" s="5"/>
      <c r="E302" s="5"/>
      <c r="F302" s="5"/>
      <c r="G302" s="5"/>
      <c r="H302" s="5"/>
      <c r="I302" s="5"/>
      <c r="J302" s="5"/>
      <c r="K302" s="5"/>
      <c r="L302" s="5"/>
      <c r="M302" s="20"/>
      <c r="N302" s="5"/>
    </row>
    <row r="303" spans="1:14" ht="14.25" customHeight="1" x14ac:dyDescent="0.25">
      <c r="A303" s="5"/>
      <c r="B303" s="5"/>
      <c r="C303" s="5"/>
      <c r="D303" s="5"/>
      <c r="E303" s="5"/>
      <c r="F303" s="5"/>
      <c r="G303" s="5"/>
      <c r="H303" s="5"/>
      <c r="I303" s="5"/>
      <c r="J303" s="5"/>
      <c r="K303" s="5"/>
      <c r="L303" s="5"/>
      <c r="M303" s="20"/>
      <c r="N303" s="5"/>
    </row>
    <row r="304" spans="1:14" ht="14.25" customHeight="1" x14ac:dyDescent="0.25">
      <c r="A304" s="5"/>
      <c r="B304" s="5"/>
      <c r="C304" s="5"/>
      <c r="D304" s="5"/>
      <c r="E304" s="5"/>
      <c r="F304" s="5"/>
      <c r="G304" s="5"/>
      <c r="H304" s="5"/>
      <c r="I304" s="5"/>
      <c r="J304" s="5"/>
      <c r="K304" s="5"/>
      <c r="L304" s="5"/>
      <c r="M304" s="20"/>
      <c r="N304" s="5"/>
    </row>
    <row r="305" spans="1:14" ht="14.25" customHeight="1" x14ac:dyDescent="0.25">
      <c r="A305" s="5"/>
      <c r="B305" s="5"/>
      <c r="C305" s="5"/>
      <c r="D305" s="5"/>
      <c r="E305" s="5"/>
      <c r="F305" s="5"/>
      <c r="G305" s="5"/>
      <c r="H305" s="5"/>
      <c r="I305" s="5"/>
      <c r="J305" s="5"/>
      <c r="K305" s="5"/>
      <c r="L305" s="5"/>
      <c r="M305" s="20"/>
      <c r="N305" s="5"/>
    </row>
    <row r="306" spans="1:14" ht="14.25" customHeight="1" x14ac:dyDescent="0.25">
      <c r="A306" s="5"/>
      <c r="B306" s="5"/>
      <c r="C306" s="5"/>
      <c r="D306" s="5"/>
      <c r="E306" s="5"/>
      <c r="F306" s="5"/>
      <c r="G306" s="5"/>
      <c r="H306" s="5"/>
      <c r="I306" s="5"/>
      <c r="J306" s="5"/>
      <c r="K306" s="5"/>
      <c r="L306" s="5"/>
      <c r="M306" s="20"/>
      <c r="N306" s="5"/>
    </row>
    <row r="307" spans="1:14" ht="14.25" customHeight="1" x14ac:dyDescent="0.25">
      <c r="A307" s="5"/>
      <c r="B307" s="5"/>
      <c r="C307" s="5"/>
      <c r="D307" s="5"/>
      <c r="E307" s="5"/>
      <c r="F307" s="5"/>
      <c r="G307" s="5"/>
      <c r="H307" s="5"/>
      <c r="I307" s="5"/>
      <c r="J307" s="5"/>
      <c r="K307" s="5"/>
      <c r="L307" s="5"/>
      <c r="M307" s="20"/>
      <c r="N307" s="5"/>
    </row>
    <row r="308" spans="1:14" ht="14.25" customHeight="1" x14ac:dyDescent="0.25">
      <c r="A308" s="5"/>
      <c r="B308" s="5"/>
      <c r="C308" s="5"/>
      <c r="D308" s="5"/>
      <c r="E308" s="5"/>
      <c r="F308" s="5"/>
      <c r="G308" s="5"/>
      <c r="H308" s="5"/>
      <c r="I308" s="5"/>
      <c r="J308" s="5"/>
      <c r="K308" s="5"/>
      <c r="L308" s="5"/>
      <c r="M308" s="20"/>
      <c r="N308" s="5"/>
    </row>
    <row r="309" spans="1:14" ht="14.25" customHeight="1" x14ac:dyDescent="0.25">
      <c r="A309" s="5"/>
      <c r="B309" s="5"/>
      <c r="C309" s="5"/>
      <c r="D309" s="5"/>
      <c r="E309" s="5"/>
      <c r="F309" s="5"/>
      <c r="G309" s="5"/>
      <c r="H309" s="5"/>
      <c r="I309" s="5"/>
      <c r="J309" s="5"/>
      <c r="K309" s="5"/>
      <c r="L309" s="5"/>
      <c r="M309" s="20"/>
      <c r="N309" s="5"/>
    </row>
    <row r="310" spans="1:14" ht="14.25" customHeight="1" x14ac:dyDescent="0.25">
      <c r="A310" s="5"/>
      <c r="B310" s="5"/>
      <c r="C310" s="5"/>
      <c r="D310" s="5"/>
      <c r="E310" s="5"/>
      <c r="F310" s="5"/>
      <c r="G310" s="5"/>
      <c r="H310" s="5"/>
      <c r="I310" s="5"/>
      <c r="J310" s="5"/>
      <c r="K310" s="5"/>
      <c r="L310" s="5"/>
      <c r="M310" s="20"/>
      <c r="N310" s="5"/>
    </row>
    <row r="311" spans="1:14" ht="14.25" customHeight="1" x14ac:dyDescent="0.25">
      <c r="A311" s="5"/>
      <c r="B311" s="5"/>
      <c r="C311" s="5"/>
      <c r="D311" s="5"/>
      <c r="E311" s="5"/>
      <c r="F311" s="5"/>
      <c r="G311" s="5"/>
      <c r="H311" s="5"/>
      <c r="I311" s="5"/>
      <c r="J311" s="5"/>
      <c r="K311" s="5"/>
      <c r="L311" s="5"/>
      <c r="M311" s="20"/>
      <c r="N311" s="5"/>
    </row>
    <row r="312" spans="1:14" ht="14.25" customHeight="1" x14ac:dyDescent="0.25">
      <c r="A312" s="5"/>
      <c r="B312" s="5"/>
      <c r="C312" s="5"/>
      <c r="D312" s="5"/>
      <c r="E312" s="5"/>
      <c r="F312" s="5"/>
      <c r="G312" s="5"/>
      <c r="H312" s="5"/>
      <c r="I312" s="5"/>
      <c r="J312" s="5"/>
      <c r="K312" s="5"/>
      <c r="L312" s="5"/>
      <c r="M312" s="20"/>
      <c r="N312" s="5"/>
    </row>
    <row r="313" spans="1:14" ht="14.25" customHeight="1" x14ac:dyDescent="0.25">
      <c r="A313" s="5"/>
      <c r="B313" s="5"/>
      <c r="C313" s="5"/>
      <c r="D313" s="5"/>
      <c r="E313" s="5"/>
      <c r="F313" s="5"/>
      <c r="G313" s="5"/>
      <c r="H313" s="5"/>
      <c r="I313" s="5"/>
      <c r="J313" s="5"/>
      <c r="K313" s="5"/>
      <c r="L313" s="5"/>
      <c r="M313" s="20"/>
      <c r="N313" s="5"/>
    </row>
    <row r="314" spans="1:14" ht="14.25" customHeight="1" x14ac:dyDescent="0.25">
      <c r="A314" s="5"/>
      <c r="B314" s="5"/>
      <c r="C314" s="5"/>
      <c r="D314" s="5"/>
      <c r="E314" s="5"/>
      <c r="F314" s="5"/>
      <c r="G314" s="5"/>
      <c r="H314" s="5"/>
      <c r="I314" s="5"/>
      <c r="J314" s="5"/>
      <c r="K314" s="5"/>
      <c r="L314" s="5"/>
      <c r="M314" s="20"/>
      <c r="N314" s="5"/>
    </row>
    <row r="315" spans="1:14" ht="14.25" customHeight="1" x14ac:dyDescent="0.25">
      <c r="A315" s="5"/>
      <c r="B315" s="5"/>
      <c r="C315" s="5"/>
      <c r="D315" s="5"/>
      <c r="E315" s="5"/>
      <c r="F315" s="5"/>
      <c r="G315" s="5"/>
      <c r="H315" s="5"/>
      <c r="I315" s="5"/>
      <c r="J315" s="5"/>
      <c r="K315" s="5"/>
      <c r="L315" s="5"/>
      <c r="M315" s="20"/>
      <c r="N315" s="5"/>
    </row>
    <row r="316" spans="1:14" ht="14.25" customHeight="1" x14ac:dyDescent="0.25">
      <c r="A316" s="5"/>
      <c r="B316" s="5"/>
      <c r="C316" s="5"/>
      <c r="D316" s="5"/>
      <c r="E316" s="5"/>
      <c r="F316" s="5"/>
      <c r="G316" s="5"/>
      <c r="H316" s="5"/>
      <c r="I316" s="5"/>
      <c r="J316" s="5"/>
      <c r="K316" s="5"/>
      <c r="L316" s="5"/>
      <c r="M316" s="20"/>
      <c r="N316" s="5"/>
    </row>
    <row r="317" spans="1:14" ht="14.25" customHeight="1" x14ac:dyDescent="0.25">
      <c r="A317" s="5"/>
      <c r="B317" s="5"/>
      <c r="C317" s="5"/>
      <c r="D317" s="5"/>
      <c r="E317" s="5"/>
      <c r="F317" s="5"/>
      <c r="G317" s="5"/>
      <c r="H317" s="5"/>
      <c r="I317" s="5"/>
      <c r="J317" s="5"/>
      <c r="K317" s="5"/>
      <c r="L317" s="5"/>
      <c r="M317" s="20"/>
      <c r="N317" s="5"/>
    </row>
    <row r="318" spans="1:14" ht="14.25" customHeight="1" x14ac:dyDescent="0.25">
      <c r="A318" s="5"/>
      <c r="B318" s="5"/>
      <c r="C318" s="5"/>
      <c r="D318" s="5"/>
      <c r="E318" s="5"/>
      <c r="F318" s="5"/>
      <c r="G318" s="5"/>
      <c r="H318" s="5"/>
      <c r="I318" s="5"/>
      <c r="J318" s="5"/>
      <c r="K318" s="5"/>
      <c r="L318" s="5"/>
      <c r="M318" s="20"/>
      <c r="N318" s="5"/>
    </row>
    <row r="319" spans="1:14" ht="14.25" customHeight="1" x14ac:dyDescent="0.25">
      <c r="A319" s="5"/>
      <c r="B319" s="5"/>
      <c r="C319" s="5"/>
      <c r="D319" s="5"/>
      <c r="E319" s="5"/>
      <c r="F319" s="5"/>
      <c r="G319" s="5"/>
      <c r="H319" s="5"/>
      <c r="I319" s="5"/>
      <c r="J319" s="5"/>
      <c r="K319" s="5"/>
      <c r="L319" s="5"/>
      <c r="M319" s="20"/>
      <c r="N319" s="5"/>
    </row>
    <row r="320" spans="1:14" ht="14.25" customHeight="1" x14ac:dyDescent="0.25">
      <c r="A320" s="5"/>
      <c r="B320" s="5"/>
      <c r="C320" s="5"/>
      <c r="D320" s="5"/>
      <c r="E320" s="5"/>
      <c r="F320" s="5"/>
      <c r="G320" s="5"/>
      <c r="H320" s="5"/>
      <c r="I320" s="5"/>
      <c r="J320" s="5"/>
      <c r="K320" s="5"/>
      <c r="L320" s="5"/>
      <c r="M320" s="20"/>
      <c r="N320" s="5"/>
    </row>
    <row r="321" spans="1:14" ht="14.25" customHeight="1" x14ac:dyDescent="0.25">
      <c r="A321" s="5"/>
      <c r="B321" s="5"/>
      <c r="C321" s="5"/>
      <c r="D321" s="5"/>
      <c r="E321" s="5"/>
      <c r="F321" s="5"/>
      <c r="G321" s="5"/>
      <c r="H321" s="5"/>
      <c r="I321" s="5"/>
      <c r="J321" s="5"/>
      <c r="K321" s="5"/>
      <c r="L321" s="5"/>
      <c r="M321" s="20"/>
      <c r="N321" s="5"/>
    </row>
    <row r="322" spans="1:14" ht="14.25" customHeight="1" x14ac:dyDescent="0.25">
      <c r="A322" s="5"/>
      <c r="B322" s="5"/>
      <c r="C322" s="5"/>
      <c r="D322" s="5"/>
      <c r="E322" s="5"/>
      <c r="F322" s="5"/>
      <c r="G322" s="5"/>
      <c r="H322" s="5"/>
      <c r="I322" s="5"/>
      <c r="J322" s="5"/>
      <c r="K322" s="5"/>
      <c r="L322" s="5"/>
      <c r="M322" s="20"/>
      <c r="N322" s="5"/>
    </row>
    <row r="323" spans="1:14" ht="14.25" customHeight="1" x14ac:dyDescent="0.25">
      <c r="A323" s="5"/>
      <c r="B323" s="5"/>
      <c r="C323" s="5"/>
      <c r="D323" s="5"/>
      <c r="E323" s="5"/>
      <c r="F323" s="5"/>
      <c r="G323" s="5"/>
      <c r="H323" s="5"/>
      <c r="I323" s="5"/>
      <c r="J323" s="5"/>
      <c r="K323" s="5"/>
      <c r="L323" s="5"/>
      <c r="M323" s="20"/>
      <c r="N323" s="5"/>
    </row>
    <row r="324" spans="1:14" ht="14.25" customHeight="1" x14ac:dyDescent="0.25">
      <c r="A324" s="5"/>
      <c r="B324" s="5"/>
      <c r="C324" s="5"/>
      <c r="D324" s="5"/>
      <c r="E324" s="5"/>
      <c r="F324" s="5"/>
      <c r="G324" s="5"/>
      <c r="H324" s="5"/>
      <c r="I324" s="5"/>
      <c r="J324" s="5"/>
      <c r="K324" s="5"/>
      <c r="L324" s="5"/>
      <c r="M324" s="20"/>
      <c r="N324" s="5"/>
    </row>
    <row r="325" spans="1:14" ht="14.25" customHeight="1" x14ac:dyDescent="0.25">
      <c r="A325" s="5"/>
      <c r="B325" s="5"/>
      <c r="C325" s="5"/>
      <c r="D325" s="5"/>
      <c r="E325" s="5"/>
      <c r="F325" s="5"/>
      <c r="G325" s="5"/>
      <c r="H325" s="5"/>
      <c r="I325" s="5"/>
      <c r="J325" s="5"/>
      <c r="K325" s="5"/>
      <c r="L325" s="5"/>
      <c r="M325" s="20"/>
      <c r="N325" s="5"/>
    </row>
    <row r="326" spans="1:14" ht="14.25" customHeight="1" x14ac:dyDescent="0.25">
      <c r="A326" s="5"/>
      <c r="B326" s="5"/>
      <c r="C326" s="5"/>
      <c r="D326" s="5"/>
      <c r="E326" s="5"/>
      <c r="F326" s="5"/>
      <c r="G326" s="5"/>
      <c r="H326" s="5"/>
      <c r="I326" s="5"/>
      <c r="J326" s="5"/>
      <c r="K326" s="5"/>
      <c r="L326" s="5"/>
      <c r="M326" s="20"/>
      <c r="N326" s="5"/>
    </row>
    <row r="327" spans="1:14" ht="14.25" customHeight="1" x14ac:dyDescent="0.25">
      <c r="A327" s="5"/>
      <c r="B327" s="5"/>
      <c r="C327" s="5"/>
      <c r="D327" s="5"/>
      <c r="E327" s="5"/>
      <c r="F327" s="5"/>
      <c r="G327" s="5"/>
      <c r="H327" s="5"/>
      <c r="I327" s="5"/>
      <c r="J327" s="5"/>
      <c r="K327" s="5"/>
      <c r="L327" s="5"/>
      <c r="M327" s="20"/>
      <c r="N327" s="5"/>
    </row>
    <row r="328" spans="1:14" ht="14.25" customHeight="1" x14ac:dyDescent="0.25">
      <c r="A328" s="5"/>
      <c r="B328" s="5"/>
      <c r="C328" s="5"/>
      <c r="D328" s="5"/>
      <c r="E328" s="5"/>
      <c r="F328" s="5"/>
      <c r="G328" s="5"/>
      <c r="H328" s="5"/>
      <c r="I328" s="5"/>
      <c r="J328" s="5"/>
      <c r="K328" s="5"/>
      <c r="L328" s="5"/>
      <c r="M328" s="20"/>
      <c r="N328" s="5"/>
    </row>
    <row r="329" spans="1:14" ht="14.25" customHeight="1" x14ac:dyDescent="0.25">
      <c r="A329" s="5"/>
      <c r="B329" s="5"/>
      <c r="C329" s="5"/>
      <c r="D329" s="5"/>
      <c r="E329" s="5"/>
      <c r="F329" s="5"/>
      <c r="G329" s="5"/>
      <c r="H329" s="5"/>
      <c r="I329" s="5"/>
      <c r="J329" s="5"/>
      <c r="K329" s="5"/>
      <c r="L329" s="5"/>
      <c r="M329" s="20"/>
      <c r="N329" s="5"/>
    </row>
    <row r="330" spans="1:14" ht="14.25" customHeight="1" x14ac:dyDescent="0.25">
      <c r="A330" s="5"/>
      <c r="B330" s="5"/>
      <c r="C330" s="5"/>
      <c r="D330" s="5"/>
      <c r="E330" s="5"/>
      <c r="F330" s="5"/>
      <c r="G330" s="5"/>
      <c r="H330" s="5"/>
      <c r="I330" s="5"/>
      <c r="J330" s="5"/>
      <c r="K330" s="5"/>
      <c r="L330" s="5"/>
      <c r="M330" s="20"/>
      <c r="N330" s="5"/>
    </row>
    <row r="331" spans="1:14" ht="14.25" customHeight="1" x14ac:dyDescent="0.25">
      <c r="A331" s="5"/>
      <c r="B331" s="5"/>
      <c r="C331" s="5"/>
      <c r="D331" s="5"/>
      <c r="E331" s="5"/>
      <c r="F331" s="5"/>
      <c r="G331" s="5"/>
      <c r="H331" s="5"/>
      <c r="I331" s="5"/>
      <c r="J331" s="5"/>
      <c r="K331" s="5"/>
      <c r="L331" s="5"/>
      <c r="M331" s="20"/>
      <c r="N331" s="5"/>
    </row>
    <row r="332" spans="1:14" ht="14.25" customHeight="1" x14ac:dyDescent="0.25">
      <c r="A332" s="5"/>
      <c r="B332" s="5"/>
      <c r="C332" s="5"/>
      <c r="D332" s="5"/>
      <c r="E332" s="5"/>
      <c r="F332" s="5"/>
      <c r="G332" s="5"/>
      <c r="H332" s="5"/>
      <c r="I332" s="5"/>
      <c r="J332" s="5"/>
      <c r="K332" s="5"/>
      <c r="L332" s="5"/>
      <c r="M332" s="20"/>
      <c r="N332" s="5"/>
    </row>
    <row r="333" spans="1:14" ht="14.25" customHeight="1" x14ac:dyDescent="0.25">
      <c r="A333" s="5"/>
      <c r="B333" s="5"/>
      <c r="C333" s="5"/>
      <c r="D333" s="5"/>
      <c r="E333" s="5"/>
      <c r="F333" s="5"/>
      <c r="G333" s="5"/>
      <c r="H333" s="5"/>
      <c r="I333" s="5"/>
      <c r="J333" s="5"/>
      <c r="K333" s="5"/>
      <c r="L333" s="5"/>
      <c r="M333" s="20"/>
      <c r="N333" s="5"/>
    </row>
    <row r="334" spans="1:14" ht="14.25" customHeight="1" x14ac:dyDescent="0.25">
      <c r="A334" s="5"/>
      <c r="B334" s="5"/>
      <c r="C334" s="5"/>
      <c r="D334" s="5"/>
      <c r="E334" s="5"/>
      <c r="F334" s="5"/>
      <c r="G334" s="5"/>
      <c r="H334" s="5"/>
      <c r="I334" s="5"/>
      <c r="J334" s="5"/>
      <c r="K334" s="5"/>
      <c r="L334" s="5"/>
      <c r="M334" s="20"/>
      <c r="N334" s="5"/>
    </row>
    <row r="335" spans="1:14" ht="14.25" customHeight="1" x14ac:dyDescent="0.25">
      <c r="A335" s="5"/>
      <c r="B335" s="5"/>
      <c r="C335" s="5"/>
      <c r="D335" s="5"/>
      <c r="E335" s="5"/>
      <c r="F335" s="5"/>
      <c r="G335" s="5"/>
      <c r="H335" s="5"/>
      <c r="I335" s="5"/>
      <c r="J335" s="5"/>
      <c r="K335" s="5"/>
      <c r="L335" s="5"/>
      <c r="M335" s="20"/>
      <c r="N335" s="5"/>
    </row>
    <row r="336" spans="1:14" ht="14.25" customHeight="1" x14ac:dyDescent="0.25">
      <c r="A336" s="5"/>
      <c r="B336" s="5"/>
      <c r="C336" s="5"/>
      <c r="D336" s="5"/>
      <c r="E336" s="5"/>
      <c r="F336" s="5"/>
      <c r="G336" s="5"/>
      <c r="H336" s="5"/>
      <c r="I336" s="5"/>
      <c r="J336" s="5"/>
      <c r="K336" s="5"/>
      <c r="L336" s="5"/>
      <c r="M336" s="20"/>
      <c r="N336" s="5"/>
    </row>
    <row r="337" spans="1:14" ht="14.25" customHeight="1" x14ac:dyDescent="0.25">
      <c r="A337" s="5"/>
      <c r="B337" s="5"/>
      <c r="C337" s="5"/>
      <c r="D337" s="5"/>
      <c r="E337" s="5"/>
      <c r="F337" s="5"/>
      <c r="G337" s="5"/>
      <c r="H337" s="5"/>
      <c r="I337" s="5"/>
      <c r="J337" s="5"/>
      <c r="K337" s="5"/>
      <c r="L337" s="5"/>
      <c r="M337" s="20"/>
      <c r="N337" s="5"/>
    </row>
    <row r="338" spans="1:14" ht="14.25" customHeight="1" x14ac:dyDescent="0.25">
      <c r="A338" s="5"/>
      <c r="B338" s="5"/>
      <c r="C338" s="5"/>
      <c r="D338" s="5"/>
      <c r="E338" s="5"/>
      <c r="F338" s="5"/>
      <c r="G338" s="5"/>
      <c r="H338" s="5"/>
      <c r="I338" s="5"/>
      <c r="J338" s="5"/>
      <c r="K338" s="5"/>
      <c r="L338" s="5"/>
      <c r="M338" s="20"/>
      <c r="N338" s="5"/>
    </row>
    <row r="339" spans="1:14" ht="14.25" customHeight="1" x14ac:dyDescent="0.25">
      <c r="A339" s="5"/>
      <c r="B339" s="5"/>
      <c r="C339" s="5"/>
      <c r="D339" s="5"/>
      <c r="E339" s="5"/>
      <c r="F339" s="5"/>
      <c r="G339" s="5"/>
      <c r="H339" s="5"/>
      <c r="I339" s="5"/>
      <c r="J339" s="5"/>
      <c r="K339" s="5"/>
      <c r="L339" s="5"/>
      <c r="M339" s="20"/>
      <c r="N339" s="5"/>
    </row>
    <row r="340" spans="1:14" ht="14.25" customHeight="1" x14ac:dyDescent="0.25">
      <c r="A340" s="5"/>
      <c r="B340" s="5"/>
      <c r="C340" s="5"/>
      <c r="D340" s="5"/>
      <c r="E340" s="5"/>
      <c r="F340" s="5"/>
      <c r="G340" s="5"/>
      <c r="H340" s="5"/>
      <c r="I340" s="5"/>
      <c r="J340" s="5"/>
      <c r="K340" s="5"/>
      <c r="L340" s="5"/>
      <c r="M340" s="20"/>
      <c r="N340" s="5"/>
    </row>
    <row r="341" spans="1:14" ht="14.25" customHeight="1" x14ac:dyDescent="0.25">
      <c r="A341" s="5"/>
      <c r="B341" s="5"/>
      <c r="C341" s="5"/>
      <c r="D341" s="5"/>
      <c r="E341" s="5"/>
      <c r="F341" s="5"/>
      <c r="G341" s="5"/>
      <c r="H341" s="5"/>
      <c r="I341" s="5"/>
      <c r="J341" s="5"/>
      <c r="K341" s="5"/>
      <c r="L341" s="5"/>
      <c r="M341" s="20"/>
      <c r="N341" s="5"/>
    </row>
    <row r="342" spans="1:14" ht="14.25" customHeight="1" x14ac:dyDescent="0.25">
      <c r="A342" s="5"/>
      <c r="B342" s="5"/>
      <c r="C342" s="5"/>
      <c r="D342" s="5"/>
      <c r="E342" s="5"/>
      <c r="F342" s="5"/>
      <c r="G342" s="5"/>
      <c r="H342" s="5"/>
      <c r="I342" s="5"/>
      <c r="J342" s="5"/>
      <c r="K342" s="5"/>
      <c r="L342" s="5"/>
      <c r="M342" s="20"/>
      <c r="N342" s="5"/>
    </row>
    <row r="343" spans="1:14" ht="14.25" customHeight="1" x14ac:dyDescent="0.25">
      <c r="A343" s="5"/>
      <c r="B343" s="5"/>
      <c r="C343" s="5"/>
      <c r="D343" s="5"/>
      <c r="E343" s="5"/>
      <c r="F343" s="5"/>
      <c r="G343" s="5"/>
      <c r="H343" s="5"/>
      <c r="I343" s="5"/>
      <c r="J343" s="5"/>
      <c r="K343" s="5"/>
      <c r="L343" s="5"/>
      <c r="M343" s="20"/>
      <c r="N343" s="5"/>
    </row>
    <row r="344" spans="1:14" ht="14.25" customHeight="1" x14ac:dyDescent="0.25">
      <c r="A344" s="5"/>
      <c r="B344" s="5"/>
      <c r="C344" s="5"/>
      <c r="D344" s="5"/>
      <c r="E344" s="5"/>
      <c r="F344" s="5"/>
      <c r="G344" s="5"/>
      <c r="H344" s="5"/>
      <c r="I344" s="5"/>
      <c r="J344" s="5"/>
      <c r="K344" s="5"/>
      <c r="L344" s="5"/>
      <c r="M344" s="20"/>
      <c r="N344" s="5"/>
    </row>
    <row r="345" spans="1:14" ht="14.25" customHeight="1" x14ac:dyDescent="0.25">
      <c r="A345" s="5"/>
      <c r="B345" s="5"/>
      <c r="C345" s="5"/>
      <c r="D345" s="5"/>
      <c r="E345" s="5"/>
      <c r="F345" s="5"/>
      <c r="G345" s="5"/>
      <c r="H345" s="5"/>
      <c r="I345" s="5"/>
      <c r="J345" s="5"/>
      <c r="K345" s="5"/>
      <c r="L345" s="5"/>
      <c r="M345" s="20"/>
      <c r="N345" s="5"/>
    </row>
    <row r="346" spans="1:14" ht="14.25" customHeight="1" x14ac:dyDescent="0.25">
      <c r="A346" s="5"/>
      <c r="B346" s="5"/>
      <c r="C346" s="5"/>
      <c r="D346" s="5"/>
      <c r="E346" s="5"/>
      <c r="F346" s="5"/>
      <c r="G346" s="5"/>
      <c r="H346" s="5"/>
      <c r="I346" s="5"/>
      <c r="J346" s="5"/>
      <c r="K346" s="5"/>
      <c r="L346" s="5"/>
      <c r="M346" s="20"/>
      <c r="N346" s="5"/>
    </row>
    <row r="347" spans="1:14" ht="14.25" customHeight="1" x14ac:dyDescent="0.25">
      <c r="A347" s="5"/>
      <c r="B347" s="5"/>
      <c r="C347" s="5"/>
      <c r="D347" s="5"/>
      <c r="E347" s="5"/>
      <c r="F347" s="5"/>
      <c r="G347" s="5"/>
      <c r="H347" s="5"/>
      <c r="I347" s="5"/>
      <c r="J347" s="5"/>
      <c r="K347" s="5"/>
      <c r="L347" s="5"/>
      <c r="M347" s="20"/>
      <c r="N347" s="5"/>
    </row>
    <row r="348" spans="1:14" ht="14.25" customHeight="1" x14ac:dyDescent="0.25">
      <c r="A348" s="5"/>
      <c r="B348" s="5"/>
      <c r="C348" s="5"/>
      <c r="D348" s="5"/>
      <c r="E348" s="5"/>
      <c r="F348" s="5"/>
      <c r="G348" s="5"/>
      <c r="H348" s="5"/>
      <c r="I348" s="5"/>
      <c r="J348" s="5"/>
      <c r="K348" s="5"/>
      <c r="L348" s="5"/>
      <c r="M348" s="20"/>
      <c r="N348" s="5"/>
    </row>
    <row r="349" spans="1:14" ht="14.25" customHeight="1" x14ac:dyDescent="0.25">
      <c r="A349" s="5"/>
      <c r="B349" s="5"/>
      <c r="C349" s="5"/>
      <c r="D349" s="5"/>
      <c r="E349" s="5"/>
      <c r="F349" s="5"/>
      <c r="G349" s="5"/>
      <c r="H349" s="5"/>
      <c r="I349" s="5"/>
      <c r="J349" s="5"/>
      <c r="K349" s="5"/>
      <c r="L349" s="5"/>
      <c r="M349" s="20"/>
      <c r="N349" s="5"/>
    </row>
    <row r="350" spans="1:14" ht="14.25" customHeight="1" x14ac:dyDescent="0.25">
      <c r="A350" s="5"/>
      <c r="B350" s="5"/>
      <c r="C350" s="5"/>
      <c r="D350" s="5"/>
      <c r="E350" s="5"/>
      <c r="F350" s="5"/>
      <c r="G350" s="5"/>
      <c r="H350" s="5"/>
      <c r="I350" s="5"/>
      <c r="J350" s="5"/>
      <c r="K350" s="5"/>
      <c r="L350" s="5"/>
      <c r="M350" s="20"/>
      <c r="N350" s="5"/>
    </row>
    <row r="351" spans="1:14" ht="14.25" customHeight="1" x14ac:dyDescent="0.25">
      <c r="A351" s="5"/>
      <c r="B351" s="5"/>
      <c r="C351" s="5"/>
      <c r="D351" s="5"/>
      <c r="E351" s="5"/>
      <c r="F351" s="5"/>
      <c r="G351" s="5"/>
      <c r="H351" s="5"/>
      <c r="I351" s="5"/>
      <c r="J351" s="5"/>
      <c r="K351" s="5"/>
      <c r="L351" s="5"/>
      <c r="M351" s="20"/>
      <c r="N351" s="5"/>
    </row>
    <row r="352" spans="1:14" ht="14.25" customHeight="1" x14ac:dyDescent="0.25">
      <c r="A352" s="5"/>
      <c r="B352" s="5"/>
      <c r="C352" s="5"/>
      <c r="D352" s="5"/>
      <c r="E352" s="5"/>
      <c r="F352" s="5"/>
      <c r="G352" s="5"/>
      <c r="H352" s="5"/>
      <c r="I352" s="5"/>
      <c r="J352" s="5"/>
      <c r="K352" s="5"/>
      <c r="L352" s="5"/>
      <c r="M352" s="20"/>
      <c r="N352" s="5"/>
    </row>
    <row r="353" spans="1:14" ht="14.25" customHeight="1" x14ac:dyDescent="0.25">
      <c r="A353" s="5"/>
      <c r="B353" s="5"/>
      <c r="C353" s="5"/>
      <c r="D353" s="5"/>
      <c r="E353" s="5"/>
      <c r="F353" s="5"/>
      <c r="G353" s="5"/>
      <c r="H353" s="5"/>
      <c r="I353" s="5"/>
      <c r="J353" s="5"/>
      <c r="K353" s="5"/>
      <c r="L353" s="5"/>
      <c r="M353" s="20"/>
      <c r="N353" s="5"/>
    </row>
    <row r="354" spans="1:14" ht="14.25" customHeight="1" x14ac:dyDescent="0.25">
      <c r="A354" s="5"/>
      <c r="B354" s="5"/>
      <c r="C354" s="5"/>
      <c r="D354" s="5"/>
      <c r="E354" s="5"/>
      <c r="F354" s="5"/>
      <c r="G354" s="5"/>
      <c r="H354" s="5"/>
      <c r="I354" s="5"/>
      <c r="J354" s="5"/>
      <c r="K354" s="5"/>
      <c r="L354" s="5"/>
      <c r="M354" s="20"/>
      <c r="N354" s="5"/>
    </row>
    <row r="355" spans="1:14" ht="14.25" customHeight="1" x14ac:dyDescent="0.25">
      <c r="A355" s="5"/>
      <c r="B355" s="5"/>
      <c r="C355" s="5"/>
      <c r="D355" s="5"/>
      <c r="E355" s="5"/>
      <c r="F355" s="5"/>
      <c r="G355" s="5"/>
      <c r="H355" s="5"/>
      <c r="I355" s="5"/>
      <c r="J355" s="5"/>
      <c r="K355" s="5"/>
      <c r="L355" s="5"/>
      <c r="M355" s="20"/>
      <c r="N355" s="5"/>
    </row>
    <row r="356" spans="1:14" ht="14.25" customHeight="1" x14ac:dyDescent="0.25">
      <c r="A356" s="5"/>
      <c r="B356" s="5"/>
      <c r="C356" s="5"/>
      <c r="D356" s="5"/>
      <c r="E356" s="5"/>
      <c r="F356" s="5"/>
      <c r="G356" s="5"/>
      <c r="H356" s="5"/>
      <c r="I356" s="5"/>
      <c r="J356" s="5"/>
      <c r="K356" s="5"/>
      <c r="L356" s="5"/>
      <c r="M356" s="20"/>
      <c r="N356" s="5"/>
    </row>
    <row r="357" spans="1:14" ht="14.25" customHeight="1" x14ac:dyDescent="0.25">
      <c r="A357" s="5"/>
      <c r="B357" s="5"/>
      <c r="C357" s="5"/>
      <c r="D357" s="5"/>
      <c r="E357" s="5"/>
      <c r="F357" s="5"/>
      <c r="G357" s="5"/>
      <c r="H357" s="5"/>
      <c r="I357" s="5"/>
      <c r="J357" s="5"/>
      <c r="K357" s="5"/>
      <c r="L357" s="5"/>
      <c r="M357" s="20"/>
      <c r="N357" s="5"/>
    </row>
    <row r="358" spans="1:14" ht="14.25" customHeight="1" x14ac:dyDescent="0.25">
      <c r="A358" s="5"/>
      <c r="B358" s="5"/>
      <c r="C358" s="5"/>
      <c r="D358" s="5"/>
      <c r="E358" s="5"/>
      <c r="F358" s="5"/>
      <c r="G358" s="5"/>
      <c r="H358" s="5"/>
      <c r="I358" s="5"/>
      <c r="J358" s="5"/>
      <c r="K358" s="5"/>
      <c r="L358" s="5"/>
      <c r="M358" s="20"/>
      <c r="N358" s="5"/>
    </row>
    <row r="359" spans="1:14" ht="14.25" customHeight="1" x14ac:dyDescent="0.25">
      <c r="A359" s="5"/>
      <c r="B359" s="5"/>
      <c r="C359" s="5"/>
      <c r="D359" s="5"/>
      <c r="E359" s="5"/>
      <c r="F359" s="5"/>
      <c r="G359" s="5"/>
      <c r="H359" s="5"/>
      <c r="I359" s="5"/>
      <c r="J359" s="5"/>
      <c r="K359" s="5"/>
      <c r="L359" s="5"/>
      <c r="M359" s="20"/>
      <c r="N359" s="5"/>
    </row>
    <row r="360" spans="1:14" ht="14.25" customHeight="1" x14ac:dyDescent="0.25">
      <c r="A360" s="5"/>
      <c r="B360" s="5"/>
      <c r="C360" s="5"/>
      <c r="D360" s="5"/>
      <c r="E360" s="5"/>
      <c r="F360" s="5"/>
      <c r="G360" s="5"/>
      <c r="H360" s="5"/>
      <c r="I360" s="5"/>
      <c r="J360" s="5"/>
      <c r="K360" s="5"/>
      <c r="L360" s="5"/>
      <c r="M360" s="20"/>
      <c r="N360" s="5"/>
    </row>
    <row r="361" spans="1:14" ht="14.25" customHeight="1" x14ac:dyDescent="0.25">
      <c r="A361" s="5"/>
      <c r="B361" s="5"/>
      <c r="C361" s="5"/>
      <c r="D361" s="5"/>
      <c r="E361" s="5"/>
      <c r="F361" s="5"/>
      <c r="G361" s="5"/>
      <c r="H361" s="5"/>
      <c r="I361" s="5"/>
      <c r="J361" s="5"/>
      <c r="K361" s="5"/>
      <c r="L361" s="5"/>
      <c r="M361" s="20"/>
      <c r="N361" s="5"/>
    </row>
    <row r="362" spans="1:14" ht="14.25" customHeight="1" x14ac:dyDescent="0.25">
      <c r="A362" s="5"/>
      <c r="B362" s="5"/>
      <c r="C362" s="5"/>
      <c r="D362" s="5"/>
      <c r="E362" s="5"/>
      <c r="F362" s="5"/>
      <c r="G362" s="5"/>
      <c r="H362" s="5"/>
      <c r="I362" s="5"/>
      <c r="J362" s="5"/>
      <c r="K362" s="5"/>
      <c r="L362" s="5"/>
      <c r="M362" s="20"/>
      <c r="N362" s="5"/>
    </row>
    <row r="363" spans="1:14" ht="14.25" customHeight="1" x14ac:dyDescent="0.25">
      <c r="A363" s="5"/>
      <c r="B363" s="5"/>
      <c r="C363" s="5"/>
      <c r="D363" s="5"/>
      <c r="E363" s="5"/>
      <c r="F363" s="5"/>
      <c r="G363" s="5"/>
      <c r="H363" s="5"/>
      <c r="I363" s="5"/>
      <c r="J363" s="5"/>
      <c r="K363" s="5"/>
      <c r="L363" s="5"/>
      <c r="M363" s="20"/>
      <c r="N363" s="5"/>
    </row>
    <row r="364" spans="1:14" ht="14.25" customHeight="1" x14ac:dyDescent="0.25">
      <c r="A364" s="5"/>
      <c r="B364" s="5"/>
      <c r="C364" s="5"/>
      <c r="D364" s="5"/>
      <c r="E364" s="5"/>
      <c r="F364" s="5"/>
      <c r="G364" s="5"/>
      <c r="H364" s="5"/>
      <c r="I364" s="5"/>
      <c r="J364" s="5"/>
      <c r="K364" s="5"/>
      <c r="L364" s="5"/>
      <c r="M364" s="20"/>
      <c r="N364" s="5"/>
    </row>
    <row r="365" spans="1:14" ht="14.25" customHeight="1" x14ac:dyDescent="0.25">
      <c r="A365" s="5"/>
      <c r="B365" s="5"/>
      <c r="C365" s="5"/>
      <c r="D365" s="5"/>
      <c r="E365" s="5"/>
      <c r="F365" s="5"/>
      <c r="G365" s="5"/>
      <c r="H365" s="5"/>
      <c r="I365" s="5"/>
      <c r="J365" s="5"/>
      <c r="K365" s="5"/>
      <c r="L365" s="5"/>
      <c r="M365" s="20"/>
      <c r="N365" s="5"/>
    </row>
    <row r="366" spans="1:14" ht="14.25" customHeight="1" x14ac:dyDescent="0.25">
      <c r="A366" s="5"/>
      <c r="B366" s="5"/>
      <c r="C366" s="5"/>
      <c r="D366" s="5"/>
      <c r="E366" s="5"/>
      <c r="F366" s="5"/>
      <c r="G366" s="5"/>
      <c r="H366" s="5"/>
      <c r="I366" s="5"/>
      <c r="J366" s="5"/>
      <c r="K366" s="5"/>
      <c r="L366" s="5"/>
      <c r="M366" s="20"/>
      <c r="N366" s="5"/>
    </row>
    <row r="367" spans="1:14" ht="14.25" customHeight="1" x14ac:dyDescent="0.25">
      <c r="A367" s="5"/>
      <c r="B367" s="5"/>
      <c r="C367" s="5"/>
      <c r="D367" s="5"/>
      <c r="E367" s="5"/>
      <c r="F367" s="5"/>
      <c r="G367" s="5"/>
      <c r="H367" s="5"/>
      <c r="I367" s="5"/>
      <c r="J367" s="5"/>
      <c r="K367" s="5"/>
      <c r="L367" s="5"/>
      <c r="M367" s="20"/>
      <c r="N367" s="5"/>
    </row>
    <row r="368" spans="1:14" ht="14.25" customHeight="1" x14ac:dyDescent="0.25">
      <c r="A368" s="5"/>
      <c r="B368" s="5"/>
      <c r="C368" s="5"/>
      <c r="D368" s="5"/>
      <c r="E368" s="5"/>
      <c r="F368" s="5"/>
      <c r="G368" s="5"/>
      <c r="H368" s="5"/>
      <c r="I368" s="5"/>
      <c r="J368" s="5"/>
      <c r="K368" s="5"/>
      <c r="L368" s="5"/>
      <c r="M368" s="20"/>
      <c r="N368" s="5"/>
    </row>
    <row r="369" spans="1:14" ht="14.25" customHeight="1" x14ac:dyDescent="0.25">
      <c r="A369" s="5"/>
      <c r="B369" s="5"/>
      <c r="C369" s="5"/>
      <c r="D369" s="5"/>
      <c r="E369" s="5"/>
      <c r="F369" s="5"/>
      <c r="G369" s="5"/>
      <c r="H369" s="5"/>
      <c r="I369" s="5"/>
      <c r="J369" s="5"/>
      <c r="K369" s="5"/>
      <c r="L369" s="5"/>
      <c r="M369" s="20"/>
      <c r="N369" s="5"/>
    </row>
    <row r="370" spans="1:14" ht="14.25" customHeight="1" x14ac:dyDescent="0.25">
      <c r="A370" s="5"/>
      <c r="B370" s="5"/>
      <c r="C370" s="5"/>
      <c r="D370" s="5"/>
      <c r="E370" s="5"/>
      <c r="F370" s="5"/>
      <c r="G370" s="5"/>
      <c r="H370" s="5"/>
      <c r="I370" s="5"/>
      <c r="J370" s="5"/>
      <c r="K370" s="5"/>
      <c r="L370" s="5"/>
      <c r="M370" s="20"/>
      <c r="N370" s="5"/>
    </row>
    <row r="371" spans="1:14" ht="14.25" customHeight="1" x14ac:dyDescent="0.25">
      <c r="A371" s="5"/>
      <c r="B371" s="5"/>
      <c r="C371" s="5"/>
      <c r="D371" s="5"/>
      <c r="E371" s="5"/>
      <c r="F371" s="5"/>
      <c r="G371" s="5"/>
      <c r="H371" s="5"/>
      <c r="I371" s="5"/>
      <c r="J371" s="5"/>
      <c r="K371" s="5"/>
      <c r="L371" s="5"/>
      <c r="M371" s="20"/>
      <c r="N371" s="5"/>
    </row>
    <row r="372" spans="1:14" ht="14.25" customHeight="1" x14ac:dyDescent="0.25">
      <c r="A372" s="5"/>
      <c r="B372" s="5"/>
      <c r="C372" s="5"/>
      <c r="D372" s="5"/>
      <c r="E372" s="5"/>
      <c r="F372" s="5"/>
      <c r="G372" s="5"/>
      <c r="H372" s="5"/>
      <c r="I372" s="5"/>
      <c r="J372" s="5"/>
      <c r="K372" s="5"/>
      <c r="L372" s="5"/>
      <c r="M372" s="20"/>
      <c r="N372" s="5"/>
    </row>
    <row r="373" spans="1:14" ht="14.25" customHeight="1" x14ac:dyDescent="0.25">
      <c r="A373" s="5"/>
      <c r="B373" s="5"/>
      <c r="C373" s="5"/>
      <c r="D373" s="5"/>
      <c r="E373" s="5"/>
      <c r="F373" s="5"/>
      <c r="G373" s="5"/>
      <c r="H373" s="5"/>
      <c r="I373" s="5"/>
      <c r="J373" s="5"/>
      <c r="K373" s="5"/>
      <c r="L373" s="5"/>
      <c r="M373" s="20"/>
      <c r="N373" s="5"/>
    </row>
    <row r="374" spans="1:14" ht="14.25" customHeight="1" x14ac:dyDescent="0.25">
      <c r="A374" s="5"/>
      <c r="B374" s="5"/>
      <c r="C374" s="5"/>
      <c r="D374" s="5"/>
      <c r="E374" s="5"/>
      <c r="F374" s="5"/>
      <c r="G374" s="5"/>
      <c r="H374" s="5"/>
      <c r="I374" s="5"/>
      <c r="J374" s="5"/>
      <c r="K374" s="5"/>
      <c r="L374" s="5"/>
      <c r="M374" s="20"/>
      <c r="N374" s="5"/>
    </row>
    <row r="375" spans="1:14" ht="14.25" customHeight="1" x14ac:dyDescent="0.25">
      <c r="A375" s="5"/>
      <c r="B375" s="5"/>
      <c r="C375" s="5"/>
      <c r="D375" s="5"/>
      <c r="E375" s="5"/>
      <c r="F375" s="5"/>
      <c r="G375" s="5"/>
      <c r="H375" s="5"/>
      <c r="I375" s="5"/>
      <c r="J375" s="5"/>
      <c r="K375" s="5"/>
      <c r="L375" s="5"/>
      <c r="M375" s="20"/>
      <c r="N375" s="5"/>
    </row>
    <row r="376" spans="1:14" ht="14.25" customHeight="1" x14ac:dyDescent="0.25">
      <c r="A376" s="5"/>
      <c r="B376" s="5"/>
      <c r="C376" s="5"/>
      <c r="D376" s="5"/>
      <c r="E376" s="5"/>
      <c r="F376" s="5"/>
      <c r="G376" s="5"/>
      <c r="H376" s="5"/>
      <c r="I376" s="5"/>
      <c r="J376" s="5"/>
      <c r="K376" s="5"/>
      <c r="L376" s="5"/>
      <c r="M376" s="20"/>
      <c r="N376" s="5"/>
    </row>
    <row r="377" spans="1:14" ht="14.25" customHeight="1" x14ac:dyDescent="0.25">
      <c r="A377" s="5"/>
      <c r="B377" s="5"/>
      <c r="C377" s="5"/>
      <c r="D377" s="5"/>
      <c r="E377" s="5"/>
      <c r="F377" s="5"/>
      <c r="G377" s="5"/>
      <c r="H377" s="5"/>
      <c r="I377" s="5"/>
      <c r="J377" s="5"/>
      <c r="K377" s="5"/>
      <c r="L377" s="5"/>
      <c r="M377" s="20"/>
      <c r="N377" s="5"/>
    </row>
    <row r="378" spans="1:14" ht="14.25" customHeight="1" x14ac:dyDescent="0.25">
      <c r="A378" s="5"/>
      <c r="B378" s="5"/>
      <c r="C378" s="5"/>
      <c r="D378" s="5"/>
      <c r="E378" s="5"/>
      <c r="F378" s="5"/>
      <c r="G378" s="5"/>
      <c r="H378" s="5"/>
      <c r="I378" s="5"/>
      <c r="J378" s="5"/>
      <c r="K378" s="5"/>
      <c r="L378" s="5"/>
      <c r="M378" s="20"/>
      <c r="N378" s="5"/>
    </row>
    <row r="379" spans="1:14" ht="14.25" customHeight="1" x14ac:dyDescent="0.25">
      <c r="A379" s="5"/>
      <c r="B379" s="5"/>
      <c r="C379" s="5"/>
      <c r="D379" s="5"/>
      <c r="E379" s="5"/>
      <c r="F379" s="5"/>
      <c r="G379" s="5"/>
      <c r="H379" s="5"/>
      <c r="I379" s="5"/>
      <c r="J379" s="5"/>
      <c r="K379" s="5"/>
      <c r="L379" s="5"/>
      <c r="M379" s="20"/>
      <c r="N379" s="5"/>
    </row>
    <row r="380" spans="1:14" ht="14.25" customHeight="1" x14ac:dyDescent="0.25">
      <c r="A380" s="5"/>
      <c r="B380" s="5"/>
      <c r="C380" s="5"/>
      <c r="D380" s="5"/>
      <c r="E380" s="5"/>
      <c r="F380" s="5"/>
      <c r="G380" s="5"/>
      <c r="H380" s="5"/>
      <c r="I380" s="5"/>
      <c r="J380" s="5"/>
      <c r="K380" s="5"/>
      <c r="L380" s="5"/>
      <c r="M380" s="20"/>
      <c r="N380" s="5"/>
    </row>
    <row r="381" spans="1:14" ht="14.25" customHeight="1" x14ac:dyDescent="0.25">
      <c r="A381" s="5"/>
      <c r="B381" s="5"/>
      <c r="C381" s="5"/>
      <c r="D381" s="5"/>
      <c r="E381" s="5"/>
      <c r="F381" s="5"/>
      <c r="G381" s="5"/>
      <c r="H381" s="5"/>
      <c r="I381" s="5"/>
      <c r="J381" s="5"/>
      <c r="K381" s="5"/>
      <c r="L381" s="5"/>
      <c r="M381" s="20"/>
      <c r="N381" s="5"/>
    </row>
    <row r="382" spans="1:14" ht="14.25" customHeight="1" x14ac:dyDescent="0.25">
      <c r="A382" s="5"/>
      <c r="B382" s="5"/>
      <c r="C382" s="5"/>
      <c r="D382" s="5"/>
      <c r="E382" s="5"/>
      <c r="F382" s="5"/>
      <c r="G382" s="5"/>
      <c r="H382" s="5"/>
      <c r="I382" s="5"/>
      <c r="J382" s="5"/>
      <c r="K382" s="5"/>
      <c r="L382" s="5"/>
      <c r="M382" s="20"/>
      <c r="N382" s="5"/>
    </row>
    <row r="383" spans="1:14" ht="14.25" customHeight="1" x14ac:dyDescent="0.25">
      <c r="A383" s="5"/>
      <c r="B383" s="5"/>
      <c r="C383" s="5"/>
      <c r="D383" s="5"/>
      <c r="E383" s="5"/>
      <c r="F383" s="5"/>
      <c r="G383" s="5"/>
      <c r="H383" s="5"/>
      <c r="I383" s="5"/>
      <c r="J383" s="5"/>
      <c r="K383" s="5"/>
      <c r="L383" s="5"/>
      <c r="M383" s="20"/>
      <c r="N383" s="5"/>
    </row>
    <row r="384" spans="1:14" ht="14.25" customHeight="1" x14ac:dyDescent="0.25">
      <c r="A384" s="5"/>
      <c r="B384" s="5"/>
      <c r="C384" s="5"/>
      <c r="D384" s="5"/>
      <c r="E384" s="5"/>
      <c r="F384" s="5"/>
      <c r="G384" s="5"/>
      <c r="H384" s="5"/>
      <c r="I384" s="5"/>
      <c r="J384" s="5"/>
      <c r="K384" s="5"/>
      <c r="L384" s="5"/>
      <c r="M384" s="20"/>
      <c r="N384" s="5"/>
    </row>
    <row r="385" spans="1:14" ht="14.25" customHeight="1" x14ac:dyDescent="0.25">
      <c r="A385" s="5"/>
      <c r="B385" s="5"/>
      <c r="C385" s="5"/>
      <c r="D385" s="5"/>
      <c r="E385" s="5"/>
      <c r="F385" s="5"/>
      <c r="G385" s="5"/>
      <c r="H385" s="5"/>
      <c r="I385" s="5"/>
      <c r="J385" s="5"/>
      <c r="K385" s="5"/>
      <c r="L385" s="5"/>
      <c r="M385" s="20"/>
      <c r="N385" s="5"/>
    </row>
    <row r="386" spans="1:14" ht="14.25" customHeight="1" x14ac:dyDescent="0.25">
      <c r="A386" s="5"/>
      <c r="B386" s="5"/>
      <c r="C386" s="5"/>
      <c r="D386" s="5"/>
      <c r="E386" s="5"/>
      <c r="F386" s="5"/>
      <c r="G386" s="5"/>
      <c r="H386" s="5"/>
      <c r="I386" s="5"/>
      <c r="J386" s="5"/>
      <c r="K386" s="5"/>
      <c r="L386" s="5"/>
      <c r="M386" s="20"/>
      <c r="N386" s="5"/>
    </row>
    <row r="387" spans="1:14" ht="14.25" customHeight="1" x14ac:dyDescent="0.25">
      <c r="A387" s="5"/>
      <c r="B387" s="5"/>
      <c r="C387" s="5"/>
      <c r="D387" s="5"/>
      <c r="E387" s="5"/>
      <c r="F387" s="5"/>
      <c r="G387" s="5"/>
      <c r="H387" s="5"/>
      <c r="I387" s="5"/>
      <c r="J387" s="5"/>
      <c r="K387" s="5"/>
      <c r="L387" s="5"/>
      <c r="M387" s="20"/>
      <c r="N387" s="5"/>
    </row>
    <row r="388" spans="1:14" ht="14.25" customHeight="1" x14ac:dyDescent="0.25">
      <c r="A388" s="5"/>
      <c r="B388" s="5"/>
      <c r="C388" s="5"/>
      <c r="D388" s="5"/>
      <c r="E388" s="5"/>
      <c r="F388" s="5"/>
      <c r="G388" s="5"/>
      <c r="H388" s="5"/>
      <c r="I388" s="5"/>
      <c r="J388" s="5"/>
      <c r="K388" s="5"/>
      <c r="L388" s="5"/>
      <c r="M388" s="20"/>
      <c r="N388" s="5"/>
    </row>
    <row r="389" spans="1:14" ht="14.25" customHeight="1" x14ac:dyDescent="0.25">
      <c r="A389" s="5"/>
      <c r="B389" s="5"/>
      <c r="C389" s="5"/>
      <c r="D389" s="5"/>
      <c r="E389" s="5"/>
      <c r="F389" s="5"/>
      <c r="G389" s="5"/>
      <c r="H389" s="5"/>
      <c r="I389" s="5"/>
      <c r="J389" s="5"/>
      <c r="K389" s="5"/>
      <c r="L389" s="5"/>
      <c r="M389" s="20"/>
      <c r="N389" s="5"/>
    </row>
    <row r="390" spans="1:14" ht="14.25" customHeight="1" x14ac:dyDescent="0.25">
      <c r="A390" s="5"/>
      <c r="B390" s="5"/>
      <c r="C390" s="5"/>
      <c r="D390" s="5"/>
      <c r="E390" s="5"/>
      <c r="F390" s="5"/>
      <c r="G390" s="5"/>
      <c r="H390" s="5"/>
      <c r="I390" s="5"/>
      <c r="J390" s="5"/>
      <c r="K390" s="5"/>
      <c r="L390" s="5"/>
      <c r="M390" s="20"/>
      <c r="N390" s="5"/>
    </row>
    <row r="391" spans="1:14" ht="14.25" customHeight="1" x14ac:dyDescent="0.25">
      <c r="A391" s="5"/>
      <c r="B391" s="5"/>
      <c r="C391" s="5"/>
      <c r="D391" s="5"/>
      <c r="E391" s="5"/>
      <c r="F391" s="5"/>
      <c r="G391" s="5"/>
      <c r="H391" s="5"/>
      <c r="I391" s="5"/>
      <c r="J391" s="5"/>
      <c r="K391" s="5"/>
      <c r="L391" s="5"/>
      <c r="M391" s="20"/>
      <c r="N391" s="5"/>
    </row>
    <row r="392" spans="1:14" ht="14.25" customHeight="1" x14ac:dyDescent="0.25">
      <c r="A392" s="5"/>
      <c r="B392" s="5"/>
      <c r="C392" s="5"/>
      <c r="D392" s="5"/>
      <c r="E392" s="5"/>
      <c r="F392" s="5"/>
      <c r="G392" s="5"/>
      <c r="H392" s="5"/>
      <c r="I392" s="5"/>
      <c r="J392" s="5"/>
      <c r="K392" s="5"/>
      <c r="L392" s="5"/>
      <c r="M392" s="20"/>
      <c r="N392" s="5"/>
    </row>
    <row r="393" spans="1:14" ht="14.25" customHeight="1" x14ac:dyDescent="0.25">
      <c r="A393" s="5"/>
      <c r="B393" s="5"/>
      <c r="C393" s="5"/>
      <c r="D393" s="5"/>
      <c r="E393" s="5"/>
      <c r="F393" s="5"/>
      <c r="G393" s="5"/>
      <c r="H393" s="5"/>
      <c r="I393" s="5"/>
      <c r="J393" s="5"/>
      <c r="K393" s="5"/>
      <c r="L393" s="5"/>
      <c r="M393" s="20"/>
      <c r="N393" s="5"/>
    </row>
    <row r="394" spans="1:14" ht="14.25" customHeight="1" x14ac:dyDescent="0.25">
      <c r="A394" s="5"/>
      <c r="B394" s="5"/>
      <c r="C394" s="5"/>
      <c r="D394" s="5"/>
      <c r="E394" s="5"/>
      <c r="F394" s="5"/>
      <c r="G394" s="5"/>
      <c r="H394" s="5"/>
      <c r="I394" s="5"/>
      <c r="J394" s="5"/>
      <c r="K394" s="5"/>
      <c r="L394" s="5"/>
      <c r="M394" s="20"/>
      <c r="N394" s="5"/>
    </row>
    <row r="395" spans="1:14" ht="14.25" customHeight="1" x14ac:dyDescent="0.25">
      <c r="A395" s="5"/>
      <c r="B395" s="5"/>
      <c r="C395" s="5"/>
      <c r="D395" s="5"/>
      <c r="E395" s="5"/>
      <c r="F395" s="5"/>
      <c r="G395" s="5"/>
      <c r="H395" s="5"/>
      <c r="I395" s="5"/>
      <c r="J395" s="5"/>
      <c r="K395" s="5"/>
      <c r="L395" s="5"/>
      <c r="M395" s="20"/>
      <c r="N395" s="5"/>
    </row>
    <row r="396" spans="1:14" ht="14.25" customHeight="1" x14ac:dyDescent="0.25">
      <c r="A396" s="5"/>
      <c r="B396" s="5"/>
      <c r="C396" s="5"/>
      <c r="D396" s="5"/>
      <c r="E396" s="5"/>
      <c r="F396" s="5"/>
      <c r="G396" s="5"/>
      <c r="H396" s="5"/>
      <c r="I396" s="5"/>
      <c r="J396" s="5"/>
      <c r="K396" s="5"/>
      <c r="L396" s="5"/>
      <c r="M396" s="20"/>
      <c r="N396" s="5"/>
    </row>
    <row r="397" spans="1:14" ht="14.25" customHeight="1" x14ac:dyDescent="0.25">
      <c r="A397" s="5"/>
      <c r="B397" s="5"/>
      <c r="C397" s="5"/>
      <c r="D397" s="5"/>
      <c r="E397" s="5"/>
      <c r="F397" s="5"/>
      <c r="G397" s="5"/>
      <c r="H397" s="5"/>
      <c r="I397" s="5"/>
      <c r="J397" s="5"/>
      <c r="K397" s="5"/>
      <c r="L397" s="5"/>
      <c r="M397" s="20"/>
      <c r="N397" s="5"/>
    </row>
    <row r="398" spans="1:14" ht="14.25" customHeight="1" x14ac:dyDescent="0.25">
      <c r="A398" s="5"/>
      <c r="B398" s="5"/>
      <c r="C398" s="5"/>
      <c r="D398" s="5"/>
      <c r="E398" s="5"/>
      <c r="F398" s="5"/>
      <c r="G398" s="5"/>
      <c r="H398" s="5"/>
      <c r="I398" s="5"/>
      <c r="J398" s="5"/>
      <c r="K398" s="5"/>
      <c r="L398" s="5"/>
      <c r="M398" s="20"/>
      <c r="N398" s="5"/>
    </row>
    <row r="399" spans="1:14" ht="14.25" customHeight="1" x14ac:dyDescent="0.25">
      <c r="A399" s="5"/>
      <c r="B399" s="5"/>
      <c r="C399" s="5"/>
      <c r="D399" s="5"/>
      <c r="E399" s="5"/>
      <c r="F399" s="5"/>
      <c r="G399" s="5"/>
      <c r="H399" s="5"/>
      <c r="I399" s="5"/>
      <c r="J399" s="5"/>
      <c r="K399" s="5"/>
      <c r="L399" s="5"/>
      <c r="M399" s="20"/>
      <c r="N399" s="5"/>
    </row>
    <row r="400" spans="1:14" ht="14.25" customHeight="1" x14ac:dyDescent="0.25">
      <c r="A400" s="5"/>
      <c r="B400" s="5"/>
      <c r="C400" s="5"/>
      <c r="D400" s="5"/>
      <c r="E400" s="5"/>
      <c r="F400" s="5"/>
      <c r="G400" s="5"/>
      <c r="H400" s="5"/>
      <c r="I400" s="5"/>
      <c r="J400" s="5"/>
      <c r="K400" s="5"/>
      <c r="L400" s="5"/>
      <c r="M400" s="20"/>
      <c r="N400" s="5"/>
    </row>
    <row r="401" spans="1:14" ht="14.25" customHeight="1" x14ac:dyDescent="0.25">
      <c r="A401" s="5"/>
      <c r="B401" s="5"/>
      <c r="C401" s="5"/>
      <c r="D401" s="5"/>
      <c r="E401" s="5"/>
      <c r="F401" s="5"/>
      <c r="G401" s="5"/>
      <c r="H401" s="5"/>
      <c r="I401" s="5"/>
      <c r="J401" s="5"/>
      <c r="K401" s="5"/>
      <c r="L401" s="5"/>
      <c r="M401" s="20"/>
      <c r="N401" s="5"/>
    </row>
    <row r="402" spans="1:14" ht="14.25" customHeight="1" x14ac:dyDescent="0.25">
      <c r="A402" s="5"/>
      <c r="B402" s="5"/>
      <c r="C402" s="5"/>
      <c r="D402" s="5"/>
      <c r="E402" s="5"/>
      <c r="F402" s="5"/>
      <c r="G402" s="5"/>
      <c r="H402" s="5"/>
      <c r="I402" s="5"/>
      <c r="J402" s="5"/>
      <c r="K402" s="5"/>
      <c r="L402" s="5"/>
      <c r="M402" s="20"/>
      <c r="N402" s="5"/>
    </row>
    <row r="403" spans="1:14" ht="14.25" customHeight="1" x14ac:dyDescent="0.25">
      <c r="A403" s="5"/>
      <c r="B403" s="5"/>
      <c r="C403" s="5"/>
      <c r="D403" s="5"/>
      <c r="E403" s="5"/>
      <c r="F403" s="5"/>
      <c r="G403" s="5"/>
      <c r="H403" s="5"/>
      <c r="I403" s="5"/>
      <c r="J403" s="5"/>
      <c r="K403" s="5"/>
      <c r="L403" s="5"/>
      <c r="M403" s="20"/>
      <c r="N403" s="5"/>
    </row>
    <row r="404" spans="1:14" ht="14.25" customHeight="1" x14ac:dyDescent="0.25">
      <c r="A404" s="5"/>
      <c r="B404" s="5"/>
      <c r="C404" s="5"/>
      <c r="D404" s="5"/>
      <c r="E404" s="5"/>
      <c r="F404" s="5"/>
      <c r="G404" s="5"/>
      <c r="H404" s="5"/>
      <c r="I404" s="5"/>
      <c r="J404" s="5"/>
      <c r="K404" s="5"/>
      <c r="L404" s="5"/>
      <c r="M404" s="20"/>
      <c r="N404" s="5"/>
    </row>
    <row r="405" spans="1:14" ht="14.25" customHeight="1" x14ac:dyDescent="0.25">
      <c r="A405" s="5"/>
      <c r="B405" s="5"/>
      <c r="C405" s="5"/>
      <c r="D405" s="5"/>
      <c r="E405" s="5"/>
      <c r="F405" s="5"/>
      <c r="G405" s="5"/>
      <c r="H405" s="5"/>
      <c r="I405" s="5"/>
      <c r="J405" s="5"/>
      <c r="K405" s="5"/>
      <c r="L405" s="5"/>
      <c r="M405" s="20"/>
      <c r="N405" s="5"/>
    </row>
    <row r="406" spans="1:14" ht="14.25" customHeight="1" x14ac:dyDescent="0.25">
      <c r="A406" s="5"/>
      <c r="B406" s="5"/>
      <c r="C406" s="5"/>
      <c r="D406" s="5"/>
      <c r="E406" s="5"/>
      <c r="F406" s="5"/>
      <c r="G406" s="5"/>
      <c r="H406" s="5"/>
      <c r="I406" s="5"/>
      <c r="J406" s="5"/>
      <c r="K406" s="5"/>
      <c r="L406" s="5"/>
      <c r="M406" s="20"/>
      <c r="N406" s="5"/>
    </row>
    <row r="407" spans="1:14" ht="14.25" customHeight="1" x14ac:dyDescent="0.25">
      <c r="A407" s="5"/>
      <c r="B407" s="5"/>
      <c r="C407" s="5"/>
      <c r="D407" s="5"/>
      <c r="E407" s="5"/>
      <c r="F407" s="5"/>
      <c r="G407" s="5"/>
      <c r="H407" s="5"/>
      <c r="I407" s="5"/>
      <c r="J407" s="5"/>
      <c r="K407" s="5"/>
      <c r="L407" s="5"/>
      <c r="M407" s="20"/>
      <c r="N407" s="5"/>
    </row>
    <row r="408" spans="1:14" ht="14.25" customHeight="1" x14ac:dyDescent="0.25">
      <c r="A408" s="5"/>
      <c r="B408" s="5"/>
      <c r="C408" s="5"/>
      <c r="D408" s="5"/>
      <c r="E408" s="5"/>
      <c r="F408" s="5"/>
      <c r="G408" s="5"/>
      <c r="H408" s="5"/>
      <c r="I408" s="5"/>
      <c r="J408" s="5"/>
      <c r="K408" s="5"/>
      <c r="L408" s="5"/>
      <c r="M408" s="20"/>
      <c r="N408" s="5"/>
    </row>
    <row r="409" spans="1:14" ht="14.25" customHeight="1" x14ac:dyDescent="0.25">
      <c r="A409" s="5"/>
      <c r="B409" s="5"/>
      <c r="C409" s="5"/>
      <c r="D409" s="5"/>
      <c r="E409" s="5"/>
      <c r="F409" s="5"/>
      <c r="G409" s="5"/>
      <c r="H409" s="5"/>
      <c r="I409" s="5"/>
      <c r="J409" s="5"/>
      <c r="K409" s="5"/>
      <c r="L409" s="5"/>
      <c r="M409" s="20"/>
      <c r="N409" s="5"/>
    </row>
    <row r="410" spans="1:14" ht="14.25" customHeight="1" x14ac:dyDescent="0.25">
      <c r="A410" s="5"/>
      <c r="B410" s="5"/>
      <c r="C410" s="5"/>
      <c r="D410" s="5"/>
      <c r="E410" s="5"/>
      <c r="F410" s="5"/>
      <c r="G410" s="5"/>
      <c r="H410" s="5"/>
      <c r="I410" s="5"/>
      <c r="J410" s="5"/>
      <c r="K410" s="5"/>
      <c r="L410" s="5"/>
      <c r="M410" s="20"/>
      <c r="N410" s="5"/>
    </row>
    <row r="411" spans="1:14" ht="14.25" customHeight="1" x14ac:dyDescent="0.25">
      <c r="A411" s="5"/>
      <c r="B411" s="5"/>
      <c r="C411" s="5"/>
      <c r="D411" s="5"/>
      <c r="E411" s="5"/>
      <c r="F411" s="5"/>
      <c r="G411" s="5"/>
      <c r="H411" s="5"/>
      <c r="I411" s="5"/>
      <c r="J411" s="5"/>
      <c r="K411" s="5"/>
      <c r="L411" s="5"/>
      <c r="M411" s="20"/>
      <c r="N411" s="5"/>
    </row>
    <row r="412" spans="1:14" ht="14.25" customHeight="1" x14ac:dyDescent="0.25">
      <c r="A412" s="5"/>
      <c r="B412" s="5"/>
      <c r="C412" s="5"/>
      <c r="D412" s="5"/>
      <c r="E412" s="5"/>
      <c r="F412" s="5"/>
      <c r="G412" s="5"/>
      <c r="H412" s="5"/>
      <c r="I412" s="5"/>
      <c r="J412" s="5"/>
      <c r="K412" s="5"/>
      <c r="L412" s="5"/>
      <c r="M412" s="20"/>
      <c r="N412" s="5"/>
    </row>
    <row r="413" spans="1:14" ht="14.25" customHeight="1" x14ac:dyDescent="0.25">
      <c r="A413" s="5"/>
      <c r="B413" s="5"/>
      <c r="C413" s="5"/>
      <c r="D413" s="5"/>
      <c r="E413" s="5"/>
      <c r="F413" s="5"/>
      <c r="G413" s="5"/>
      <c r="H413" s="5"/>
      <c r="I413" s="5"/>
      <c r="J413" s="5"/>
      <c r="K413" s="5"/>
      <c r="L413" s="5"/>
      <c r="M413" s="20"/>
      <c r="N413" s="5"/>
    </row>
    <row r="414" spans="1:14" ht="14.25" customHeight="1" x14ac:dyDescent="0.25">
      <c r="A414" s="5"/>
      <c r="B414" s="5"/>
      <c r="C414" s="5"/>
      <c r="D414" s="5"/>
      <c r="E414" s="5"/>
      <c r="F414" s="5"/>
      <c r="G414" s="5"/>
      <c r="H414" s="5"/>
      <c r="I414" s="5"/>
      <c r="J414" s="5"/>
      <c r="K414" s="5"/>
      <c r="L414" s="5"/>
      <c r="M414" s="20"/>
      <c r="N414" s="5"/>
    </row>
    <row r="415" spans="1:14" ht="14.25" customHeight="1" x14ac:dyDescent="0.25">
      <c r="A415" s="5"/>
      <c r="B415" s="5"/>
      <c r="C415" s="5"/>
      <c r="D415" s="5"/>
      <c r="E415" s="5"/>
      <c r="F415" s="5"/>
      <c r="G415" s="5"/>
      <c r="H415" s="5"/>
      <c r="I415" s="5"/>
      <c r="J415" s="5"/>
      <c r="K415" s="5"/>
      <c r="L415" s="5"/>
      <c r="M415" s="20"/>
      <c r="N415" s="5"/>
    </row>
    <row r="416" spans="1:14" ht="14.25" customHeight="1" x14ac:dyDescent="0.25">
      <c r="A416" s="5"/>
      <c r="B416" s="5"/>
      <c r="C416" s="5"/>
      <c r="D416" s="5"/>
      <c r="E416" s="5"/>
      <c r="F416" s="5"/>
      <c r="G416" s="5"/>
      <c r="H416" s="5"/>
      <c r="I416" s="5"/>
      <c r="J416" s="5"/>
      <c r="K416" s="5"/>
      <c r="L416" s="5"/>
      <c r="M416" s="20"/>
      <c r="N416" s="5"/>
    </row>
    <row r="417" spans="1:14" ht="14.25" customHeight="1" x14ac:dyDescent="0.25">
      <c r="A417" s="5"/>
      <c r="B417" s="5"/>
      <c r="C417" s="5"/>
      <c r="D417" s="5"/>
      <c r="E417" s="5"/>
      <c r="F417" s="5"/>
      <c r="G417" s="5"/>
      <c r="H417" s="5"/>
      <c r="I417" s="5"/>
      <c r="J417" s="5"/>
      <c r="K417" s="5"/>
      <c r="L417" s="5"/>
      <c r="M417" s="20"/>
      <c r="N417" s="5"/>
    </row>
    <row r="418" spans="1:14" ht="14.25" customHeight="1" x14ac:dyDescent="0.25">
      <c r="A418" s="5"/>
      <c r="B418" s="5"/>
      <c r="C418" s="5"/>
      <c r="D418" s="5"/>
      <c r="E418" s="5"/>
      <c r="F418" s="5"/>
      <c r="G418" s="5"/>
      <c r="H418" s="5"/>
      <c r="I418" s="5"/>
      <c r="J418" s="5"/>
      <c r="K418" s="5"/>
      <c r="L418" s="5"/>
      <c r="M418" s="20"/>
      <c r="N418" s="5"/>
    </row>
    <row r="419" spans="1:14" ht="14.25" customHeight="1" x14ac:dyDescent="0.25">
      <c r="A419" s="5"/>
      <c r="B419" s="5"/>
      <c r="C419" s="5"/>
      <c r="D419" s="5"/>
      <c r="E419" s="5"/>
      <c r="F419" s="5"/>
      <c r="G419" s="5"/>
      <c r="H419" s="5"/>
      <c r="I419" s="5"/>
      <c r="J419" s="5"/>
      <c r="K419" s="5"/>
      <c r="L419" s="5"/>
      <c r="M419" s="20"/>
      <c r="N419" s="5"/>
    </row>
    <row r="420" spans="1:14" ht="14.25" customHeight="1" x14ac:dyDescent="0.25">
      <c r="A420" s="5"/>
      <c r="B420" s="5"/>
      <c r="C420" s="5"/>
      <c r="D420" s="5"/>
      <c r="E420" s="5"/>
      <c r="F420" s="5"/>
      <c r="G420" s="5"/>
      <c r="H420" s="5"/>
      <c r="I420" s="5"/>
      <c r="J420" s="5"/>
      <c r="K420" s="5"/>
      <c r="L420" s="5"/>
      <c r="M420" s="20"/>
      <c r="N420" s="5"/>
    </row>
    <row r="421" spans="1:14" ht="14.25" customHeight="1" x14ac:dyDescent="0.25">
      <c r="A421" s="5"/>
      <c r="B421" s="5"/>
      <c r="C421" s="5"/>
      <c r="D421" s="5"/>
      <c r="E421" s="5"/>
      <c r="F421" s="5"/>
      <c r="G421" s="5"/>
      <c r="H421" s="5"/>
      <c r="I421" s="5"/>
      <c r="J421" s="5"/>
      <c r="K421" s="5"/>
      <c r="L421" s="5"/>
      <c r="M421" s="20"/>
      <c r="N421" s="5"/>
    </row>
    <row r="422" spans="1:14" ht="14.25" customHeight="1" x14ac:dyDescent="0.25">
      <c r="A422" s="5"/>
      <c r="B422" s="5"/>
      <c r="C422" s="5"/>
      <c r="D422" s="5"/>
      <c r="E422" s="5"/>
      <c r="F422" s="5"/>
      <c r="G422" s="5"/>
      <c r="H422" s="5"/>
      <c r="I422" s="5"/>
      <c r="J422" s="5"/>
      <c r="K422" s="5"/>
      <c r="L422" s="5"/>
      <c r="M422" s="20"/>
      <c r="N422" s="5"/>
    </row>
    <row r="423" spans="1:14" ht="14.25" customHeight="1" x14ac:dyDescent="0.25">
      <c r="A423" s="5"/>
      <c r="B423" s="5"/>
      <c r="C423" s="5"/>
      <c r="D423" s="5"/>
      <c r="E423" s="5"/>
      <c r="F423" s="5"/>
      <c r="G423" s="5"/>
      <c r="H423" s="5"/>
      <c r="I423" s="5"/>
      <c r="J423" s="5"/>
      <c r="K423" s="5"/>
      <c r="L423" s="5"/>
      <c r="M423" s="20"/>
      <c r="N423" s="5"/>
    </row>
    <row r="424" spans="1:14" ht="14.25" customHeight="1" x14ac:dyDescent="0.25">
      <c r="A424" s="5"/>
      <c r="B424" s="5"/>
      <c r="C424" s="5"/>
      <c r="D424" s="5"/>
      <c r="E424" s="5"/>
      <c r="F424" s="5"/>
      <c r="G424" s="5"/>
      <c r="H424" s="5"/>
      <c r="I424" s="5"/>
      <c r="J424" s="5"/>
      <c r="K424" s="5"/>
      <c r="L424" s="5"/>
      <c r="M424" s="20"/>
      <c r="N424" s="5"/>
    </row>
    <row r="425" spans="1:14" ht="14.25" customHeight="1" x14ac:dyDescent="0.25">
      <c r="A425" s="5"/>
      <c r="B425" s="5"/>
      <c r="C425" s="5"/>
      <c r="D425" s="5"/>
      <c r="E425" s="5"/>
      <c r="F425" s="5"/>
      <c r="G425" s="5"/>
      <c r="H425" s="5"/>
      <c r="I425" s="5"/>
      <c r="J425" s="5"/>
      <c r="K425" s="5"/>
      <c r="L425" s="5"/>
      <c r="M425" s="20"/>
      <c r="N425" s="5"/>
    </row>
    <row r="426" spans="1:14" ht="14.25" customHeight="1" x14ac:dyDescent="0.25">
      <c r="A426" s="5"/>
      <c r="B426" s="5"/>
      <c r="C426" s="5"/>
      <c r="D426" s="5"/>
      <c r="E426" s="5"/>
      <c r="F426" s="5"/>
      <c r="G426" s="5"/>
      <c r="H426" s="5"/>
      <c r="I426" s="5"/>
      <c r="J426" s="5"/>
      <c r="K426" s="5"/>
      <c r="L426" s="5"/>
      <c r="M426" s="20"/>
      <c r="N426" s="5"/>
    </row>
    <row r="427" spans="1:14" ht="14.25" customHeight="1" x14ac:dyDescent="0.25">
      <c r="A427" s="5"/>
      <c r="B427" s="5"/>
      <c r="C427" s="5"/>
      <c r="D427" s="5"/>
      <c r="E427" s="5"/>
      <c r="F427" s="5"/>
      <c r="G427" s="5"/>
      <c r="H427" s="5"/>
      <c r="I427" s="5"/>
      <c r="J427" s="5"/>
      <c r="K427" s="5"/>
      <c r="L427" s="5"/>
      <c r="M427" s="20"/>
      <c r="N427" s="5"/>
    </row>
    <row r="428" spans="1:14" ht="14.25" customHeight="1" x14ac:dyDescent="0.25">
      <c r="A428" s="5"/>
      <c r="B428" s="5"/>
      <c r="C428" s="5"/>
      <c r="D428" s="5"/>
      <c r="E428" s="5"/>
      <c r="F428" s="5"/>
      <c r="G428" s="5"/>
      <c r="H428" s="5"/>
      <c r="I428" s="5"/>
      <c r="J428" s="5"/>
      <c r="K428" s="5"/>
      <c r="L428" s="5"/>
      <c r="M428" s="20"/>
      <c r="N428" s="5"/>
    </row>
    <row r="429" spans="1:14" ht="14.25" customHeight="1" x14ac:dyDescent="0.25">
      <c r="A429" s="5"/>
      <c r="B429" s="5"/>
      <c r="C429" s="5"/>
      <c r="D429" s="5"/>
      <c r="E429" s="5"/>
      <c r="F429" s="5"/>
      <c r="G429" s="5"/>
      <c r="H429" s="5"/>
      <c r="I429" s="5"/>
      <c r="J429" s="5"/>
      <c r="K429" s="5"/>
      <c r="L429" s="5"/>
      <c r="M429" s="20"/>
      <c r="N429" s="5"/>
    </row>
    <row r="430" spans="1:14" ht="14.25" customHeight="1" x14ac:dyDescent="0.25">
      <c r="A430" s="5"/>
      <c r="B430" s="5"/>
      <c r="C430" s="5"/>
      <c r="D430" s="5"/>
      <c r="E430" s="5"/>
      <c r="F430" s="5"/>
      <c r="G430" s="5"/>
      <c r="H430" s="5"/>
      <c r="I430" s="5"/>
      <c r="J430" s="5"/>
      <c r="K430" s="5"/>
      <c r="L430" s="5"/>
      <c r="M430" s="20"/>
      <c r="N430" s="5"/>
    </row>
    <row r="431" spans="1:14" ht="14.25" customHeight="1" x14ac:dyDescent="0.25">
      <c r="A431" s="5"/>
      <c r="B431" s="5"/>
      <c r="C431" s="5"/>
      <c r="D431" s="5"/>
      <c r="E431" s="5"/>
      <c r="F431" s="5"/>
      <c r="G431" s="5"/>
      <c r="H431" s="5"/>
      <c r="I431" s="5"/>
      <c r="J431" s="5"/>
      <c r="K431" s="5"/>
      <c r="L431" s="5"/>
      <c r="M431" s="20"/>
      <c r="N431" s="5"/>
    </row>
    <row r="432" spans="1:14" ht="14.25" customHeight="1" x14ac:dyDescent="0.25">
      <c r="A432" s="5"/>
      <c r="B432" s="5"/>
      <c r="C432" s="5"/>
      <c r="D432" s="5"/>
      <c r="E432" s="5"/>
      <c r="F432" s="5"/>
      <c r="G432" s="5"/>
      <c r="H432" s="5"/>
      <c r="I432" s="5"/>
      <c r="J432" s="5"/>
      <c r="K432" s="5"/>
      <c r="L432" s="5"/>
      <c r="M432" s="20"/>
      <c r="N432" s="5"/>
    </row>
    <row r="433" spans="1:14" ht="14.25" customHeight="1" x14ac:dyDescent="0.25">
      <c r="A433" s="5"/>
      <c r="B433" s="5"/>
      <c r="C433" s="5"/>
      <c r="D433" s="5"/>
      <c r="E433" s="5"/>
      <c r="F433" s="5"/>
      <c r="G433" s="5"/>
      <c r="H433" s="5"/>
      <c r="I433" s="5"/>
      <c r="J433" s="5"/>
      <c r="K433" s="5"/>
      <c r="L433" s="5"/>
      <c r="M433" s="20"/>
      <c r="N433" s="5"/>
    </row>
    <row r="434" spans="1:14" ht="14.25" customHeight="1" x14ac:dyDescent="0.25">
      <c r="A434" s="5"/>
      <c r="B434" s="5"/>
      <c r="C434" s="5"/>
      <c r="D434" s="5"/>
      <c r="E434" s="5"/>
      <c r="F434" s="5"/>
      <c r="G434" s="5"/>
      <c r="H434" s="5"/>
      <c r="I434" s="5"/>
      <c r="J434" s="5"/>
      <c r="K434" s="5"/>
      <c r="L434" s="5"/>
      <c r="M434" s="20"/>
      <c r="N434" s="5"/>
    </row>
    <row r="435" spans="1:14" ht="14.25" customHeight="1" x14ac:dyDescent="0.25">
      <c r="A435" s="5"/>
      <c r="B435" s="5"/>
      <c r="C435" s="5"/>
      <c r="D435" s="5"/>
      <c r="E435" s="5"/>
      <c r="F435" s="5"/>
      <c r="G435" s="5"/>
      <c r="H435" s="5"/>
      <c r="I435" s="5"/>
      <c r="J435" s="5"/>
      <c r="K435" s="5"/>
      <c r="L435" s="5"/>
      <c r="M435" s="20"/>
      <c r="N435" s="5"/>
    </row>
    <row r="436" spans="1:14" ht="14.25" customHeight="1" x14ac:dyDescent="0.25">
      <c r="A436" s="5"/>
      <c r="B436" s="5"/>
      <c r="C436" s="5"/>
      <c r="D436" s="5"/>
      <c r="E436" s="5"/>
      <c r="F436" s="5"/>
      <c r="G436" s="5"/>
      <c r="H436" s="5"/>
      <c r="I436" s="5"/>
      <c r="J436" s="5"/>
      <c r="K436" s="5"/>
      <c r="L436" s="5"/>
      <c r="M436" s="20"/>
      <c r="N436" s="5"/>
    </row>
    <row r="437" spans="1:14" ht="14.25" customHeight="1" x14ac:dyDescent="0.25">
      <c r="A437" s="5"/>
      <c r="B437" s="5"/>
      <c r="C437" s="5"/>
      <c r="D437" s="5"/>
      <c r="E437" s="5"/>
      <c r="F437" s="5"/>
      <c r="G437" s="5"/>
      <c r="H437" s="5"/>
      <c r="I437" s="5"/>
      <c r="J437" s="5"/>
      <c r="K437" s="5"/>
      <c r="L437" s="5"/>
      <c r="M437" s="20"/>
      <c r="N437" s="5"/>
    </row>
    <row r="438" spans="1:14" ht="14.25" customHeight="1" x14ac:dyDescent="0.25">
      <c r="A438" s="5"/>
      <c r="B438" s="5"/>
      <c r="C438" s="5"/>
      <c r="D438" s="5"/>
      <c r="E438" s="5"/>
      <c r="F438" s="5"/>
      <c r="G438" s="5"/>
      <c r="H438" s="5"/>
      <c r="I438" s="5"/>
      <c r="J438" s="5"/>
      <c r="K438" s="5"/>
      <c r="L438" s="5"/>
      <c r="M438" s="20"/>
      <c r="N438" s="5"/>
    </row>
    <row r="439" spans="1:14" ht="14.25" customHeight="1" x14ac:dyDescent="0.25">
      <c r="A439" s="5"/>
      <c r="B439" s="5"/>
      <c r="C439" s="5"/>
      <c r="D439" s="5"/>
      <c r="E439" s="5"/>
      <c r="F439" s="5"/>
      <c r="G439" s="5"/>
      <c r="H439" s="5"/>
      <c r="I439" s="5"/>
      <c r="J439" s="5"/>
      <c r="K439" s="5"/>
      <c r="L439" s="5"/>
      <c r="M439" s="20"/>
      <c r="N439" s="5"/>
    </row>
    <row r="440" spans="1:14" ht="14.25" customHeight="1" x14ac:dyDescent="0.25">
      <c r="A440" s="5"/>
      <c r="B440" s="5"/>
      <c r="C440" s="5"/>
      <c r="D440" s="5"/>
      <c r="E440" s="5"/>
      <c r="F440" s="5"/>
      <c r="G440" s="5"/>
      <c r="H440" s="5"/>
      <c r="I440" s="5"/>
      <c r="J440" s="5"/>
      <c r="K440" s="5"/>
      <c r="L440" s="5"/>
      <c r="M440" s="20"/>
      <c r="N440" s="5"/>
    </row>
    <row r="441" spans="1:14" ht="14.25" customHeight="1" x14ac:dyDescent="0.25">
      <c r="A441" s="5"/>
      <c r="B441" s="5"/>
      <c r="C441" s="5"/>
      <c r="D441" s="5"/>
      <c r="E441" s="5"/>
      <c r="F441" s="5"/>
      <c r="G441" s="5"/>
      <c r="H441" s="5"/>
      <c r="I441" s="5"/>
      <c r="J441" s="5"/>
      <c r="K441" s="5"/>
      <c r="L441" s="5"/>
      <c r="M441" s="20"/>
      <c r="N441" s="5"/>
    </row>
    <row r="442" spans="1:14" ht="14.25" customHeight="1" x14ac:dyDescent="0.25">
      <c r="A442" s="5"/>
      <c r="B442" s="5"/>
      <c r="C442" s="5"/>
      <c r="D442" s="5"/>
      <c r="E442" s="5"/>
      <c r="F442" s="5"/>
      <c r="G442" s="5"/>
      <c r="H442" s="5"/>
      <c r="I442" s="5"/>
      <c r="J442" s="5"/>
      <c r="K442" s="5"/>
      <c r="L442" s="5"/>
      <c r="M442" s="20"/>
      <c r="N442" s="5"/>
    </row>
    <row r="443" spans="1:14" ht="14.25" customHeight="1" x14ac:dyDescent="0.25">
      <c r="A443" s="5"/>
      <c r="B443" s="5"/>
      <c r="C443" s="5"/>
      <c r="D443" s="5"/>
      <c r="E443" s="5"/>
      <c r="F443" s="5"/>
      <c r="G443" s="5"/>
      <c r="H443" s="5"/>
      <c r="I443" s="5"/>
      <c r="J443" s="5"/>
      <c r="K443" s="5"/>
      <c r="L443" s="5"/>
      <c r="M443" s="20"/>
      <c r="N443" s="5"/>
    </row>
    <row r="444" spans="1:14" ht="14.25" customHeight="1" x14ac:dyDescent="0.25">
      <c r="A444" s="5"/>
      <c r="B444" s="5"/>
      <c r="C444" s="5"/>
      <c r="D444" s="5"/>
      <c r="E444" s="5"/>
      <c r="F444" s="5"/>
      <c r="G444" s="5"/>
      <c r="H444" s="5"/>
      <c r="I444" s="5"/>
      <c r="J444" s="5"/>
      <c r="K444" s="5"/>
      <c r="L444" s="5"/>
      <c r="M444" s="20"/>
      <c r="N444" s="5"/>
    </row>
    <row r="445" spans="1:14" ht="14.25" customHeight="1" x14ac:dyDescent="0.25">
      <c r="A445" s="5"/>
      <c r="B445" s="5"/>
      <c r="C445" s="5"/>
      <c r="D445" s="5"/>
      <c r="E445" s="5"/>
      <c r="F445" s="5"/>
      <c r="G445" s="5"/>
      <c r="H445" s="5"/>
      <c r="I445" s="5"/>
      <c r="J445" s="5"/>
      <c r="K445" s="5"/>
      <c r="L445" s="5"/>
      <c r="M445" s="20"/>
      <c r="N445" s="5"/>
    </row>
    <row r="446" spans="1:14" ht="14.25" customHeight="1" x14ac:dyDescent="0.25">
      <c r="A446" s="5"/>
      <c r="B446" s="5"/>
      <c r="C446" s="5"/>
      <c r="D446" s="5"/>
      <c r="E446" s="5"/>
      <c r="F446" s="5"/>
      <c r="G446" s="5"/>
      <c r="H446" s="5"/>
      <c r="I446" s="5"/>
      <c r="J446" s="5"/>
      <c r="K446" s="5"/>
      <c r="L446" s="5"/>
      <c r="M446" s="20"/>
      <c r="N446" s="5"/>
    </row>
    <row r="447" spans="1:14" ht="14.25" customHeight="1" x14ac:dyDescent="0.25">
      <c r="A447" s="5"/>
      <c r="B447" s="5"/>
      <c r="C447" s="5"/>
      <c r="D447" s="5"/>
      <c r="E447" s="5"/>
      <c r="F447" s="5"/>
      <c r="G447" s="5"/>
      <c r="H447" s="5"/>
      <c r="I447" s="5"/>
      <c r="J447" s="5"/>
      <c r="K447" s="5"/>
      <c r="L447" s="5"/>
      <c r="M447" s="20"/>
      <c r="N447" s="5"/>
    </row>
    <row r="448" spans="1:14" ht="14.25" customHeight="1" x14ac:dyDescent="0.25">
      <c r="A448" s="5"/>
      <c r="B448" s="5"/>
      <c r="C448" s="5"/>
      <c r="D448" s="5"/>
      <c r="E448" s="5"/>
      <c r="F448" s="5"/>
      <c r="G448" s="5"/>
      <c r="H448" s="5"/>
      <c r="I448" s="5"/>
      <c r="J448" s="5"/>
      <c r="K448" s="5"/>
      <c r="L448" s="5"/>
      <c r="M448" s="20"/>
      <c r="N448" s="5"/>
    </row>
    <row r="449" spans="1:14" ht="14.25" customHeight="1" x14ac:dyDescent="0.25">
      <c r="A449" s="5"/>
      <c r="B449" s="5"/>
      <c r="C449" s="5"/>
      <c r="D449" s="5"/>
      <c r="E449" s="5"/>
      <c r="F449" s="5"/>
      <c r="G449" s="5"/>
      <c r="H449" s="5"/>
      <c r="I449" s="5"/>
      <c r="J449" s="5"/>
      <c r="K449" s="5"/>
      <c r="L449" s="5"/>
      <c r="M449" s="20"/>
      <c r="N449" s="5"/>
    </row>
    <row r="450" spans="1:14" ht="14.25" customHeight="1" x14ac:dyDescent="0.25">
      <c r="A450" s="5"/>
      <c r="B450" s="5"/>
      <c r="C450" s="5"/>
      <c r="D450" s="5"/>
      <c r="E450" s="5"/>
      <c r="F450" s="5"/>
      <c r="G450" s="5"/>
      <c r="H450" s="5"/>
      <c r="I450" s="5"/>
      <c r="J450" s="5"/>
      <c r="K450" s="5"/>
      <c r="L450" s="5"/>
      <c r="M450" s="20"/>
      <c r="N450" s="5"/>
    </row>
    <row r="451" spans="1:14" ht="14.25" customHeight="1" x14ac:dyDescent="0.25">
      <c r="A451" s="5"/>
      <c r="B451" s="5"/>
      <c r="C451" s="5"/>
      <c r="D451" s="5"/>
      <c r="E451" s="5"/>
      <c r="F451" s="5"/>
      <c r="G451" s="5"/>
      <c r="H451" s="5"/>
      <c r="I451" s="5"/>
      <c r="J451" s="5"/>
      <c r="K451" s="5"/>
      <c r="L451" s="5"/>
      <c r="M451" s="20"/>
      <c r="N451" s="5"/>
    </row>
    <row r="452" spans="1:14" ht="14.25" customHeight="1" x14ac:dyDescent="0.25">
      <c r="A452" s="5"/>
      <c r="B452" s="5"/>
      <c r="C452" s="5"/>
      <c r="D452" s="5"/>
      <c r="E452" s="5"/>
      <c r="F452" s="5"/>
      <c r="G452" s="5"/>
      <c r="H452" s="5"/>
      <c r="I452" s="5"/>
      <c r="J452" s="5"/>
      <c r="K452" s="5"/>
      <c r="L452" s="5"/>
      <c r="M452" s="20"/>
      <c r="N452" s="5"/>
    </row>
    <row r="453" spans="1:14" ht="14.25" customHeight="1" x14ac:dyDescent="0.25">
      <c r="A453" s="5"/>
      <c r="B453" s="5"/>
      <c r="C453" s="5"/>
      <c r="D453" s="5"/>
      <c r="E453" s="5"/>
      <c r="F453" s="5"/>
      <c r="G453" s="5"/>
      <c r="H453" s="5"/>
      <c r="I453" s="5"/>
      <c r="J453" s="5"/>
      <c r="K453" s="5"/>
      <c r="L453" s="5"/>
      <c r="M453" s="20"/>
      <c r="N453" s="5"/>
    </row>
    <row r="454" spans="1:14" ht="14.25" customHeight="1" x14ac:dyDescent="0.25">
      <c r="A454" s="5"/>
      <c r="B454" s="5"/>
      <c r="C454" s="5"/>
      <c r="D454" s="5"/>
      <c r="E454" s="5"/>
      <c r="F454" s="5"/>
      <c r="G454" s="5"/>
      <c r="H454" s="5"/>
      <c r="I454" s="5"/>
      <c r="J454" s="5"/>
      <c r="K454" s="5"/>
      <c r="L454" s="5"/>
      <c r="M454" s="20"/>
      <c r="N454" s="5"/>
    </row>
    <row r="455" spans="1:14" ht="14.25" customHeight="1" x14ac:dyDescent="0.25">
      <c r="A455" s="5"/>
      <c r="B455" s="5"/>
      <c r="C455" s="5"/>
      <c r="D455" s="5"/>
      <c r="E455" s="5"/>
      <c r="F455" s="5"/>
      <c r="G455" s="5"/>
      <c r="H455" s="5"/>
      <c r="I455" s="5"/>
      <c r="J455" s="5"/>
      <c r="K455" s="5"/>
      <c r="L455" s="5"/>
      <c r="M455" s="20"/>
      <c r="N455" s="5"/>
    </row>
    <row r="456" spans="1:14" ht="14.25" customHeight="1" x14ac:dyDescent="0.25">
      <c r="A456" s="5"/>
      <c r="B456" s="5"/>
      <c r="C456" s="5"/>
      <c r="D456" s="5"/>
      <c r="E456" s="5"/>
      <c r="F456" s="5"/>
      <c r="G456" s="5"/>
      <c r="H456" s="5"/>
      <c r="I456" s="5"/>
      <c r="J456" s="5"/>
      <c r="K456" s="5"/>
      <c r="L456" s="5"/>
      <c r="M456" s="20"/>
      <c r="N456" s="5"/>
    </row>
    <row r="457" spans="1:14" ht="14.25" customHeight="1" x14ac:dyDescent="0.25">
      <c r="A457" s="5"/>
      <c r="B457" s="5"/>
      <c r="C457" s="5"/>
      <c r="D457" s="5"/>
      <c r="E457" s="5"/>
      <c r="F457" s="5"/>
      <c r="G457" s="5"/>
      <c r="H457" s="5"/>
      <c r="I457" s="5"/>
      <c r="J457" s="5"/>
      <c r="K457" s="5"/>
      <c r="L457" s="5"/>
      <c r="M457" s="20"/>
      <c r="N457" s="5"/>
    </row>
    <row r="458" spans="1:14" ht="14.25" customHeight="1" x14ac:dyDescent="0.25">
      <c r="A458" s="5"/>
      <c r="B458" s="5"/>
      <c r="C458" s="5"/>
      <c r="D458" s="5"/>
      <c r="E458" s="5"/>
      <c r="F458" s="5"/>
      <c r="G458" s="5"/>
      <c r="H458" s="5"/>
      <c r="I458" s="5"/>
      <c r="J458" s="5"/>
      <c r="K458" s="5"/>
      <c r="L458" s="5"/>
      <c r="M458" s="20"/>
      <c r="N458" s="5"/>
    </row>
    <row r="459" spans="1:14" ht="14.25" customHeight="1" x14ac:dyDescent="0.25">
      <c r="A459" s="5"/>
      <c r="B459" s="5"/>
      <c r="C459" s="5"/>
      <c r="D459" s="5"/>
      <c r="E459" s="5"/>
      <c r="F459" s="5"/>
      <c r="G459" s="5"/>
      <c r="H459" s="5"/>
      <c r="I459" s="5"/>
      <c r="J459" s="5"/>
      <c r="K459" s="5"/>
      <c r="L459" s="5"/>
      <c r="M459" s="20"/>
      <c r="N459" s="5"/>
    </row>
    <row r="460" spans="1:14" ht="14.25" customHeight="1" x14ac:dyDescent="0.25">
      <c r="A460" s="5"/>
      <c r="B460" s="5"/>
      <c r="C460" s="5"/>
      <c r="D460" s="5"/>
      <c r="E460" s="5"/>
      <c r="F460" s="5"/>
      <c r="G460" s="5"/>
      <c r="H460" s="5"/>
      <c r="I460" s="5"/>
      <c r="J460" s="5"/>
      <c r="K460" s="5"/>
      <c r="L460" s="5"/>
      <c r="M460" s="20"/>
      <c r="N460" s="5"/>
    </row>
    <row r="461" spans="1:14" ht="14.25" customHeight="1" x14ac:dyDescent="0.25">
      <c r="A461" s="5"/>
      <c r="B461" s="5"/>
      <c r="C461" s="5"/>
      <c r="D461" s="5"/>
      <c r="E461" s="5"/>
      <c r="F461" s="5"/>
      <c r="G461" s="5"/>
      <c r="H461" s="5"/>
      <c r="I461" s="5"/>
      <c r="J461" s="5"/>
      <c r="K461" s="5"/>
      <c r="L461" s="5"/>
      <c r="M461" s="20"/>
      <c r="N461" s="5"/>
    </row>
    <row r="462" spans="1:14" ht="14.25" customHeight="1" x14ac:dyDescent="0.25">
      <c r="A462" s="5"/>
      <c r="B462" s="5"/>
      <c r="C462" s="5"/>
      <c r="D462" s="5"/>
      <c r="E462" s="5"/>
      <c r="F462" s="5"/>
      <c r="G462" s="5"/>
      <c r="H462" s="5"/>
      <c r="I462" s="5"/>
      <c r="J462" s="5"/>
      <c r="K462" s="5"/>
      <c r="L462" s="5"/>
      <c r="M462" s="20"/>
      <c r="N462" s="5"/>
    </row>
    <row r="463" spans="1:14" ht="14.25" customHeight="1" x14ac:dyDescent="0.25">
      <c r="A463" s="5"/>
      <c r="B463" s="5"/>
      <c r="C463" s="5"/>
      <c r="D463" s="5"/>
      <c r="E463" s="5"/>
      <c r="F463" s="5"/>
      <c r="G463" s="5"/>
      <c r="H463" s="5"/>
      <c r="I463" s="5"/>
      <c r="J463" s="5"/>
      <c r="K463" s="5"/>
      <c r="L463" s="5"/>
      <c r="M463" s="20"/>
      <c r="N463" s="5"/>
    </row>
    <row r="464" spans="1:14" ht="14.25" customHeight="1" x14ac:dyDescent="0.25">
      <c r="A464" s="5"/>
      <c r="B464" s="5"/>
      <c r="C464" s="5"/>
      <c r="D464" s="5"/>
      <c r="E464" s="5"/>
      <c r="F464" s="5"/>
      <c r="G464" s="5"/>
      <c r="H464" s="5"/>
      <c r="I464" s="5"/>
      <c r="J464" s="5"/>
      <c r="K464" s="5"/>
      <c r="L464" s="5"/>
      <c r="M464" s="20"/>
      <c r="N464" s="5"/>
    </row>
    <row r="465" spans="1:14" ht="14.25" customHeight="1" x14ac:dyDescent="0.25">
      <c r="A465" s="5"/>
      <c r="B465" s="5"/>
      <c r="C465" s="5"/>
      <c r="D465" s="5"/>
      <c r="E465" s="5"/>
      <c r="F465" s="5"/>
      <c r="G465" s="5"/>
      <c r="H465" s="5"/>
      <c r="I465" s="5"/>
      <c r="J465" s="5"/>
      <c r="K465" s="5"/>
      <c r="L465" s="5"/>
      <c r="M465" s="20"/>
      <c r="N465" s="5"/>
    </row>
    <row r="466" spans="1:14" ht="14.25" customHeight="1" x14ac:dyDescent="0.25">
      <c r="A466" s="5"/>
      <c r="B466" s="5"/>
      <c r="C466" s="5"/>
      <c r="D466" s="5"/>
      <c r="E466" s="5"/>
      <c r="F466" s="5"/>
      <c r="G466" s="5"/>
      <c r="H466" s="5"/>
      <c r="I466" s="5"/>
      <c r="J466" s="5"/>
      <c r="K466" s="5"/>
      <c r="L466" s="5"/>
      <c r="M466" s="20"/>
      <c r="N466" s="5"/>
    </row>
    <row r="467" spans="1:14" ht="14.25" customHeight="1" x14ac:dyDescent="0.25">
      <c r="A467" s="5"/>
      <c r="B467" s="5"/>
      <c r="C467" s="5"/>
      <c r="D467" s="5"/>
      <c r="E467" s="5"/>
      <c r="F467" s="5"/>
      <c r="G467" s="5"/>
      <c r="H467" s="5"/>
      <c r="I467" s="5"/>
      <c r="J467" s="5"/>
      <c r="K467" s="5"/>
      <c r="L467" s="5"/>
      <c r="M467" s="20"/>
      <c r="N467" s="5"/>
    </row>
    <row r="468" spans="1:14" ht="14.25" customHeight="1" x14ac:dyDescent="0.25">
      <c r="A468" s="5"/>
      <c r="B468" s="5"/>
      <c r="C468" s="5"/>
      <c r="D468" s="5"/>
      <c r="E468" s="5"/>
      <c r="F468" s="5"/>
      <c r="G468" s="5"/>
      <c r="H468" s="5"/>
      <c r="I468" s="5"/>
      <c r="J468" s="5"/>
      <c r="K468" s="5"/>
      <c r="L468" s="5"/>
      <c r="M468" s="20"/>
      <c r="N468" s="5"/>
    </row>
    <row r="469" spans="1:14" ht="14.25" customHeight="1" x14ac:dyDescent="0.25">
      <c r="A469" s="5"/>
      <c r="B469" s="5"/>
      <c r="C469" s="5"/>
      <c r="D469" s="5"/>
      <c r="E469" s="5"/>
      <c r="F469" s="5"/>
      <c r="G469" s="5"/>
      <c r="H469" s="5"/>
      <c r="I469" s="5"/>
      <c r="J469" s="5"/>
      <c r="K469" s="5"/>
      <c r="L469" s="5"/>
      <c r="M469" s="20"/>
      <c r="N469" s="5"/>
    </row>
    <row r="470" spans="1:14" ht="14.25" customHeight="1" x14ac:dyDescent="0.25">
      <c r="A470" s="5"/>
      <c r="B470" s="5"/>
      <c r="C470" s="5"/>
      <c r="D470" s="5"/>
      <c r="E470" s="5"/>
      <c r="F470" s="5"/>
      <c r="G470" s="5"/>
      <c r="H470" s="5"/>
      <c r="I470" s="5"/>
      <c r="J470" s="5"/>
      <c r="K470" s="5"/>
      <c r="L470" s="5"/>
      <c r="M470" s="20"/>
      <c r="N470" s="5"/>
    </row>
    <row r="471" spans="1:14" ht="14.25" customHeight="1" x14ac:dyDescent="0.25">
      <c r="A471" s="5"/>
      <c r="B471" s="5"/>
      <c r="C471" s="5"/>
      <c r="D471" s="5"/>
      <c r="E471" s="5"/>
      <c r="F471" s="5"/>
      <c r="G471" s="5"/>
      <c r="H471" s="5"/>
      <c r="I471" s="5"/>
      <c r="J471" s="5"/>
      <c r="K471" s="5"/>
      <c r="L471" s="5"/>
      <c r="M471" s="20"/>
      <c r="N471" s="5"/>
    </row>
    <row r="472" spans="1:14" ht="14.25" customHeight="1" x14ac:dyDescent="0.25">
      <c r="A472" s="5"/>
      <c r="B472" s="5"/>
      <c r="C472" s="5"/>
      <c r="D472" s="5"/>
      <c r="E472" s="5"/>
      <c r="F472" s="5"/>
      <c r="G472" s="5"/>
      <c r="H472" s="5"/>
      <c r="I472" s="5"/>
      <c r="J472" s="5"/>
      <c r="K472" s="5"/>
      <c r="L472" s="5"/>
      <c r="M472" s="20"/>
      <c r="N472" s="5"/>
    </row>
    <row r="473" spans="1:14" ht="14.25" customHeight="1" x14ac:dyDescent="0.25">
      <c r="A473" s="5"/>
      <c r="B473" s="5"/>
      <c r="C473" s="5"/>
      <c r="D473" s="5"/>
      <c r="E473" s="5"/>
      <c r="F473" s="5"/>
      <c r="G473" s="5"/>
      <c r="H473" s="5"/>
      <c r="I473" s="5"/>
      <c r="J473" s="5"/>
      <c r="K473" s="5"/>
      <c r="L473" s="5"/>
      <c r="M473" s="20"/>
      <c r="N473" s="5"/>
    </row>
    <row r="474" spans="1:14" ht="14.25" customHeight="1" x14ac:dyDescent="0.25">
      <c r="A474" s="5"/>
      <c r="B474" s="5"/>
      <c r="C474" s="5"/>
      <c r="D474" s="5"/>
      <c r="E474" s="5"/>
      <c r="F474" s="5"/>
      <c r="G474" s="5"/>
      <c r="H474" s="5"/>
      <c r="I474" s="5"/>
      <c r="J474" s="5"/>
      <c r="K474" s="5"/>
      <c r="L474" s="5"/>
      <c r="M474" s="20"/>
      <c r="N474" s="5"/>
    </row>
    <row r="475" spans="1:14" ht="14.25" customHeight="1" x14ac:dyDescent="0.25">
      <c r="A475" s="5"/>
      <c r="B475" s="5"/>
      <c r="C475" s="5"/>
      <c r="D475" s="5"/>
      <c r="E475" s="5"/>
      <c r="F475" s="5"/>
      <c r="G475" s="5"/>
      <c r="H475" s="5"/>
      <c r="I475" s="5"/>
      <c r="J475" s="5"/>
      <c r="K475" s="5"/>
      <c r="L475" s="5"/>
      <c r="M475" s="20"/>
      <c r="N475" s="5"/>
    </row>
    <row r="476" spans="1:14" ht="14.25" customHeight="1" x14ac:dyDescent="0.25">
      <c r="A476" s="5"/>
      <c r="B476" s="5"/>
      <c r="C476" s="5"/>
      <c r="D476" s="5"/>
      <c r="E476" s="5"/>
      <c r="F476" s="5"/>
      <c r="G476" s="5"/>
      <c r="H476" s="5"/>
      <c r="I476" s="5"/>
      <c r="J476" s="5"/>
      <c r="K476" s="5"/>
      <c r="L476" s="5"/>
      <c r="M476" s="20"/>
      <c r="N476" s="5"/>
    </row>
    <row r="477" spans="1:14" ht="14.25" customHeight="1" x14ac:dyDescent="0.25">
      <c r="A477" s="5"/>
      <c r="B477" s="5"/>
      <c r="C477" s="5"/>
      <c r="D477" s="5"/>
      <c r="E477" s="5"/>
      <c r="F477" s="5"/>
      <c r="G477" s="5"/>
      <c r="H477" s="5"/>
      <c r="I477" s="5"/>
      <c r="J477" s="5"/>
      <c r="K477" s="5"/>
      <c r="L477" s="5"/>
      <c r="M477" s="20"/>
      <c r="N477" s="5"/>
    </row>
    <row r="478" spans="1:14" ht="14.25" customHeight="1" x14ac:dyDescent="0.25">
      <c r="A478" s="5"/>
      <c r="B478" s="5"/>
      <c r="C478" s="5"/>
      <c r="D478" s="5"/>
      <c r="E478" s="5"/>
      <c r="F478" s="5"/>
      <c r="G478" s="5"/>
      <c r="H478" s="5"/>
      <c r="I478" s="5"/>
      <c r="J478" s="5"/>
      <c r="K478" s="5"/>
      <c r="L478" s="5"/>
      <c r="M478" s="20"/>
      <c r="N478" s="5"/>
    </row>
    <row r="479" spans="1:14" ht="14.25" customHeight="1" x14ac:dyDescent="0.25">
      <c r="A479" s="5"/>
      <c r="B479" s="5"/>
      <c r="C479" s="5"/>
      <c r="D479" s="5"/>
      <c r="E479" s="5"/>
      <c r="F479" s="5"/>
      <c r="G479" s="5"/>
      <c r="H479" s="5"/>
      <c r="I479" s="5"/>
      <c r="J479" s="5"/>
      <c r="K479" s="5"/>
      <c r="L479" s="5"/>
      <c r="M479" s="20"/>
      <c r="N479" s="5"/>
    </row>
    <row r="480" spans="1:14" ht="14.25" customHeight="1" x14ac:dyDescent="0.25">
      <c r="A480" s="5"/>
      <c r="B480" s="5"/>
      <c r="C480" s="5"/>
      <c r="D480" s="5"/>
      <c r="E480" s="5"/>
      <c r="F480" s="5"/>
      <c r="G480" s="5"/>
      <c r="H480" s="5"/>
      <c r="I480" s="5"/>
      <c r="J480" s="5"/>
      <c r="K480" s="5"/>
      <c r="L480" s="5"/>
      <c r="M480" s="20"/>
      <c r="N480" s="5"/>
    </row>
    <row r="481" spans="1:14" ht="14.25" customHeight="1" x14ac:dyDescent="0.25">
      <c r="A481" s="5"/>
      <c r="B481" s="5"/>
      <c r="C481" s="5"/>
      <c r="D481" s="5"/>
      <c r="E481" s="5"/>
      <c r="F481" s="5"/>
      <c r="G481" s="5"/>
      <c r="H481" s="5"/>
      <c r="I481" s="5"/>
      <c r="J481" s="5"/>
      <c r="K481" s="5"/>
      <c r="L481" s="5"/>
      <c r="M481" s="20"/>
      <c r="N481" s="5"/>
    </row>
    <row r="482" spans="1:14" ht="14.25" customHeight="1" x14ac:dyDescent="0.25">
      <c r="A482" s="5"/>
      <c r="B482" s="5"/>
      <c r="C482" s="5"/>
      <c r="D482" s="5"/>
      <c r="E482" s="5"/>
      <c r="F482" s="5"/>
      <c r="G482" s="5"/>
      <c r="H482" s="5"/>
      <c r="I482" s="5"/>
      <c r="J482" s="5"/>
      <c r="K482" s="5"/>
      <c r="L482" s="5"/>
      <c r="M482" s="20"/>
      <c r="N482" s="5"/>
    </row>
    <row r="483" spans="1:14" ht="14.25" customHeight="1" x14ac:dyDescent="0.25">
      <c r="A483" s="5"/>
      <c r="B483" s="5"/>
      <c r="C483" s="5"/>
      <c r="D483" s="5"/>
      <c r="E483" s="5"/>
      <c r="F483" s="5"/>
      <c r="G483" s="5"/>
      <c r="H483" s="5"/>
      <c r="I483" s="5"/>
      <c r="J483" s="5"/>
      <c r="K483" s="5"/>
      <c r="L483" s="5"/>
      <c r="M483" s="20"/>
      <c r="N483" s="5"/>
    </row>
    <row r="484" spans="1:14" ht="14.25" customHeight="1" x14ac:dyDescent="0.25">
      <c r="A484" s="5"/>
      <c r="B484" s="5"/>
      <c r="C484" s="5"/>
      <c r="D484" s="5"/>
      <c r="E484" s="5"/>
      <c r="F484" s="5"/>
      <c r="G484" s="5"/>
      <c r="H484" s="5"/>
      <c r="I484" s="5"/>
      <c r="J484" s="5"/>
      <c r="K484" s="5"/>
      <c r="L484" s="5"/>
      <c r="M484" s="20"/>
      <c r="N484" s="5"/>
    </row>
    <row r="485" spans="1:14" ht="14.25" customHeight="1" x14ac:dyDescent="0.25">
      <c r="A485" s="5"/>
      <c r="B485" s="5"/>
      <c r="C485" s="5"/>
      <c r="D485" s="5"/>
      <c r="E485" s="5"/>
      <c r="F485" s="5"/>
      <c r="G485" s="5"/>
      <c r="H485" s="5"/>
      <c r="I485" s="5"/>
      <c r="J485" s="5"/>
      <c r="K485" s="5"/>
      <c r="L485" s="5"/>
      <c r="M485" s="20"/>
      <c r="N485" s="5"/>
    </row>
    <row r="486" spans="1:14" ht="14.25" customHeight="1" x14ac:dyDescent="0.25">
      <c r="A486" s="5"/>
      <c r="B486" s="5"/>
      <c r="C486" s="5"/>
      <c r="D486" s="5"/>
      <c r="E486" s="5"/>
      <c r="F486" s="5"/>
      <c r="G486" s="5"/>
      <c r="H486" s="5"/>
      <c r="I486" s="5"/>
      <c r="J486" s="5"/>
      <c r="K486" s="5"/>
      <c r="L486" s="5"/>
      <c r="M486" s="20"/>
      <c r="N486" s="5"/>
    </row>
    <row r="487" spans="1:14" ht="14.25" customHeight="1" x14ac:dyDescent="0.25">
      <c r="A487" s="5"/>
      <c r="B487" s="5"/>
      <c r="C487" s="5"/>
      <c r="D487" s="5"/>
      <c r="E487" s="5"/>
      <c r="F487" s="5"/>
      <c r="G487" s="5"/>
      <c r="H487" s="5"/>
      <c r="I487" s="5"/>
      <c r="J487" s="5"/>
      <c r="K487" s="5"/>
      <c r="L487" s="5"/>
      <c r="M487" s="20"/>
      <c r="N487" s="5"/>
    </row>
    <row r="488" spans="1:14" ht="14.25" customHeight="1" x14ac:dyDescent="0.25">
      <c r="A488" s="5"/>
      <c r="B488" s="5"/>
      <c r="C488" s="5"/>
      <c r="D488" s="5"/>
      <c r="E488" s="5"/>
      <c r="F488" s="5"/>
      <c r="G488" s="5"/>
      <c r="H488" s="5"/>
      <c r="I488" s="5"/>
      <c r="J488" s="5"/>
      <c r="K488" s="5"/>
      <c r="L488" s="5"/>
      <c r="M488" s="20"/>
      <c r="N488" s="5"/>
    </row>
    <row r="489" spans="1:14" ht="14.25" customHeight="1" x14ac:dyDescent="0.25">
      <c r="A489" s="5"/>
      <c r="B489" s="5"/>
      <c r="C489" s="5"/>
      <c r="D489" s="5"/>
      <c r="E489" s="5"/>
      <c r="F489" s="5"/>
      <c r="G489" s="5"/>
      <c r="H489" s="5"/>
      <c r="I489" s="5"/>
      <c r="J489" s="5"/>
      <c r="K489" s="5"/>
      <c r="L489" s="5"/>
      <c r="M489" s="20"/>
      <c r="N489" s="5"/>
    </row>
    <row r="490" spans="1:14" ht="14.25" customHeight="1" x14ac:dyDescent="0.25">
      <c r="A490" s="5"/>
      <c r="B490" s="5"/>
      <c r="C490" s="5"/>
      <c r="D490" s="5"/>
      <c r="E490" s="5"/>
      <c r="F490" s="5"/>
      <c r="G490" s="5"/>
      <c r="H490" s="5"/>
      <c r="I490" s="5"/>
      <c r="J490" s="5"/>
      <c r="K490" s="5"/>
      <c r="L490" s="5"/>
      <c r="M490" s="20"/>
      <c r="N490" s="5"/>
    </row>
    <row r="491" spans="1:14" ht="14.25" customHeight="1" x14ac:dyDescent="0.25">
      <c r="A491" s="5"/>
      <c r="B491" s="5"/>
      <c r="C491" s="5"/>
      <c r="D491" s="5"/>
      <c r="E491" s="5"/>
      <c r="F491" s="5"/>
      <c r="G491" s="5"/>
      <c r="H491" s="5"/>
      <c r="I491" s="5"/>
      <c r="J491" s="5"/>
      <c r="K491" s="5"/>
      <c r="L491" s="5"/>
      <c r="M491" s="20"/>
      <c r="N491" s="5"/>
    </row>
    <row r="492" spans="1:14" ht="14.25" customHeight="1" x14ac:dyDescent="0.25">
      <c r="A492" s="5"/>
      <c r="B492" s="5"/>
      <c r="C492" s="5"/>
      <c r="D492" s="5"/>
      <c r="E492" s="5"/>
      <c r="F492" s="5"/>
      <c r="G492" s="5"/>
      <c r="H492" s="5"/>
      <c r="I492" s="5"/>
      <c r="J492" s="5"/>
      <c r="K492" s="5"/>
      <c r="L492" s="5"/>
      <c r="M492" s="20"/>
      <c r="N492" s="5"/>
    </row>
    <row r="493" spans="1:14" ht="14.25" customHeight="1" x14ac:dyDescent="0.25">
      <c r="A493" s="5"/>
      <c r="B493" s="5"/>
      <c r="C493" s="5"/>
      <c r="D493" s="5"/>
      <c r="E493" s="5"/>
      <c r="F493" s="5"/>
      <c r="G493" s="5"/>
      <c r="H493" s="5"/>
      <c r="I493" s="5"/>
      <c r="J493" s="5"/>
      <c r="K493" s="5"/>
      <c r="L493" s="5"/>
      <c r="M493" s="20"/>
      <c r="N493" s="5"/>
    </row>
    <row r="494" spans="1:14" ht="14.25" customHeight="1" x14ac:dyDescent="0.25">
      <c r="A494" s="5"/>
      <c r="B494" s="5"/>
      <c r="C494" s="5"/>
      <c r="D494" s="5"/>
      <c r="E494" s="5"/>
      <c r="F494" s="5"/>
      <c r="G494" s="5"/>
      <c r="H494" s="5"/>
      <c r="I494" s="5"/>
      <c r="J494" s="5"/>
      <c r="K494" s="5"/>
      <c r="L494" s="5"/>
      <c r="M494" s="20"/>
      <c r="N494" s="5"/>
    </row>
    <row r="495" spans="1:14" ht="14.25" customHeight="1" x14ac:dyDescent="0.25">
      <c r="A495" s="5"/>
      <c r="B495" s="5"/>
      <c r="C495" s="5"/>
      <c r="D495" s="5"/>
      <c r="E495" s="5"/>
      <c r="F495" s="5"/>
      <c r="G495" s="5"/>
      <c r="H495" s="5"/>
      <c r="I495" s="5"/>
      <c r="J495" s="5"/>
      <c r="K495" s="5"/>
      <c r="L495" s="5"/>
      <c r="M495" s="20"/>
      <c r="N495" s="5"/>
    </row>
    <row r="496" spans="1:14" ht="14.25" customHeight="1" x14ac:dyDescent="0.25">
      <c r="A496" s="5"/>
      <c r="B496" s="5"/>
      <c r="C496" s="5"/>
      <c r="D496" s="5"/>
      <c r="E496" s="5"/>
      <c r="F496" s="5"/>
      <c r="G496" s="5"/>
      <c r="H496" s="5"/>
      <c r="I496" s="5"/>
      <c r="J496" s="5"/>
      <c r="K496" s="5"/>
      <c r="L496" s="5"/>
      <c r="M496" s="20"/>
      <c r="N496" s="5"/>
    </row>
    <row r="497" spans="1:14" ht="14.25" customHeight="1" x14ac:dyDescent="0.25">
      <c r="A497" s="5"/>
      <c r="B497" s="5"/>
      <c r="C497" s="5"/>
      <c r="D497" s="5"/>
      <c r="E497" s="5"/>
      <c r="F497" s="5"/>
      <c r="G497" s="5"/>
      <c r="H497" s="5"/>
      <c r="I497" s="5"/>
      <c r="J497" s="5"/>
      <c r="K497" s="5"/>
      <c r="L497" s="5"/>
      <c r="M497" s="20"/>
      <c r="N497" s="5"/>
    </row>
    <row r="498" spans="1:14" ht="14.25" customHeight="1" x14ac:dyDescent="0.25">
      <c r="A498" s="5"/>
      <c r="B498" s="5"/>
      <c r="C498" s="5"/>
      <c r="D498" s="5"/>
      <c r="E498" s="5"/>
      <c r="F498" s="5"/>
      <c r="G498" s="5"/>
      <c r="H498" s="5"/>
      <c r="I498" s="5"/>
      <c r="J498" s="5"/>
      <c r="K498" s="5"/>
      <c r="L498" s="5"/>
      <c r="M498" s="20"/>
      <c r="N498" s="5"/>
    </row>
    <row r="499" spans="1:14" ht="14.25" customHeight="1" x14ac:dyDescent="0.25">
      <c r="A499" s="5"/>
      <c r="B499" s="5"/>
      <c r="C499" s="5"/>
      <c r="D499" s="5"/>
      <c r="E499" s="5"/>
      <c r="F499" s="5"/>
      <c r="G499" s="5"/>
      <c r="H499" s="5"/>
      <c r="I499" s="5"/>
      <c r="J499" s="5"/>
      <c r="K499" s="5"/>
      <c r="L499" s="5"/>
      <c r="M499" s="20"/>
      <c r="N499" s="5"/>
    </row>
    <row r="500" spans="1:14" ht="14.25" customHeight="1" x14ac:dyDescent="0.25">
      <c r="A500" s="5"/>
      <c r="B500" s="5"/>
      <c r="C500" s="5"/>
      <c r="D500" s="5"/>
      <c r="E500" s="5"/>
      <c r="F500" s="5"/>
      <c r="G500" s="5"/>
      <c r="H500" s="5"/>
      <c r="I500" s="5"/>
      <c r="J500" s="5"/>
      <c r="K500" s="5"/>
      <c r="L500" s="5"/>
      <c r="M500" s="20"/>
      <c r="N500" s="5"/>
    </row>
    <row r="501" spans="1:14" ht="14.25" customHeight="1" x14ac:dyDescent="0.25">
      <c r="A501" s="5"/>
      <c r="B501" s="5"/>
      <c r="C501" s="5"/>
      <c r="D501" s="5"/>
      <c r="E501" s="5"/>
      <c r="F501" s="5"/>
      <c r="G501" s="5"/>
      <c r="H501" s="5"/>
      <c r="I501" s="5"/>
      <c r="J501" s="5"/>
      <c r="K501" s="5"/>
      <c r="L501" s="5"/>
      <c r="M501" s="20"/>
      <c r="N501" s="5"/>
    </row>
    <row r="502" spans="1:14" ht="14.25" customHeight="1" x14ac:dyDescent="0.25">
      <c r="A502" s="5"/>
      <c r="B502" s="5"/>
      <c r="C502" s="5"/>
      <c r="D502" s="5"/>
      <c r="E502" s="5"/>
      <c r="F502" s="5"/>
      <c r="G502" s="5"/>
      <c r="H502" s="5"/>
      <c r="I502" s="5"/>
      <c r="J502" s="5"/>
      <c r="K502" s="5"/>
      <c r="L502" s="5"/>
      <c r="M502" s="20"/>
      <c r="N502" s="5"/>
    </row>
    <row r="503" spans="1:14" ht="14.25" customHeight="1" x14ac:dyDescent="0.25">
      <c r="A503" s="5"/>
      <c r="B503" s="5"/>
      <c r="C503" s="5"/>
      <c r="D503" s="5"/>
      <c r="E503" s="5"/>
      <c r="F503" s="5"/>
      <c r="G503" s="5"/>
      <c r="H503" s="5"/>
      <c r="I503" s="5"/>
      <c r="J503" s="5"/>
      <c r="K503" s="5"/>
      <c r="L503" s="5"/>
      <c r="M503" s="20"/>
      <c r="N503" s="5"/>
    </row>
    <row r="504" spans="1:14" ht="14.25" customHeight="1" x14ac:dyDescent="0.25">
      <c r="A504" s="5"/>
      <c r="B504" s="5"/>
      <c r="C504" s="5"/>
      <c r="D504" s="5"/>
      <c r="E504" s="5"/>
      <c r="F504" s="5"/>
      <c r="G504" s="5"/>
      <c r="H504" s="5"/>
      <c r="I504" s="5"/>
      <c r="J504" s="5"/>
      <c r="K504" s="5"/>
      <c r="L504" s="5"/>
      <c r="M504" s="20"/>
      <c r="N504" s="5"/>
    </row>
    <row r="505" spans="1:14" ht="14.25" customHeight="1" x14ac:dyDescent="0.25">
      <c r="A505" s="5"/>
      <c r="B505" s="5"/>
      <c r="C505" s="5"/>
      <c r="D505" s="5"/>
      <c r="E505" s="5"/>
      <c r="F505" s="5"/>
      <c r="G505" s="5"/>
      <c r="H505" s="5"/>
      <c r="I505" s="5"/>
      <c r="J505" s="5"/>
      <c r="K505" s="5"/>
      <c r="L505" s="5"/>
      <c r="M505" s="20"/>
      <c r="N505" s="5"/>
    </row>
    <row r="506" spans="1:14" ht="14.25" customHeight="1" x14ac:dyDescent="0.25">
      <c r="A506" s="5"/>
      <c r="B506" s="5"/>
      <c r="C506" s="5"/>
      <c r="D506" s="5"/>
      <c r="E506" s="5"/>
      <c r="F506" s="5"/>
      <c r="G506" s="5"/>
      <c r="H506" s="5"/>
      <c r="I506" s="5"/>
      <c r="J506" s="5"/>
      <c r="K506" s="5"/>
      <c r="L506" s="5"/>
      <c r="M506" s="20"/>
      <c r="N506" s="5"/>
    </row>
    <row r="507" spans="1:14" ht="14.25" customHeight="1" x14ac:dyDescent="0.25">
      <c r="A507" s="5"/>
      <c r="B507" s="5"/>
      <c r="C507" s="5"/>
      <c r="D507" s="5"/>
      <c r="E507" s="5"/>
      <c r="F507" s="5"/>
      <c r="G507" s="5"/>
      <c r="H507" s="5"/>
      <c r="I507" s="5"/>
      <c r="J507" s="5"/>
      <c r="K507" s="5"/>
      <c r="L507" s="5"/>
      <c r="M507" s="20"/>
      <c r="N507" s="5"/>
    </row>
    <row r="508" spans="1:14" ht="14.25" customHeight="1" x14ac:dyDescent="0.25">
      <c r="A508" s="5"/>
      <c r="B508" s="5"/>
      <c r="C508" s="5"/>
      <c r="D508" s="5"/>
      <c r="E508" s="5"/>
      <c r="F508" s="5"/>
      <c r="G508" s="5"/>
      <c r="H508" s="5"/>
      <c r="I508" s="5"/>
      <c r="J508" s="5"/>
      <c r="K508" s="5"/>
      <c r="L508" s="5"/>
      <c r="M508" s="20"/>
      <c r="N508" s="5"/>
    </row>
    <row r="509" spans="1:14" ht="14.25" customHeight="1" x14ac:dyDescent="0.25">
      <c r="A509" s="5"/>
      <c r="B509" s="5"/>
      <c r="C509" s="5"/>
      <c r="D509" s="5"/>
      <c r="E509" s="5"/>
      <c r="F509" s="5"/>
      <c r="G509" s="5"/>
      <c r="H509" s="5"/>
      <c r="I509" s="5"/>
      <c r="J509" s="5"/>
      <c r="K509" s="5"/>
      <c r="L509" s="5"/>
      <c r="M509" s="20"/>
      <c r="N509" s="5"/>
    </row>
    <row r="510" spans="1:14" ht="14.25" customHeight="1" x14ac:dyDescent="0.25">
      <c r="A510" s="5"/>
      <c r="B510" s="5"/>
      <c r="C510" s="5"/>
      <c r="D510" s="5"/>
      <c r="E510" s="5"/>
      <c r="F510" s="5"/>
      <c r="G510" s="5"/>
      <c r="H510" s="5"/>
      <c r="I510" s="5"/>
      <c r="J510" s="5"/>
      <c r="K510" s="5"/>
      <c r="L510" s="5"/>
      <c r="M510" s="20"/>
      <c r="N510" s="5"/>
    </row>
    <row r="511" spans="1:14" ht="14.25" customHeight="1" x14ac:dyDescent="0.25">
      <c r="A511" s="5"/>
      <c r="B511" s="5"/>
      <c r="C511" s="5"/>
      <c r="D511" s="5"/>
      <c r="E511" s="5"/>
      <c r="F511" s="5"/>
      <c r="G511" s="5"/>
      <c r="H511" s="5"/>
      <c r="I511" s="5"/>
      <c r="J511" s="5"/>
      <c r="K511" s="5"/>
      <c r="L511" s="5"/>
      <c r="M511" s="20"/>
      <c r="N511" s="5"/>
    </row>
    <row r="512" spans="1:14" ht="14.25" customHeight="1" x14ac:dyDescent="0.25">
      <c r="A512" s="5"/>
      <c r="B512" s="5"/>
      <c r="C512" s="5"/>
      <c r="D512" s="5"/>
      <c r="E512" s="5"/>
      <c r="F512" s="5"/>
      <c r="G512" s="5"/>
      <c r="H512" s="5"/>
      <c r="I512" s="5"/>
      <c r="J512" s="5"/>
      <c r="K512" s="5"/>
      <c r="L512" s="5"/>
      <c r="M512" s="20"/>
      <c r="N512" s="5"/>
    </row>
    <row r="513" spans="1:14" ht="14.25" customHeight="1" x14ac:dyDescent="0.25">
      <c r="A513" s="5"/>
      <c r="B513" s="5"/>
      <c r="C513" s="5"/>
      <c r="D513" s="5"/>
      <c r="E513" s="5"/>
      <c r="F513" s="5"/>
      <c r="G513" s="5"/>
      <c r="H513" s="5"/>
      <c r="I513" s="5"/>
      <c r="J513" s="5"/>
      <c r="K513" s="5"/>
      <c r="L513" s="5"/>
      <c r="M513" s="20"/>
      <c r="N513" s="5"/>
    </row>
    <row r="514" spans="1:14" ht="14.25" customHeight="1" x14ac:dyDescent="0.25">
      <c r="A514" s="5"/>
      <c r="B514" s="5"/>
      <c r="C514" s="5"/>
      <c r="D514" s="5"/>
      <c r="E514" s="5"/>
      <c r="F514" s="5"/>
      <c r="G514" s="5"/>
      <c r="H514" s="5"/>
      <c r="I514" s="5"/>
      <c r="J514" s="5"/>
      <c r="K514" s="5"/>
      <c r="L514" s="5"/>
      <c r="M514" s="20"/>
      <c r="N514" s="5"/>
    </row>
    <row r="515" spans="1:14" ht="14.25" customHeight="1" x14ac:dyDescent="0.25">
      <c r="A515" s="5"/>
      <c r="B515" s="5"/>
      <c r="C515" s="5"/>
      <c r="D515" s="5"/>
      <c r="E515" s="5"/>
      <c r="F515" s="5"/>
      <c r="G515" s="5"/>
      <c r="H515" s="5"/>
      <c r="I515" s="5"/>
      <c r="J515" s="5"/>
      <c r="K515" s="5"/>
      <c r="L515" s="5"/>
      <c r="M515" s="20"/>
      <c r="N515" s="5"/>
    </row>
    <row r="516" spans="1:14" ht="14.25" customHeight="1" x14ac:dyDescent="0.25">
      <c r="A516" s="5"/>
      <c r="B516" s="5"/>
      <c r="C516" s="5"/>
      <c r="D516" s="5"/>
      <c r="E516" s="5"/>
      <c r="F516" s="5"/>
      <c r="G516" s="5"/>
      <c r="H516" s="5"/>
      <c r="I516" s="5"/>
      <c r="J516" s="5"/>
      <c r="K516" s="5"/>
      <c r="L516" s="5"/>
      <c r="M516" s="20"/>
      <c r="N516" s="5"/>
    </row>
    <row r="517" spans="1:14" ht="14.25" customHeight="1" x14ac:dyDescent="0.25">
      <c r="A517" s="5"/>
      <c r="B517" s="5"/>
      <c r="C517" s="5"/>
      <c r="D517" s="5"/>
      <c r="E517" s="5"/>
      <c r="F517" s="5"/>
      <c r="G517" s="5"/>
      <c r="H517" s="5"/>
      <c r="I517" s="5"/>
      <c r="J517" s="5"/>
      <c r="K517" s="5"/>
      <c r="L517" s="5"/>
      <c r="M517" s="20"/>
      <c r="N517" s="5"/>
    </row>
    <row r="518" spans="1:14" ht="14.25" customHeight="1" x14ac:dyDescent="0.25">
      <c r="A518" s="5"/>
      <c r="B518" s="5"/>
      <c r="C518" s="5"/>
      <c r="D518" s="5"/>
      <c r="E518" s="5"/>
      <c r="F518" s="5"/>
      <c r="G518" s="5"/>
      <c r="H518" s="5"/>
      <c r="I518" s="5"/>
      <c r="J518" s="5"/>
      <c r="K518" s="5"/>
      <c r="L518" s="5"/>
      <c r="M518" s="20"/>
      <c r="N518" s="5"/>
    </row>
    <row r="519" spans="1:14" ht="14.25" customHeight="1" x14ac:dyDescent="0.25">
      <c r="A519" s="5"/>
      <c r="B519" s="5"/>
      <c r="C519" s="5"/>
      <c r="D519" s="5"/>
      <c r="E519" s="5"/>
      <c r="F519" s="5"/>
      <c r="G519" s="5"/>
      <c r="H519" s="5"/>
      <c r="I519" s="5"/>
      <c r="J519" s="5"/>
      <c r="K519" s="5"/>
      <c r="L519" s="5"/>
      <c r="M519" s="20"/>
      <c r="N519" s="5"/>
    </row>
    <row r="520" spans="1:14" ht="14.25" customHeight="1" x14ac:dyDescent="0.25">
      <c r="A520" s="5"/>
      <c r="B520" s="5"/>
      <c r="C520" s="5"/>
      <c r="D520" s="5"/>
      <c r="E520" s="5"/>
      <c r="F520" s="5"/>
      <c r="G520" s="5"/>
      <c r="H520" s="5"/>
      <c r="I520" s="5"/>
      <c r="J520" s="5"/>
      <c r="K520" s="5"/>
      <c r="L520" s="5"/>
      <c r="M520" s="20"/>
      <c r="N520" s="5"/>
    </row>
    <row r="521" spans="1:14" ht="14.25" customHeight="1" x14ac:dyDescent="0.25">
      <c r="A521" s="5"/>
      <c r="B521" s="5"/>
      <c r="C521" s="5"/>
      <c r="D521" s="5"/>
      <c r="E521" s="5"/>
      <c r="F521" s="5"/>
      <c r="G521" s="5"/>
      <c r="H521" s="5"/>
      <c r="I521" s="5"/>
      <c r="J521" s="5"/>
      <c r="K521" s="5"/>
      <c r="L521" s="5"/>
      <c r="M521" s="20"/>
      <c r="N521" s="5"/>
    </row>
    <row r="522" spans="1:14" ht="14.25" customHeight="1" x14ac:dyDescent="0.25">
      <c r="A522" s="5"/>
      <c r="B522" s="5"/>
      <c r="C522" s="5"/>
      <c r="D522" s="5"/>
      <c r="E522" s="5"/>
      <c r="F522" s="5"/>
      <c r="G522" s="5"/>
      <c r="H522" s="5"/>
      <c r="I522" s="5"/>
      <c r="J522" s="5"/>
      <c r="K522" s="5"/>
      <c r="L522" s="5"/>
      <c r="M522" s="20"/>
      <c r="N522" s="5"/>
    </row>
    <row r="523" spans="1:14" ht="14.25" customHeight="1" x14ac:dyDescent="0.25">
      <c r="A523" s="5"/>
      <c r="B523" s="5"/>
      <c r="C523" s="5"/>
      <c r="D523" s="5"/>
      <c r="E523" s="5"/>
      <c r="F523" s="5"/>
      <c r="G523" s="5"/>
      <c r="H523" s="5"/>
      <c r="I523" s="5"/>
      <c r="J523" s="5"/>
      <c r="K523" s="5"/>
      <c r="L523" s="5"/>
      <c r="M523" s="20"/>
      <c r="N523" s="5"/>
    </row>
    <row r="524" spans="1:14" ht="14.25" customHeight="1" x14ac:dyDescent="0.25">
      <c r="A524" s="5"/>
      <c r="B524" s="5"/>
      <c r="C524" s="5"/>
      <c r="D524" s="5"/>
      <c r="E524" s="5"/>
      <c r="F524" s="5"/>
      <c r="G524" s="5"/>
      <c r="H524" s="5"/>
      <c r="I524" s="5"/>
      <c r="J524" s="5"/>
      <c r="K524" s="5"/>
      <c r="L524" s="5"/>
      <c r="M524" s="20"/>
      <c r="N524" s="5"/>
    </row>
    <row r="525" spans="1:14" ht="14.25" customHeight="1" x14ac:dyDescent="0.25">
      <c r="A525" s="5"/>
      <c r="B525" s="5"/>
      <c r="C525" s="5"/>
      <c r="D525" s="5"/>
      <c r="E525" s="5"/>
      <c r="F525" s="5"/>
      <c r="G525" s="5"/>
      <c r="H525" s="5"/>
      <c r="I525" s="5"/>
      <c r="J525" s="5"/>
      <c r="K525" s="5"/>
      <c r="L525" s="5"/>
      <c r="M525" s="20"/>
      <c r="N525" s="5"/>
    </row>
    <row r="526" spans="1:14" ht="14.25" customHeight="1" x14ac:dyDescent="0.25">
      <c r="A526" s="5"/>
      <c r="B526" s="5"/>
      <c r="C526" s="5"/>
      <c r="D526" s="5"/>
      <c r="E526" s="5"/>
      <c r="F526" s="5"/>
      <c r="G526" s="5"/>
      <c r="H526" s="5"/>
      <c r="I526" s="5"/>
      <c r="J526" s="5"/>
      <c r="K526" s="5"/>
      <c r="L526" s="5"/>
      <c r="M526" s="20"/>
      <c r="N526" s="5"/>
    </row>
    <row r="527" spans="1:14" ht="14.25" customHeight="1" x14ac:dyDescent="0.25">
      <c r="A527" s="5"/>
      <c r="B527" s="5"/>
      <c r="C527" s="5"/>
      <c r="D527" s="5"/>
      <c r="E527" s="5"/>
      <c r="F527" s="5"/>
      <c r="G527" s="5"/>
      <c r="H527" s="5"/>
      <c r="I527" s="5"/>
      <c r="J527" s="5"/>
      <c r="K527" s="5"/>
      <c r="L527" s="5"/>
      <c r="M527" s="20"/>
      <c r="N527" s="5"/>
    </row>
    <row r="528" spans="1:14" ht="14.25" customHeight="1" x14ac:dyDescent="0.25">
      <c r="A528" s="5"/>
      <c r="B528" s="5"/>
      <c r="C528" s="5"/>
      <c r="D528" s="5"/>
      <c r="E528" s="5"/>
      <c r="F528" s="5"/>
      <c r="G528" s="5"/>
      <c r="H528" s="5"/>
      <c r="I528" s="5"/>
      <c r="J528" s="5"/>
      <c r="K528" s="5"/>
      <c r="L528" s="5"/>
      <c r="M528" s="20"/>
      <c r="N528" s="5"/>
    </row>
    <row r="529" spans="1:14" ht="14.25" customHeight="1" x14ac:dyDescent="0.25">
      <c r="A529" s="5"/>
      <c r="B529" s="5"/>
      <c r="C529" s="5"/>
      <c r="D529" s="5"/>
      <c r="E529" s="5"/>
      <c r="F529" s="5"/>
      <c r="G529" s="5"/>
      <c r="H529" s="5"/>
      <c r="I529" s="5"/>
      <c r="J529" s="5"/>
      <c r="K529" s="5"/>
      <c r="L529" s="5"/>
      <c r="M529" s="20"/>
      <c r="N529" s="5"/>
    </row>
    <row r="530" spans="1:14" ht="14.25" customHeight="1" x14ac:dyDescent="0.25">
      <c r="A530" s="5"/>
      <c r="B530" s="5"/>
      <c r="C530" s="5"/>
      <c r="D530" s="5"/>
      <c r="E530" s="5"/>
      <c r="F530" s="5"/>
      <c r="G530" s="5"/>
      <c r="H530" s="5"/>
      <c r="I530" s="5"/>
      <c r="J530" s="5"/>
      <c r="K530" s="5"/>
      <c r="L530" s="5"/>
      <c r="M530" s="20"/>
      <c r="N530" s="5"/>
    </row>
    <row r="531" spans="1:14" ht="14.25" customHeight="1" x14ac:dyDescent="0.25">
      <c r="A531" s="5"/>
      <c r="B531" s="5"/>
      <c r="C531" s="5"/>
      <c r="D531" s="5"/>
      <c r="E531" s="5"/>
      <c r="F531" s="5"/>
      <c r="G531" s="5"/>
      <c r="H531" s="5"/>
      <c r="I531" s="5"/>
      <c r="J531" s="5"/>
      <c r="K531" s="5"/>
      <c r="L531" s="5"/>
      <c r="M531" s="20"/>
      <c r="N531" s="5"/>
    </row>
    <row r="532" spans="1:14" ht="14.25" customHeight="1" x14ac:dyDescent="0.25">
      <c r="A532" s="5"/>
      <c r="B532" s="5"/>
      <c r="C532" s="5"/>
      <c r="D532" s="5"/>
      <c r="E532" s="5"/>
      <c r="F532" s="5"/>
      <c r="G532" s="5"/>
      <c r="H532" s="5"/>
      <c r="I532" s="5"/>
      <c r="J532" s="5"/>
      <c r="K532" s="5"/>
      <c r="L532" s="5"/>
      <c r="M532" s="20"/>
      <c r="N532" s="5"/>
    </row>
    <row r="533" spans="1:14" ht="14.25" customHeight="1" x14ac:dyDescent="0.25">
      <c r="A533" s="5"/>
      <c r="B533" s="5"/>
      <c r="C533" s="5"/>
      <c r="D533" s="5"/>
      <c r="E533" s="5"/>
      <c r="F533" s="5"/>
      <c r="G533" s="5"/>
      <c r="H533" s="5"/>
      <c r="I533" s="5"/>
      <c r="J533" s="5"/>
      <c r="K533" s="5"/>
      <c r="L533" s="5"/>
      <c r="M533" s="20"/>
      <c r="N533" s="5"/>
    </row>
    <row r="534" spans="1:14" ht="14.25" customHeight="1" x14ac:dyDescent="0.25">
      <c r="A534" s="5"/>
      <c r="B534" s="5"/>
      <c r="C534" s="5"/>
      <c r="D534" s="5"/>
      <c r="E534" s="5"/>
      <c r="F534" s="5"/>
      <c r="G534" s="5"/>
      <c r="H534" s="5"/>
      <c r="I534" s="5"/>
      <c r="J534" s="5"/>
      <c r="K534" s="5"/>
      <c r="L534" s="5"/>
      <c r="M534" s="20"/>
      <c r="N534" s="5"/>
    </row>
    <row r="535" spans="1:14" ht="14.25" customHeight="1" x14ac:dyDescent="0.25">
      <c r="A535" s="5"/>
      <c r="B535" s="5"/>
      <c r="C535" s="5"/>
      <c r="D535" s="5"/>
      <c r="E535" s="5"/>
      <c r="F535" s="5"/>
      <c r="G535" s="5"/>
      <c r="H535" s="5"/>
      <c r="I535" s="5"/>
      <c r="J535" s="5"/>
      <c r="K535" s="5"/>
      <c r="L535" s="5"/>
      <c r="M535" s="20"/>
      <c r="N535" s="5"/>
    </row>
    <row r="536" spans="1:14" ht="14.25" customHeight="1" x14ac:dyDescent="0.25">
      <c r="A536" s="5"/>
      <c r="B536" s="5"/>
      <c r="C536" s="5"/>
      <c r="D536" s="5"/>
      <c r="E536" s="5"/>
      <c r="F536" s="5"/>
      <c r="G536" s="5"/>
      <c r="H536" s="5"/>
      <c r="I536" s="5"/>
      <c r="J536" s="5"/>
      <c r="K536" s="5"/>
      <c r="L536" s="5"/>
      <c r="M536" s="20"/>
      <c r="N536" s="5"/>
    </row>
    <row r="537" spans="1:14" ht="14.25" customHeight="1" x14ac:dyDescent="0.25">
      <c r="A537" s="5"/>
      <c r="B537" s="5"/>
      <c r="C537" s="5"/>
      <c r="D537" s="5"/>
      <c r="E537" s="5"/>
      <c r="F537" s="5"/>
      <c r="G537" s="5"/>
      <c r="H537" s="5"/>
      <c r="I537" s="5"/>
      <c r="J537" s="5"/>
      <c r="K537" s="5"/>
      <c r="L537" s="5"/>
      <c r="M537" s="20"/>
      <c r="N537" s="5"/>
    </row>
    <row r="538" spans="1:14" ht="14.25" customHeight="1" x14ac:dyDescent="0.25">
      <c r="A538" s="5"/>
      <c r="B538" s="5"/>
      <c r="C538" s="5"/>
      <c r="D538" s="5"/>
      <c r="E538" s="5"/>
      <c r="F538" s="5"/>
      <c r="G538" s="5"/>
      <c r="H538" s="5"/>
      <c r="I538" s="5"/>
      <c r="J538" s="5"/>
      <c r="K538" s="5"/>
      <c r="L538" s="5"/>
      <c r="M538" s="20"/>
      <c r="N538" s="5"/>
    </row>
    <row r="539" spans="1:14" ht="14.25" customHeight="1" x14ac:dyDescent="0.25">
      <c r="A539" s="5"/>
      <c r="B539" s="5"/>
      <c r="C539" s="5"/>
      <c r="D539" s="5"/>
      <c r="E539" s="5"/>
      <c r="F539" s="5"/>
      <c r="G539" s="5"/>
      <c r="H539" s="5"/>
      <c r="I539" s="5"/>
      <c r="J539" s="5"/>
      <c r="K539" s="5"/>
      <c r="L539" s="5"/>
      <c r="M539" s="20"/>
      <c r="N539" s="5"/>
    </row>
    <row r="540" spans="1:14" ht="14.25" customHeight="1" x14ac:dyDescent="0.25">
      <c r="A540" s="5"/>
      <c r="B540" s="5"/>
      <c r="C540" s="5"/>
      <c r="D540" s="5"/>
      <c r="E540" s="5"/>
      <c r="F540" s="5"/>
      <c r="G540" s="5"/>
      <c r="H540" s="5"/>
      <c r="I540" s="5"/>
      <c r="J540" s="5"/>
      <c r="K540" s="5"/>
      <c r="L540" s="5"/>
      <c r="M540" s="20"/>
      <c r="N540" s="5"/>
    </row>
    <row r="541" spans="1:14" ht="14.25" customHeight="1" x14ac:dyDescent="0.25">
      <c r="A541" s="5"/>
      <c r="B541" s="5"/>
      <c r="C541" s="5"/>
      <c r="D541" s="5"/>
      <c r="E541" s="5"/>
      <c r="F541" s="5"/>
      <c r="G541" s="5"/>
      <c r="H541" s="5"/>
      <c r="I541" s="5"/>
      <c r="J541" s="5"/>
      <c r="K541" s="5"/>
      <c r="L541" s="5"/>
      <c r="M541" s="20"/>
      <c r="N541" s="5"/>
    </row>
    <row r="542" spans="1:14" ht="14.25" customHeight="1" x14ac:dyDescent="0.25">
      <c r="A542" s="5"/>
      <c r="B542" s="5"/>
      <c r="C542" s="5"/>
      <c r="D542" s="5"/>
      <c r="E542" s="5"/>
      <c r="F542" s="5"/>
      <c r="G542" s="5"/>
      <c r="H542" s="5"/>
      <c r="I542" s="5"/>
      <c r="J542" s="5"/>
      <c r="K542" s="5"/>
      <c r="L542" s="5"/>
      <c r="M542" s="20"/>
      <c r="N542" s="5"/>
    </row>
    <row r="543" spans="1:14" ht="14.25" customHeight="1" x14ac:dyDescent="0.25">
      <c r="A543" s="5"/>
      <c r="B543" s="5"/>
      <c r="C543" s="5"/>
      <c r="D543" s="5"/>
      <c r="E543" s="5"/>
      <c r="F543" s="5"/>
      <c r="G543" s="5"/>
      <c r="H543" s="5"/>
      <c r="I543" s="5"/>
      <c r="J543" s="5"/>
      <c r="K543" s="5"/>
      <c r="L543" s="5"/>
      <c r="M543" s="20"/>
      <c r="N543" s="5"/>
    </row>
    <row r="544" spans="1:14" ht="14.25" customHeight="1" x14ac:dyDescent="0.25">
      <c r="A544" s="5"/>
      <c r="B544" s="5"/>
      <c r="C544" s="5"/>
      <c r="D544" s="5"/>
      <c r="E544" s="5"/>
      <c r="F544" s="5"/>
      <c r="G544" s="5"/>
      <c r="H544" s="5"/>
      <c r="I544" s="5"/>
      <c r="J544" s="5"/>
      <c r="K544" s="5"/>
      <c r="L544" s="5"/>
      <c r="M544" s="20"/>
      <c r="N544" s="5"/>
    </row>
    <row r="545" spans="1:14" ht="14.25" customHeight="1" x14ac:dyDescent="0.25">
      <c r="A545" s="5"/>
      <c r="B545" s="5"/>
      <c r="C545" s="5"/>
      <c r="D545" s="5"/>
      <c r="E545" s="5"/>
      <c r="F545" s="5"/>
      <c r="G545" s="5"/>
      <c r="H545" s="5"/>
      <c r="I545" s="5"/>
      <c r="J545" s="5"/>
      <c r="K545" s="5"/>
      <c r="L545" s="5"/>
      <c r="M545" s="20"/>
      <c r="N545" s="5"/>
    </row>
    <row r="546" spans="1:14" ht="14.25" customHeight="1" x14ac:dyDescent="0.25">
      <c r="A546" s="5"/>
      <c r="B546" s="5"/>
      <c r="C546" s="5"/>
      <c r="D546" s="5"/>
      <c r="E546" s="5"/>
      <c r="F546" s="5"/>
      <c r="G546" s="5"/>
      <c r="H546" s="5"/>
      <c r="I546" s="5"/>
      <c r="J546" s="5"/>
      <c r="K546" s="5"/>
      <c r="L546" s="5"/>
      <c r="M546" s="20"/>
      <c r="N546" s="5"/>
    </row>
    <row r="547" spans="1:14" ht="14.25" customHeight="1" x14ac:dyDescent="0.25">
      <c r="A547" s="5"/>
      <c r="B547" s="5"/>
      <c r="C547" s="5"/>
      <c r="D547" s="5"/>
      <c r="E547" s="5"/>
      <c r="F547" s="5"/>
      <c r="G547" s="5"/>
      <c r="H547" s="5"/>
      <c r="I547" s="5"/>
      <c r="J547" s="5"/>
      <c r="K547" s="5"/>
      <c r="L547" s="5"/>
      <c r="M547" s="20"/>
      <c r="N547" s="5"/>
    </row>
    <row r="548" spans="1:14" ht="14.25" customHeight="1" x14ac:dyDescent="0.25">
      <c r="A548" s="5"/>
      <c r="B548" s="5"/>
      <c r="C548" s="5"/>
      <c r="D548" s="5"/>
      <c r="E548" s="5"/>
      <c r="F548" s="5"/>
      <c r="G548" s="5"/>
      <c r="H548" s="5"/>
      <c r="I548" s="5"/>
      <c r="J548" s="5"/>
      <c r="K548" s="5"/>
      <c r="L548" s="5"/>
      <c r="M548" s="20"/>
      <c r="N548" s="5"/>
    </row>
    <row r="549" spans="1:14" ht="14.25" customHeight="1" x14ac:dyDescent="0.25">
      <c r="A549" s="5"/>
      <c r="B549" s="5"/>
      <c r="C549" s="5"/>
      <c r="D549" s="5"/>
      <c r="E549" s="5"/>
      <c r="F549" s="5"/>
      <c r="G549" s="5"/>
      <c r="H549" s="5"/>
      <c r="I549" s="5"/>
      <c r="J549" s="5"/>
      <c r="K549" s="5"/>
      <c r="L549" s="5"/>
      <c r="M549" s="20"/>
      <c r="N549" s="5"/>
    </row>
    <row r="550" spans="1:14" ht="14.25" customHeight="1" x14ac:dyDescent="0.25">
      <c r="A550" s="5"/>
      <c r="B550" s="5"/>
      <c r="C550" s="5"/>
      <c r="D550" s="5"/>
      <c r="E550" s="5"/>
      <c r="F550" s="5"/>
      <c r="G550" s="5"/>
      <c r="H550" s="5"/>
      <c r="I550" s="5"/>
      <c r="J550" s="5"/>
      <c r="K550" s="5"/>
      <c r="L550" s="5"/>
      <c r="M550" s="20"/>
      <c r="N550" s="5"/>
    </row>
    <row r="551" spans="1:14" ht="14.25" customHeight="1" x14ac:dyDescent="0.25">
      <c r="A551" s="5"/>
      <c r="B551" s="5"/>
      <c r="C551" s="5"/>
      <c r="D551" s="5"/>
      <c r="E551" s="5"/>
      <c r="F551" s="5"/>
      <c r="G551" s="5"/>
      <c r="H551" s="5"/>
      <c r="I551" s="5"/>
      <c r="J551" s="5"/>
      <c r="K551" s="5"/>
      <c r="L551" s="5"/>
      <c r="M551" s="20"/>
      <c r="N551" s="5"/>
    </row>
    <row r="552" spans="1:14" ht="14.25" customHeight="1" x14ac:dyDescent="0.25">
      <c r="A552" s="5"/>
      <c r="B552" s="5"/>
      <c r="C552" s="5"/>
      <c r="D552" s="5"/>
      <c r="E552" s="5"/>
      <c r="F552" s="5"/>
      <c r="G552" s="5"/>
      <c r="H552" s="5"/>
      <c r="I552" s="5"/>
      <c r="J552" s="5"/>
      <c r="K552" s="5"/>
      <c r="L552" s="5"/>
      <c r="M552" s="20"/>
      <c r="N552" s="5"/>
    </row>
    <row r="553" spans="1:14" ht="14.25" customHeight="1" x14ac:dyDescent="0.25">
      <c r="A553" s="5"/>
      <c r="B553" s="5"/>
      <c r="C553" s="5"/>
      <c r="D553" s="5"/>
      <c r="E553" s="5"/>
      <c r="F553" s="5"/>
      <c r="G553" s="5"/>
      <c r="H553" s="5"/>
      <c r="I553" s="5"/>
      <c r="J553" s="5"/>
      <c r="K553" s="5"/>
      <c r="L553" s="5"/>
      <c r="M553" s="20"/>
      <c r="N553" s="5"/>
    </row>
    <row r="554" spans="1:14" ht="14.25" customHeight="1" x14ac:dyDescent="0.25">
      <c r="A554" s="5"/>
      <c r="B554" s="5"/>
      <c r="C554" s="5"/>
      <c r="D554" s="5"/>
      <c r="E554" s="5"/>
      <c r="F554" s="5"/>
      <c r="G554" s="5"/>
      <c r="H554" s="5"/>
      <c r="I554" s="5"/>
      <c r="J554" s="5"/>
      <c r="K554" s="5"/>
      <c r="L554" s="5"/>
      <c r="M554" s="20"/>
      <c r="N554" s="5"/>
    </row>
    <row r="555" spans="1:14" ht="14.25" customHeight="1" x14ac:dyDescent="0.25">
      <c r="A555" s="5"/>
      <c r="B555" s="5"/>
      <c r="C555" s="5"/>
      <c r="D555" s="5"/>
      <c r="E555" s="5"/>
      <c r="F555" s="5"/>
      <c r="G555" s="5"/>
      <c r="H555" s="5"/>
      <c r="I555" s="5"/>
      <c r="J555" s="5"/>
      <c r="K555" s="5"/>
      <c r="L555" s="5"/>
      <c r="M555" s="20"/>
      <c r="N555" s="5"/>
    </row>
    <row r="556" spans="1:14" ht="14.25" customHeight="1" x14ac:dyDescent="0.25">
      <c r="A556" s="5"/>
      <c r="B556" s="5"/>
      <c r="C556" s="5"/>
      <c r="D556" s="5"/>
      <c r="E556" s="5"/>
      <c r="F556" s="5"/>
      <c r="G556" s="5"/>
      <c r="H556" s="5"/>
      <c r="I556" s="5"/>
      <c r="J556" s="5"/>
      <c r="K556" s="5"/>
      <c r="L556" s="5"/>
      <c r="M556" s="20"/>
      <c r="N556" s="5"/>
    </row>
    <row r="557" spans="1:14" ht="14.25" customHeight="1" x14ac:dyDescent="0.25">
      <c r="A557" s="5"/>
      <c r="B557" s="5"/>
      <c r="C557" s="5"/>
      <c r="D557" s="5"/>
      <c r="E557" s="5"/>
      <c r="F557" s="5"/>
      <c r="G557" s="5"/>
      <c r="H557" s="5"/>
      <c r="I557" s="5"/>
      <c r="J557" s="5"/>
      <c r="K557" s="5"/>
      <c r="L557" s="5"/>
      <c r="M557" s="20"/>
      <c r="N557" s="5"/>
    </row>
    <row r="558" spans="1:14" ht="14.25" customHeight="1" x14ac:dyDescent="0.25">
      <c r="A558" s="5"/>
      <c r="B558" s="5"/>
      <c r="C558" s="5"/>
      <c r="D558" s="5"/>
      <c r="E558" s="5"/>
      <c r="F558" s="5"/>
      <c r="G558" s="5"/>
      <c r="H558" s="5"/>
      <c r="I558" s="5"/>
      <c r="J558" s="5"/>
      <c r="K558" s="5"/>
      <c r="L558" s="5"/>
      <c r="M558" s="20"/>
      <c r="N558" s="5"/>
    </row>
    <row r="559" spans="1:14" ht="14.25" customHeight="1" x14ac:dyDescent="0.25">
      <c r="A559" s="5"/>
      <c r="B559" s="5"/>
      <c r="C559" s="5"/>
      <c r="D559" s="5"/>
      <c r="E559" s="5"/>
      <c r="F559" s="5"/>
      <c r="G559" s="5"/>
      <c r="H559" s="5"/>
      <c r="I559" s="5"/>
      <c r="J559" s="5"/>
      <c r="K559" s="5"/>
      <c r="L559" s="5"/>
      <c r="M559" s="20"/>
      <c r="N559" s="5"/>
    </row>
    <row r="560" spans="1:14" ht="14.25" customHeight="1" x14ac:dyDescent="0.25">
      <c r="A560" s="5"/>
      <c r="B560" s="5"/>
      <c r="C560" s="5"/>
      <c r="D560" s="5"/>
      <c r="E560" s="5"/>
      <c r="F560" s="5"/>
      <c r="G560" s="5"/>
      <c r="H560" s="5"/>
      <c r="I560" s="5"/>
      <c r="J560" s="5"/>
      <c r="K560" s="5"/>
      <c r="L560" s="5"/>
      <c r="M560" s="20"/>
      <c r="N560" s="5"/>
    </row>
    <row r="561" spans="1:14" ht="14.25" customHeight="1" x14ac:dyDescent="0.25">
      <c r="A561" s="5"/>
      <c r="B561" s="5"/>
      <c r="C561" s="5"/>
      <c r="D561" s="5"/>
      <c r="E561" s="5"/>
      <c r="F561" s="5"/>
      <c r="G561" s="5"/>
      <c r="H561" s="5"/>
      <c r="I561" s="5"/>
      <c r="J561" s="5"/>
      <c r="K561" s="5"/>
      <c r="L561" s="5"/>
      <c r="M561" s="20"/>
      <c r="N561" s="5"/>
    </row>
    <row r="562" spans="1:14" ht="14.25" customHeight="1" x14ac:dyDescent="0.25">
      <c r="A562" s="5"/>
      <c r="B562" s="5"/>
      <c r="C562" s="5"/>
      <c r="D562" s="5"/>
      <c r="E562" s="5"/>
      <c r="F562" s="5"/>
      <c r="G562" s="5"/>
      <c r="H562" s="5"/>
      <c r="I562" s="5"/>
      <c r="J562" s="5"/>
      <c r="K562" s="5"/>
      <c r="L562" s="5"/>
      <c r="M562" s="20"/>
      <c r="N562" s="5"/>
    </row>
    <row r="563" spans="1:14" ht="14.25" customHeight="1" x14ac:dyDescent="0.25">
      <c r="A563" s="5"/>
      <c r="B563" s="5"/>
      <c r="C563" s="5"/>
      <c r="D563" s="5"/>
      <c r="E563" s="5"/>
      <c r="F563" s="5"/>
      <c r="G563" s="5"/>
      <c r="H563" s="5"/>
      <c r="I563" s="5"/>
      <c r="J563" s="5"/>
      <c r="K563" s="5"/>
      <c r="L563" s="5"/>
      <c r="M563" s="20"/>
      <c r="N563" s="5"/>
    </row>
    <row r="564" spans="1:14" ht="14.25" customHeight="1" x14ac:dyDescent="0.25">
      <c r="A564" s="5"/>
      <c r="B564" s="5"/>
      <c r="C564" s="5"/>
      <c r="D564" s="5"/>
      <c r="E564" s="5"/>
      <c r="F564" s="5"/>
      <c r="G564" s="5"/>
      <c r="H564" s="5"/>
      <c r="I564" s="5"/>
      <c r="J564" s="5"/>
      <c r="K564" s="5"/>
      <c r="L564" s="5"/>
      <c r="M564" s="20"/>
      <c r="N564" s="5"/>
    </row>
    <row r="565" spans="1:14" ht="14.25" customHeight="1" x14ac:dyDescent="0.25">
      <c r="A565" s="5"/>
      <c r="B565" s="5"/>
      <c r="C565" s="5"/>
      <c r="D565" s="5"/>
      <c r="E565" s="5"/>
      <c r="F565" s="5"/>
      <c r="G565" s="5"/>
      <c r="H565" s="5"/>
      <c r="I565" s="5"/>
      <c r="J565" s="5"/>
      <c r="K565" s="5"/>
      <c r="L565" s="5"/>
      <c r="M565" s="20"/>
      <c r="N565" s="5"/>
    </row>
    <row r="566" spans="1:14" ht="14.25" customHeight="1" x14ac:dyDescent="0.25">
      <c r="A566" s="5"/>
      <c r="B566" s="5"/>
      <c r="C566" s="5"/>
      <c r="D566" s="5"/>
      <c r="E566" s="5"/>
      <c r="F566" s="5"/>
      <c r="G566" s="5"/>
      <c r="H566" s="5"/>
      <c r="I566" s="5"/>
      <c r="J566" s="5"/>
      <c r="K566" s="5"/>
      <c r="L566" s="5"/>
      <c r="M566" s="20"/>
      <c r="N566" s="5"/>
    </row>
    <row r="567" spans="1:14" ht="14.25" customHeight="1" x14ac:dyDescent="0.25">
      <c r="A567" s="5"/>
      <c r="B567" s="5"/>
      <c r="C567" s="5"/>
      <c r="D567" s="5"/>
      <c r="E567" s="5"/>
      <c r="F567" s="5"/>
      <c r="G567" s="5"/>
      <c r="H567" s="5"/>
      <c r="I567" s="5"/>
      <c r="J567" s="5"/>
      <c r="K567" s="5"/>
      <c r="L567" s="5"/>
      <c r="M567" s="20"/>
      <c r="N567" s="5"/>
    </row>
    <row r="568" spans="1:14" ht="14.25" customHeight="1" x14ac:dyDescent="0.25">
      <c r="A568" s="5"/>
      <c r="B568" s="5"/>
      <c r="C568" s="5"/>
      <c r="D568" s="5"/>
      <c r="E568" s="5"/>
      <c r="F568" s="5"/>
      <c r="G568" s="5"/>
      <c r="H568" s="5"/>
      <c r="I568" s="5"/>
      <c r="J568" s="5"/>
      <c r="K568" s="5"/>
      <c r="L568" s="5"/>
      <c r="M568" s="20"/>
      <c r="N568" s="5"/>
    </row>
    <row r="569" spans="1:14" ht="14.25" customHeight="1" x14ac:dyDescent="0.25">
      <c r="A569" s="5"/>
      <c r="B569" s="5"/>
      <c r="C569" s="5"/>
      <c r="D569" s="5"/>
      <c r="E569" s="5"/>
      <c r="F569" s="5"/>
      <c r="G569" s="5"/>
      <c r="H569" s="5"/>
      <c r="I569" s="5"/>
      <c r="J569" s="5"/>
      <c r="K569" s="5"/>
      <c r="L569" s="5"/>
      <c r="M569" s="20"/>
      <c r="N569" s="5"/>
    </row>
    <row r="570" spans="1:14" ht="14.25" customHeight="1" x14ac:dyDescent="0.25">
      <c r="A570" s="5"/>
      <c r="B570" s="5"/>
      <c r="C570" s="5"/>
      <c r="D570" s="5"/>
      <c r="E570" s="5"/>
      <c r="F570" s="5"/>
      <c r="G570" s="5"/>
      <c r="H570" s="5"/>
      <c r="I570" s="5"/>
      <c r="J570" s="5"/>
      <c r="K570" s="5"/>
      <c r="L570" s="5"/>
      <c r="M570" s="20"/>
      <c r="N570" s="5"/>
    </row>
    <row r="571" spans="1:14" ht="14.25" customHeight="1" x14ac:dyDescent="0.25">
      <c r="A571" s="5"/>
      <c r="B571" s="5"/>
      <c r="C571" s="5"/>
      <c r="D571" s="5"/>
      <c r="E571" s="5"/>
      <c r="F571" s="5"/>
      <c r="G571" s="5"/>
      <c r="H571" s="5"/>
      <c r="I571" s="5"/>
      <c r="J571" s="5"/>
      <c r="K571" s="5"/>
      <c r="L571" s="5"/>
      <c r="M571" s="20"/>
      <c r="N571" s="5"/>
    </row>
    <row r="572" spans="1:14" ht="14.25" customHeight="1" x14ac:dyDescent="0.25">
      <c r="A572" s="5"/>
      <c r="B572" s="5"/>
      <c r="C572" s="5"/>
      <c r="D572" s="5"/>
      <c r="E572" s="5"/>
      <c r="F572" s="5"/>
      <c r="G572" s="5"/>
      <c r="H572" s="5"/>
      <c r="I572" s="5"/>
      <c r="J572" s="5"/>
      <c r="K572" s="5"/>
      <c r="L572" s="5"/>
      <c r="M572" s="20"/>
      <c r="N572" s="5"/>
    </row>
    <row r="573" spans="1:14" ht="14.25" customHeight="1" x14ac:dyDescent="0.25">
      <c r="A573" s="5"/>
      <c r="B573" s="5"/>
      <c r="C573" s="5"/>
      <c r="D573" s="5"/>
      <c r="E573" s="5"/>
      <c r="F573" s="5"/>
      <c r="G573" s="5"/>
      <c r="H573" s="5"/>
      <c r="I573" s="5"/>
      <c r="J573" s="5"/>
      <c r="K573" s="5"/>
      <c r="L573" s="5"/>
      <c r="M573" s="20"/>
      <c r="N573" s="5"/>
    </row>
    <row r="574" spans="1:14" ht="14.25" customHeight="1" x14ac:dyDescent="0.25">
      <c r="A574" s="5"/>
      <c r="B574" s="5"/>
      <c r="C574" s="5"/>
      <c r="D574" s="5"/>
      <c r="E574" s="5"/>
      <c r="F574" s="5"/>
      <c r="G574" s="5"/>
      <c r="H574" s="5"/>
      <c r="I574" s="5"/>
      <c r="J574" s="5"/>
      <c r="K574" s="5"/>
      <c r="L574" s="5"/>
      <c r="M574" s="20"/>
      <c r="N574" s="5"/>
    </row>
    <row r="575" spans="1:14" ht="14.25" customHeight="1" x14ac:dyDescent="0.25">
      <c r="A575" s="5"/>
      <c r="B575" s="5"/>
      <c r="C575" s="5"/>
      <c r="D575" s="5"/>
      <c r="E575" s="5"/>
      <c r="F575" s="5"/>
      <c r="G575" s="5"/>
      <c r="H575" s="5"/>
      <c r="I575" s="5"/>
      <c r="J575" s="5"/>
      <c r="K575" s="5"/>
      <c r="L575" s="5"/>
      <c r="M575" s="20"/>
      <c r="N575" s="5"/>
    </row>
    <row r="576" spans="1:14" ht="14.25" customHeight="1" x14ac:dyDescent="0.25">
      <c r="A576" s="5"/>
      <c r="B576" s="5"/>
      <c r="C576" s="5"/>
      <c r="D576" s="5"/>
      <c r="E576" s="5"/>
      <c r="F576" s="5"/>
      <c r="G576" s="5"/>
      <c r="H576" s="5"/>
      <c r="I576" s="5"/>
      <c r="J576" s="5"/>
      <c r="K576" s="5"/>
      <c r="L576" s="5"/>
      <c r="M576" s="20"/>
      <c r="N576" s="5"/>
    </row>
    <row r="577" spans="1:14" ht="14.25" customHeight="1" x14ac:dyDescent="0.25">
      <c r="A577" s="5"/>
      <c r="B577" s="5"/>
      <c r="C577" s="5"/>
      <c r="D577" s="5"/>
      <c r="E577" s="5"/>
      <c r="F577" s="5"/>
      <c r="G577" s="5"/>
      <c r="H577" s="5"/>
      <c r="I577" s="5"/>
      <c r="J577" s="5"/>
      <c r="K577" s="5"/>
      <c r="L577" s="5"/>
      <c r="M577" s="20"/>
      <c r="N577" s="5"/>
    </row>
    <row r="578" spans="1:14" ht="14.25" customHeight="1" x14ac:dyDescent="0.25">
      <c r="A578" s="5"/>
      <c r="B578" s="5"/>
      <c r="C578" s="5"/>
      <c r="D578" s="5"/>
      <c r="E578" s="5"/>
      <c r="F578" s="5"/>
      <c r="G578" s="5"/>
      <c r="H578" s="5"/>
      <c r="I578" s="5"/>
      <c r="J578" s="5"/>
      <c r="K578" s="5"/>
      <c r="L578" s="5"/>
      <c r="M578" s="20"/>
      <c r="N578" s="5"/>
    </row>
    <row r="579" spans="1:14" ht="14.25" customHeight="1" x14ac:dyDescent="0.25">
      <c r="A579" s="5"/>
      <c r="B579" s="5"/>
      <c r="C579" s="5"/>
      <c r="D579" s="5"/>
      <c r="E579" s="5"/>
      <c r="F579" s="5"/>
      <c r="G579" s="5"/>
      <c r="H579" s="5"/>
      <c r="I579" s="5"/>
      <c r="J579" s="5"/>
      <c r="K579" s="5"/>
      <c r="L579" s="5"/>
      <c r="M579" s="20"/>
      <c r="N579" s="5"/>
    </row>
    <row r="580" spans="1:14" ht="14.25" customHeight="1" x14ac:dyDescent="0.25">
      <c r="A580" s="5"/>
      <c r="B580" s="5"/>
      <c r="C580" s="5"/>
      <c r="D580" s="5"/>
      <c r="E580" s="5"/>
      <c r="F580" s="5"/>
      <c r="G580" s="5"/>
      <c r="H580" s="5"/>
      <c r="I580" s="5"/>
      <c r="J580" s="5"/>
      <c r="K580" s="5"/>
      <c r="L580" s="5"/>
      <c r="M580" s="20"/>
      <c r="N580" s="5"/>
    </row>
    <row r="581" spans="1:14" ht="14.25" customHeight="1" x14ac:dyDescent="0.25">
      <c r="A581" s="5"/>
      <c r="B581" s="5"/>
      <c r="C581" s="5"/>
      <c r="D581" s="5"/>
      <c r="E581" s="5"/>
      <c r="F581" s="5"/>
      <c r="G581" s="5"/>
      <c r="H581" s="5"/>
      <c r="I581" s="5"/>
      <c r="J581" s="5"/>
      <c r="K581" s="5"/>
      <c r="L581" s="5"/>
      <c r="M581" s="20"/>
      <c r="N581" s="5"/>
    </row>
    <row r="582" spans="1:14" ht="14.25" customHeight="1" x14ac:dyDescent="0.25">
      <c r="A582" s="5"/>
      <c r="B582" s="5"/>
      <c r="C582" s="5"/>
      <c r="D582" s="5"/>
      <c r="E582" s="5"/>
      <c r="F582" s="5"/>
      <c r="G582" s="5"/>
      <c r="H582" s="5"/>
      <c r="I582" s="5"/>
      <c r="J582" s="5"/>
      <c r="K582" s="5"/>
      <c r="L582" s="5"/>
      <c r="M582" s="20"/>
      <c r="N582" s="5"/>
    </row>
    <row r="583" spans="1:14" ht="14.25" customHeight="1" x14ac:dyDescent="0.25">
      <c r="A583" s="5"/>
      <c r="B583" s="5"/>
      <c r="C583" s="5"/>
      <c r="D583" s="5"/>
      <c r="E583" s="5"/>
      <c r="F583" s="5"/>
      <c r="G583" s="5"/>
      <c r="H583" s="5"/>
      <c r="I583" s="5"/>
      <c r="J583" s="5"/>
      <c r="K583" s="5"/>
      <c r="L583" s="5"/>
      <c r="M583" s="20"/>
      <c r="N583" s="5"/>
    </row>
    <row r="584" spans="1:14" ht="14.25" customHeight="1" x14ac:dyDescent="0.25">
      <c r="A584" s="5"/>
      <c r="B584" s="5"/>
      <c r="C584" s="5"/>
      <c r="D584" s="5"/>
      <c r="E584" s="5"/>
      <c r="F584" s="5"/>
      <c r="G584" s="5"/>
      <c r="H584" s="5"/>
      <c r="I584" s="5"/>
      <c r="J584" s="5"/>
      <c r="K584" s="5"/>
      <c r="L584" s="5"/>
      <c r="M584" s="20"/>
      <c r="N584" s="5"/>
    </row>
    <row r="585" spans="1:14" ht="14.25" customHeight="1" x14ac:dyDescent="0.25">
      <c r="A585" s="5"/>
      <c r="B585" s="5"/>
      <c r="C585" s="5"/>
      <c r="D585" s="5"/>
      <c r="E585" s="5"/>
      <c r="F585" s="5"/>
      <c r="G585" s="5"/>
      <c r="H585" s="5"/>
      <c r="I585" s="5"/>
      <c r="J585" s="5"/>
      <c r="K585" s="5"/>
      <c r="L585" s="5"/>
      <c r="M585" s="20"/>
      <c r="N585" s="5"/>
    </row>
    <row r="586" spans="1:14" ht="14.25" customHeight="1" x14ac:dyDescent="0.25">
      <c r="A586" s="5"/>
      <c r="B586" s="5"/>
      <c r="C586" s="5"/>
      <c r="D586" s="5"/>
      <c r="E586" s="5"/>
      <c r="F586" s="5"/>
      <c r="G586" s="5"/>
      <c r="H586" s="5"/>
      <c r="I586" s="5"/>
      <c r="J586" s="5"/>
      <c r="K586" s="5"/>
      <c r="L586" s="5"/>
      <c r="M586" s="20"/>
      <c r="N586" s="5"/>
    </row>
    <row r="587" spans="1:14" ht="14.25" customHeight="1" x14ac:dyDescent="0.25">
      <c r="A587" s="5"/>
      <c r="B587" s="5"/>
      <c r="C587" s="5"/>
      <c r="D587" s="5"/>
      <c r="E587" s="5"/>
      <c r="F587" s="5"/>
      <c r="G587" s="5"/>
      <c r="H587" s="5"/>
      <c r="I587" s="5"/>
      <c r="J587" s="5"/>
      <c r="K587" s="5"/>
      <c r="L587" s="5"/>
      <c r="M587" s="20"/>
      <c r="N587" s="5"/>
    </row>
    <row r="588" spans="1:14" ht="14.25" customHeight="1" x14ac:dyDescent="0.25">
      <c r="A588" s="5"/>
      <c r="B588" s="5"/>
      <c r="C588" s="5"/>
      <c r="D588" s="5"/>
      <c r="E588" s="5"/>
      <c r="F588" s="5"/>
      <c r="G588" s="5"/>
      <c r="H588" s="5"/>
      <c r="I588" s="5"/>
      <c r="J588" s="5"/>
      <c r="K588" s="5"/>
      <c r="L588" s="5"/>
      <c r="M588" s="20"/>
      <c r="N588" s="5"/>
    </row>
    <row r="589" spans="1:14" ht="14.25" customHeight="1" x14ac:dyDescent="0.25">
      <c r="A589" s="5"/>
      <c r="B589" s="5"/>
      <c r="C589" s="5"/>
      <c r="D589" s="5"/>
      <c r="E589" s="5"/>
      <c r="F589" s="5"/>
      <c r="G589" s="5"/>
      <c r="H589" s="5"/>
      <c r="I589" s="5"/>
      <c r="J589" s="5"/>
      <c r="K589" s="5"/>
      <c r="L589" s="5"/>
      <c r="M589" s="20"/>
      <c r="N589" s="5"/>
    </row>
    <row r="590" spans="1:14" ht="14.25" customHeight="1" x14ac:dyDescent="0.25">
      <c r="A590" s="5"/>
      <c r="B590" s="5"/>
      <c r="C590" s="5"/>
      <c r="D590" s="5"/>
      <c r="E590" s="5"/>
      <c r="F590" s="5"/>
      <c r="G590" s="5"/>
      <c r="H590" s="5"/>
      <c r="I590" s="5"/>
      <c r="J590" s="5"/>
      <c r="K590" s="5"/>
      <c r="L590" s="5"/>
      <c r="M590" s="20"/>
      <c r="N590" s="5"/>
    </row>
    <row r="591" spans="1:14" ht="14.25" customHeight="1" x14ac:dyDescent="0.25">
      <c r="A591" s="5"/>
      <c r="B591" s="5"/>
      <c r="C591" s="5"/>
      <c r="D591" s="5"/>
      <c r="E591" s="5"/>
      <c r="F591" s="5"/>
      <c r="G591" s="5"/>
      <c r="H591" s="5"/>
      <c r="I591" s="5"/>
      <c r="J591" s="5"/>
      <c r="K591" s="5"/>
      <c r="L591" s="5"/>
      <c r="M591" s="20"/>
      <c r="N591" s="5"/>
    </row>
    <row r="592" spans="1:14" ht="14.25" customHeight="1" x14ac:dyDescent="0.25">
      <c r="A592" s="5"/>
      <c r="B592" s="5"/>
      <c r="C592" s="5"/>
      <c r="D592" s="5"/>
      <c r="E592" s="5"/>
      <c r="F592" s="5"/>
      <c r="G592" s="5"/>
      <c r="H592" s="5"/>
      <c r="I592" s="5"/>
      <c r="J592" s="5"/>
      <c r="K592" s="5"/>
      <c r="L592" s="5"/>
      <c r="M592" s="20"/>
      <c r="N592" s="5"/>
    </row>
    <row r="593" spans="1:14" ht="14.25" customHeight="1" x14ac:dyDescent="0.25">
      <c r="A593" s="5"/>
      <c r="B593" s="5"/>
      <c r="C593" s="5"/>
      <c r="D593" s="5"/>
      <c r="E593" s="5"/>
      <c r="F593" s="5"/>
      <c r="G593" s="5"/>
      <c r="H593" s="5"/>
      <c r="I593" s="5"/>
      <c r="J593" s="5"/>
      <c r="K593" s="5"/>
      <c r="L593" s="5"/>
      <c r="M593" s="20"/>
      <c r="N593" s="5"/>
    </row>
    <row r="594" spans="1:14" ht="14.25" customHeight="1" x14ac:dyDescent="0.25">
      <c r="A594" s="5"/>
      <c r="B594" s="5"/>
      <c r="C594" s="5"/>
      <c r="D594" s="5"/>
      <c r="E594" s="5"/>
      <c r="F594" s="5"/>
      <c r="G594" s="5"/>
      <c r="H594" s="5"/>
      <c r="I594" s="5"/>
      <c r="J594" s="5"/>
      <c r="K594" s="5"/>
      <c r="L594" s="5"/>
      <c r="M594" s="20"/>
      <c r="N594" s="5"/>
    </row>
    <row r="595" spans="1:14" ht="14.25" customHeight="1" x14ac:dyDescent="0.25">
      <c r="A595" s="5"/>
      <c r="B595" s="5"/>
      <c r="C595" s="5"/>
      <c r="D595" s="5"/>
      <c r="E595" s="5"/>
      <c r="F595" s="5"/>
      <c r="G595" s="5"/>
      <c r="H595" s="5"/>
      <c r="I595" s="5"/>
      <c r="J595" s="5"/>
      <c r="K595" s="5"/>
      <c r="L595" s="5"/>
      <c r="M595" s="20"/>
      <c r="N595" s="5"/>
    </row>
    <row r="596" spans="1:14" ht="14.25" customHeight="1" x14ac:dyDescent="0.25">
      <c r="A596" s="5"/>
      <c r="B596" s="5"/>
      <c r="C596" s="5"/>
      <c r="D596" s="5"/>
      <c r="E596" s="5"/>
      <c r="F596" s="5"/>
      <c r="G596" s="5"/>
      <c r="H596" s="5"/>
      <c r="I596" s="5"/>
      <c r="J596" s="5"/>
      <c r="K596" s="5"/>
      <c r="L596" s="5"/>
      <c r="M596" s="20"/>
      <c r="N596" s="5"/>
    </row>
    <row r="597" spans="1:14" ht="14.25" customHeight="1" x14ac:dyDescent="0.25">
      <c r="A597" s="5"/>
      <c r="B597" s="5"/>
      <c r="C597" s="5"/>
      <c r="D597" s="5"/>
      <c r="E597" s="5"/>
      <c r="F597" s="5"/>
      <c r="G597" s="5"/>
      <c r="H597" s="5"/>
      <c r="I597" s="5"/>
      <c r="J597" s="5"/>
      <c r="K597" s="5"/>
      <c r="L597" s="5"/>
      <c r="M597" s="20"/>
      <c r="N597" s="5"/>
    </row>
    <row r="598" spans="1:14" ht="14.25" customHeight="1" x14ac:dyDescent="0.25">
      <c r="A598" s="5"/>
      <c r="B598" s="5"/>
      <c r="C598" s="5"/>
      <c r="D598" s="5"/>
      <c r="E598" s="5"/>
      <c r="F598" s="5"/>
      <c r="G598" s="5"/>
      <c r="H598" s="5"/>
      <c r="I598" s="5"/>
      <c r="J598" s="5"/>
      <c r="K598" s="5"/>
      <c r="L598" s="5"/>
      <c r="M598" s="20"/>
      <c r="N598" s="5"/>
    </row>
    <row r="599" spans="1:14" ht="14.25" customHeight="1" x14ac:dyDescent="0.25">
      <c r="A599" s="5"/>
      <c r="B599" s="5"/>
      <c r="C599" s="5"/>
      <c r="D599" s="5"/>
      <c r="E599" s="5"/>
      <c r="F599" s="5"/>
      <c r="G599" s="5"/>
      <c r="H599" s="5"/>
      <c r="I599" s="5"/>
      <c r="J599" s="5"/>
      <c r="K599" s="5"/>
      <c r="L599" s="5"/>
      <c r="M599" s="20"/>
      <c r="N599" s="5"/>
    </row>
    <row r="600" spans="1:14" ht="14.25" customHeight="1" x14ac:dyDescent="0.25">
      <c r="A600" s="5"/>
      <c r="B600" s="5"/>
      <c r="C600" s="5"/>
      <c r="D600" s="5"/>
      <c r="E600" s="5"/>
      <c r="F600" s="5"/>
      <c r="G600" s="5"/>
      <c r="H600" s="5"/>
      <c r="I600" s="5"/>
      <c r="J600" s="5"/>
      <c r="K600" s="5"/>
      <c r="L600" s="5"/>
      <c r="M600" s="20"/>
      <c r="N600" s="5"/>
    </row>
    <row r="601" spans="1:14" ht="14.25" customHeight="1" x14ac:dyDescent="0.25">
      <c r="A601" s="5"/>
      <c r="B601" s="5"/>
      <c r="C601" s="5"/>
      <c r="D601" s="5"/>
      <c r="E601" s="5"/>
      <c r="F601" s="5"/>
      <c r="G601" s="5"/>
      <c r="H601" s="5"/>
      <c r="I601" s="5"/>
      <c r="J601" s="5"/>
      <c r="K601" s="5"/>
      <c r="L601" s="5"/>
      <c r="M601" s="20"/>
      <c r="N601" s="5"/>
    </row>
    <row r="602" spans="1:14" ht="14.25" customHeight="1" x14ac:dyDescent="0.25">
      <c r="A602" s="5"/>
      <c r="B602" s="5"/>
      <c r="C602" s="5"/>
      <c r="D602" s="5"/>
      <c r="E602" s="5"/>
      <c r="F602" s="5"/>
      <c r="G602" s="5"/>
      <c r="H602" s="5"/>
      <c r="I602" s="5"/>
      <c r="J602" s="5"/>
      <c r="K602" s="5"/>
      <c r="L602" s="5"/>
      <c r="M602" s="20"/>
      <c r="N602" s="5"/>
    </row>
    <row r="603" spans="1:14" ht="14.25" customHeight="1" x14ac:dyDescent="0.25">
      <c r="A603" s="5"/>
      <c r="B603" s="5"/>
      <c r="C603" s="5"/>
      <c r="D603" s="5"/>
      <c r="E603" s="5"/>
      <c r="F603" s="5"/>
      <c r="G603" s="5"/>
      <c r="H603" s="5"/>
      <c r="I603" s="5"/>
      <c r="J603" s="5"/>
      <c r="K603" s="5"/>
      <c r="L603" s="5"/>
      <c r="M603" s="20"/>
      <c r="N603" s="5"/>
    </row>
    <row r="604" spans="1:14" ht="14.25" customHeight="1" x14ac:dyDescent="0.25">
      <c r="A604" s="5"/>
      <c r="B604" s="5"/>
      <c r="C604" s="5"/>
      <c r="D604" s="5"/>
      <c r="E604" s="5"/>
      <c r="F604" s="5"/>
      <c r="G604" s="5"/>
      <c r="H604" s="5"/>
      <c r="I604" s="5"/>
      <c r="J604" s="5"/>
      <c r="K604" s="5"/>
      <c r="L604" s="5"/>
      <c r="M604" s="20"/>
      <c r="N604" s="5"/>
    </row>
    <row r="605" spans="1:14" ht="14.25" customHeight="1" x14ac:dyDescent="0.25">
      <c r="A605" s="5"/>
      <c r="B605" s="5"/>
      <c r="C605" s="5"/>
      <c r="D605" s="5"/>
      <c r="E605" s="5"/>
      <c r="F605" s="5"/>
      <c r="G605" s="5"/>
      <c r="H605" s="5"/>
      <c r="I605" s="5"/>
      <c r="J605" s="5"/>
      <c r="K605" s="5"/>
      <c r="L605" s="5"/>
      <c r="M605" s="20"/>
      <c r="N605" s="5"/>
    </row>
    <row r="606" spans="1:14" ht="14.25" customHeight="1" x14ac:dyDescent="0.25">
      <c r="A606" s="5"/>
      <c r="B606" s="5"/>
      <c r="C606" s="5"/>
      <c r="D606" s="5"/>
      <c r="E606" s="5"/>
      <c r="F606" s="5"/>
      <c r="G606" s="5"/>
      <c r="H606" s="5"/>
      <c r="I606" s="5"/>
      <c r="J606" s="5"/>
      <c r="K606" s="5"/>
      <c r="L606" s="5"/>
      <c r="M606" s="20"/>
      <c r="N606" s="5"/>
    </row>
    <row r="607" spans="1:14" ht="14.25" customHeight="1" x14ac:dyDescent="0.25">
      <c r="A607" s="5"/>
      <c r="B607" s="5"/>
      <c r="C607" s="5"/>
      <c r="D607" s="5"/>
      <c r="E607" s="5"/>
      <c r="F607" s="5"/>
      <c r="G607" s="5"/>
      <c r="H607" s="5"/>
      <c r="I607" s="5"/>
      <c r="J607" s="5"/>
      <c r="K607" s="5"/>
      <c r="L607" s="5"/>
      <c r="M607" s="20"/>
      <c r="N607" s="5"/>
    </row>
    <row r="608" spans="1:14" ht="14.25" customHeight="1" x14ac:dyDescent="0.25">
      <c r="A608" s="5"/>
      <c r="B608" s="5"/>
      <c r="C608" s="5"/>
      <c r="D608" s="5"/>
      <c r="E608" s="5"/>
      <c r="F608" s="5"/>
      <c r="G608" s="5"/>
      <c r="H608" s="5"/>
      <c r="I608" s="5"/>
      <c r="J608" s="5"/>
      <c r="K608" s="5"/>
      <c r="L608" s="5"/>
      <c r="M608" s="20"/>
      <c r="N608" s="5"/>
    </row>
    <row r="609" spans="1:14" ht="14.25" customHeight="1" x14ac:dyDescent="0.25">
      <c r="A609" s="5"/>
      <c r="B609" s="5"/>
      <c r="C609" s="5"/>
      <c r="D609" s="5"/>
      <c r="E609" s="5"/>
      <c r="F609" s="5"/>
      <c r="G609" s="5"/>
      <c r="H609" s="5"/>
      <c r="I609" s="5"/>
      <c r="J609" s="5"/>
      <c r="K609" s="5"/>
      <c r="L609" s="5"/>
      <c r="M609" s="20"/>
      <c r="N609" s="5"/>
    </row>
    <row r="610" spans="1:14" ht="14.25" customHeight="1" x14ac:dyDescent="0.25">
      <c r="A610" s="5"/>
      <c r="B610" s="5"/>
      <c r="C610" s="5"/>
      <c r="D610" s="5"/>
      <c r="E610" s="5"/>
      <c r="F610" s="5"/>
      <c r="G610" s="5"/>
      <c r="H610" s="5"/>
      <c r="I610" s="5"/>
      <c r="J610" s="5"/>
      <c r="K610" s="5"/>
      <c r="L610" s="5"/>
      <c r="M610" s="20"/>
      <c r="N610" s="5"/>
    </row>
    <row r="611" spans="1:14" ht="14.25" customHeight="1" x14ac:dyDescent="0.25">
      <c r="A611" s="5"/>
      <c r="B611" s="5"/>
      <c r="C611" s="5"/>
      <c r="D611" s="5"/>
      <c r="E611" s="5"/>
      <c r="F611" s="5"/>
      <c r="G611" s="5"/>
      <c r="H611" s="5"/>
      <c r="I611" s="5"/>
      <c r="J611" s="5"/>
      <c r="K611" s="5"/>
      <c r="L611" s="5"/>
      <c r="M611" s="20"/>
      <c r="N611" s="5"/>
    </row>
    <row r="612" spans="1:14" ht="14.25" customHeight="1" x14ac:dyDescent="0.25">
      <c r="A612" s="5"/>
      <c r="B612" s="5"/>
      <c r="C612" s="5"/>
      <c r="D612" s="5"/>
      <c r="E612" s="5"/>
      <c r="F612" s="5"/>
      <c r="G612" s="5"/>
      <c r="H612" s="5"/>
      <c r="I612" s="5"/>
      <c r="J612" s="5"/>
      <c r="K612" s="5"/>
      <c r="L612" s="5"/>
      <c r="M612" s="20"/>
      <c r="N612" s="5"/>
    </row>
    <row r="613" spans="1:14" ht="14.25" customHeight="1" x14ac:dyDescent="0.25">
      <c r="A613" s="5"/>
      <c r="B613" s="5"/>
      <c r="C613" s="5"/>
      <c r="D613" s="5"/>
      <c r="E613" s="5"/>
      <c r="F613" s="5"/>
      <c r="G613" s="5"/>
      <c r="H613" s="5"/>
      <c r="I613" s="5"/>
      <c r="J613" s="5"/>
      <c r="K613" s="5"/>
      <c r="L613" s="5"/>
      <c r="M613" s="20"/>
      <c r="N613" s="5"/>
    </row>
    <row r="614" spans="1:14" ht="14.25" customHeight="1" x14ac:dyDescent="0.25">
      <c r="A614" s="5"/>
      <c r="B614" s="5"/>
      <c r="C614" s="5"/>
      <c r="D614" s="5"/>
      <c r="E614" s="5"/>
      <c r="F614" s="5"/>
      <c r="G614" s="5"/>
      <c r="H614" s="5"/>
      <c r="I614" s="5"/>
      <c r="J614" s="5"/>
      <c r="K614" s="5"/>
      <c r="L614" s="5"/>
      <c r="M614" s="20"/>
      <c r="N614" s="5"/>
    </row>
    <row r="615" spans="1:14" ht="14.25" customHeight="1" x14ac:dyDescent="0.25">
      <c r="A615" s="5"/>
      <c r="B615" s="5"/>
      <c r="C615" s="5"/>
      <c r="D615" s="5"/>
      <c r="E615" s="5"/>
      <c r="F615" s="5"/>
      <c r="G615" s="5"/>
      <c r="H615" s="5"/>
      <c r="I615" s="5"/>
      <c r="J615" s="5"/>
      <c r="K615" s="5"/>
      <c r="L615" s="5"/>
      <c r="M615" s="20"/>
      <c r="N615" s="5"/>
    </row>
    <row r="616" spans="1:14" ht="14.25" customHeight="1" x14ac:dyDescent="0.25">
      <c r="A616" s="5"/>
      <c r="B616" s="5"/>
      <c r="C616" s="5"/>
      <c r="D616" s="5"/>
      <c r="E616" s="5"/>
      <c r="F616" s="5"/>
      <c r="G616" s="5"/>
      <c r="H616" s="5"/>
      <c r="I616" s="5"/>
      <c r="J616" s="5"/>
      <c r="K616" s="5"/>
      <c r="L616" s="5"/>
      <c r="M616" s="20"/>
      <c r="N616" s="5"/>
    </row>
    <row r="617" spans="1:14" ht="14.25" customHeight="1" x14ac:dyDescent="0.25">
      <c r="A617" s="5"/>
      <c r="B617" s="5"/>
      <c r="C617" s="5"/>
      <c r="D617" s="5"/>
      <c r="E617" s="5"/>
      <c r="F617" s="5"/>
      <c r="G617" s="5"/>
      <c r="H617" s="5"/>
      <c r="I617" s="5"/>
      <c r="J617" s="5"/>
      <c r="K617" s="5"/>
      <c r="L617" s="5"/>
      <c r="M617" s="20"/>
      <c r="N617" s="5"/>
    </row>
    <row r="618" spans="1:14" ht="14.25" customHeight="1" x14ac:dyDescent="0.25">
      <c r="A618" s="5"/>
      <c r="B618" s="5"/>
      <c r="C618" s="5"/>
      <c r="D618" s="5"/>
      <c r="E618" s="5"/>
      <c r="F618" s="5"/>
      <c r="G618" s="5"/>
      <c r="H618" s="5"/>
      <c r="I618" s="5"/>
      <c r="J618" s="5"/>
      <c r="K618" s="5"/>
      <c r="L618" s="5"/>
      <c r="M618" s="20"/>
      <c r="N618" s="5"/>
    </row>
    <row r="619" spans="1:14" ht="14.25" customHeight="1" x14ac:dyDescent="0.25">
      <c r="A619" s="5"/>
      <c r="B619" s="5"/>
      <c r="C619" s="5"/>
      <c r="D619" s="5"/>
      <c r="E619" s="5"/>
      <c r="F619" s="5"/>
      <c r="G619" s="5"/>
      <c r="H619" s="5"/>
      <c r="I619" s="5"/>
      <c r="J619" s="5"/>
      <c r="K619" s="5"/>
      <c r="L619" s="5"/>
      <c r="M619" s="20"/>
      <c r="N619" s="5"/>
    </row>
    <row r="620" spans="1:14" ht="14.25" customHeight="1" x14ac:dyDescent="0.25">
      <c r="A620" s="5"/>
      <c r="B620" s="5"/>
      <c r="C620" s="5"/>
      <c r="D620" s="5"/>
      <c r="E620" s="5"/>
      <c r="F620" s="5"/>
      <c r="G620" s="5"/>
      <c r="H620" s="5"/>
      <c r="I620" s="5"/>
      <c r="J620" s="5"/>
      <c r="K620" s="5"/>
      <c r="L620" s="5"/>
      <c r="M620" s="20"/>
      <c r="N620" s="5"/>
    </row>
    <row r="621" spans="1:14" ht="14.25" customHeight="1" x14ac:dyDescent="0.25">
      <c r="A621" s="5"/>
      <c r="B621" s="5"/>
      <c r="C621" s="5"/>
      <c r="D621" s="5"/>
      <c r="E621" s="5"/>
      <c r="F621" s="5"/>
      <c r="G621" s="5"/>
      <c r="H621" s="5"/>
      <c r="I621" s="5"/>
      <c r="J621" s="5"/>
      <c r="K621" s="5"/>
      <c r="L621" s="5"/>
      <c r="M621" s="20"/>
      <c r="N621" s="5"/>
    </row>
    <row r="622" spans="1:14" ht="14.25" customHeight="1" x14ac:dyDescent="0.25">
      <c r="A622" s="5"/>
      <c r="B622" s="5"/>
      <c r="C622" s="5"/>
      <c r="D622" s="5"/>
      <c r="E622" s="5"/>
      <c r="F622" s="5"/>
      <c r="G622" s="5"/>
      <c r="H622" s="5"/>
      <c r="I622" s="5"/>
      <c r="J622" s="5"/>
      <c r="K622" s="5"/>
      <c r="L622" s="5"/>
      <c r="M622" s="20"/>
      <c r="N622" s="5"/>
    </row>
    <row r="623" spans="1:14" ht="14.25" customHeight="1" x14ac:dyDescent="0.25">
      <c r="A623" s="5"/>
      <c r="B623" s="5"/>
      <c r="C623" s="5"/>
      <c r="D623" s="5"/>
      <c r="E623" s="5"/>
      <c r="F623" s="5"/>
      <c r="G623" s="5"/>
      <c r="H623" s="5"/>
      <c r="I623" s="5"/>
      <c r="J623" s="5"/>
      <c r="K623" s="5"/>
      <c r="L623" s="5"/>
      <c r="M623" s="20"/>
      <c r="N623" s="5"/>
    </row>
    <row r="624" spans="1:14" ht="14.25" customHeight="1" x14ac:dyDescent="0.25">
      <c r="A624" s="5"/>
      <c r="B624" s="5"/>
      <c r="C624" s="5"/>
      <c r="D624" s="5"/>
      <c r="E624" s="5"/>
      <c r="F624" s="5"/>
      <c r="G624" s="5"/>
      <c r="H624" s="5"/>
      <c r="I624" s="5"/>
      <c r="J624" s="5"/>
      <c r="K624" s="5"/>
      <c r="L624" s="5"/>
      <c r="M624" s="20"/>
      <c r="N624" s="5"/>
    </row>
    <row r="625" spans="1:14" ht="14.25" customHeight="1" x14ac:dyDescent="0.25">
      <c r="A625" s="5"/>
      <c r="B625" s="5"/>
      <c r="C625" s="5"/>
      <c r="D625" s="5"/>
      <c r="E625" s="5"/>
      <c r="F625" s="5"/>
      <c r="G625" s="5"/>
      <c r="H625" s="5"/>
      <c r="I625" s="5"/>
      <c r="J625" s="5"/>
      <c r="K625" s="5"/>
      <c r="L625" s="5"/>
      <c r="M625" s="20"/>
      <c r="N625" s="5"/>
    </row>
    <row r="626" spans="1:14" ht="14.25" customHeight="1" x14ac:dyDescent="0.25">
      <c r="A626" s="5"/>
      <c r="B626" s="5"/>
      <c r="C626" s="5"/>
      <c r="D626" s="5"/>
      <c r="E626" s="5"/>
      <c r="F626" s="5"/>
      <c r="G626" s="5"/>
      <c r="H626" s="5"/>
      <c r="I626" s="5"/>
      <c r="J626" s="5"/>
      <c r="K626" s="5"/>
      <c r="L626" s="5"/>
      <c r="M626" s="20"/>
      <c r="N626" s="5"/>
    </row>
    <row r="627" spans="1:14" ht="14.25" customHeight="1" x14ac:dyDescent="0.25">
      <c r="A627" s="5"/>
      <c r="B627" s="5"/>
      <c r="C627" s="5"/>
      <c r="D627" s="5"/>
      <c r="E627" s="5"/>
      <c r="F627" s="5"/>
      <c r="G627" s="5"/>
      <c r="H627" s="5"/>
      <c r="I627" s="5"/>
      <c r="J627" s="5"/>
      <c r="K627" s="5"/>
      <c r="L627" s="5"/>
      <c r="M627" s="20"/>
      <c r="N627" s="5"/>
    </row>
    <row r="628" spans="1:14" ht="14.25" customHeight="1" x14ac:dyDescent="0.25">
      <c r="A628" s="5"/>
      <c r="B628" s="5"/>
      <c r="C628" s="5"/>
      <c r="D628" s="5"/>
      <c r="E628" s="5"/>
      <c r="F628" s="5"/>
      <c r="G628" s="5"/>
      <c r="H628" s="5"/>
      <c r="I628" s="5"/>
      <c r="J628" s="5"/>
      <c r="K628" s="5"/>
      <c r="L628" s="5"/>
      <c r="M628" s="20"/>
      <c r="N628" s="5"/>
    </row>
    <row r="629" spans="1:14" ht="14.25" customHeight="1" x14ac:dyDescent="0.25">
      <c r="A629" s="5"/>
      <c r="B629" s="5"/>
      <c r="C629" s="5"/>
      <c r="D629" s="5"/>
      <c r="E629" s="5"/>
      <c r="F629" s="5"/>
      <c r="G629" s="5"/>
      <c r="H629" s="5"/>
      <c r="I629" s="5"/>
      <c r="J629" s="5"/>
      <c r="K629" s="5"/>
      <c r="L629" s="5"/>
      <c r="M629" s="20"/>
      <c r="N629" s="5"/>
    </row>
    <row r="630" spans="1:14" ht="14.25" customHeight="1" x14ac:dyDescent="0.25">
      <c r="A630" s="5"/>
      <c r="B630" s="5"/>
      <c r="C630" s="5"/>
      <c r="D630" s="5"/>
      <c r="E630" s="5"/>
      <c r="F630" s="5"/>
      <c r="G630" s="5"/>
      <c r="H630" s="5"/>
      <c r="I630" s="5"/>
      <c r="J630" s="5"/>
      <c r="K630" s="5"/>
      <c r="L630" s="5"/>
      <c r="M630" s="20"/>
      <c r="N630" s="5"/>
    </row>
    <row r="631" spans="1:14" ht="14.25" customHeight="1" x14ac:dyDescent="0.25">
      <c r="A631" s="5"/>
      <c r="B631" s="5"/>
      <c r="C631" s="5"/>
      <c r="D631" s="5"/>
      <c r="E631" s="5"/>
      <c r="F631" s="5"/>
      <c r="G631" s="5"/>
      <c r="H631" s="5"/>
      <c r="I631" s="5"/>
      <c r="J631" s="5"/>
      <c r="K631" s="5"/>
      <c r="L631" s="5"/>
      <c r="M631" s="20"/>
      <c r="N631" s="5"/>
    </row>
    <row r="632" spans="1:14" ht="14.25" customHeight="1" x14ac:dyDescent="0.25">
      <c r="A632" s="5"/>
      <c r="B632" s="5"/>
      <c r="C632" s="5"/>
      <c r="D632" s="5"/>
      <c r="E632" s="5"/>
      <c r="F632" s="5"/>
      <c r="G632" s="5"/>
      <c r="H632" s="5"/>
      <c r="I632" s="5"/>
      <c r="J632" s="5"/>
      <c r="K632" s="5"/>
      <c r="L632" s="5"/>
      <c r="M632" s="20"/>
      <c r="N632" s="5"/>
    </row>
    <row r="633" spans="1:14" ht="14.25" customHeight="1" x14ac:dyDescent="0.25">
      <c r="A633" s="5"/>
      <c r="B633" s="5"/>
      <c r="C633" s="5"/>
      <c r="D633" s="5"/>
      <c r="E633" s="5"/>
      <c r="F633" s="5"/>
      <c r="G633" s="5"/>
      <c r="H633" s="5"/>
      <c r="I633" s="5"/>
      <c r="J633" s="5"/>
      <c r="K633" s="5"/>
      <c r="L633" s="5"/>
      <c r="M633" s="20"/>
      <c r="N633" s="5"/>
    </row>
    <row r="634" spans="1:14" ht="14.25" customHeight="1" x14ac:dyDescent="0.25">
      <c r="A634" s="5"/>
      <c r="B634" s="5"/>
      <c r="C634" s="5"/>
      <c r="D634" s="5"/>
      <c r="E634" s="5"/>
      <c r="F634" s="5"/>
      <c r="G634" s="5"/>
      <c r="H634" s="5"/>
      <c r="I634" s="5"/>
      <c r="J634" s="5"/>
      <c r="K634" s="5"/>
      <c r="L634" s="5"/>
      <c r="M634" s="20"/>
      <c r="N634" s="5"/>
    </row>
    <row r="635" spans="1:14" ht="14.25" customHeight="1" x14ac:dyDescent="0.25">
      <c r="A635" s="5"/>
      <c r="B635" s="5"/>
      <c r="C635" s="5"/>
      <c r="D635" s="5"/>
      <c r="E635" s="5"/>
      <c r="F635" s="5"/>
      <c r="G635" s="5"/>
      <c r="H635" s="5"/>
      <c r="I635" s="5"/>
      <c r="J635" s="5"/>
      <c r="K635" s="5"/>
      <c r="L635" s="5"/>
      <c r="M635" s="20"/>
      <c r="N635" s="5"/>
    </row>
    <row r="636" spans="1:14" ht="14.25" customHeight="1" x14ac:dyDescent="0.25">
      <c r="A636" s="5"/>
      <c r="B636" s="5"/>
      <c r="C636" s="5"/>
      <c r="D636" s="5"/>
      <c r="E636" s="5"/>
      <c r="F636" s="5"/>
      <c r="G636" s="5"/>
      <c r="H636" s="5"/>
      <c r="I636" s="5"/>
      <c r="J636" s="5"/>
      <c r="K636" s="5"/>
      <c r="L636" s="5"/>
      <c r="M636" s="20"/>
      <c r="N636" s="5"/>
    </row>
    <row r="637" spans="1:14" ht="14.25" customHeight="1" x14ac:dyDescent="0.25">
      <c r="A637" s="5"/>
      <c r="B637" s="5"/>
      <c r="C637" s="5"/>
      <c r="D637" s="5"/>
      <c r="E637" s="5"/>
      <c r="F637" s="5"/>
      <c r="G637" s="5"/>
      <c r="H637" s="5"/>
      <c r="I637" s="5"/>
      <c r="J637" s="5"/>
      <c r="K637" s="5"/>
      <c r="L637" s="5"/>
      <c r="M637" s="20"/>
      <c r="N637" s="5"/>
    </row>
    <row r="638" spans="1:14" ht="14.25" customHeight="1" x14ac:dyDescent="0.25">
      <c r="A638" s="5"/>
      <c r="B638" s="5"/>
      <c r="C638" s="5"/>
      <c r="D638" s="5"/>
      <c r="E638" s="5"/>
      <c r="F638" s="5"/>
      <c r="G638" s="5"/>
      <c r="H638" s="5"/>
      <c r="I638" s="5"/>
      <c r="J638" s="5"/>
      <c r="K638" s="5"/>
      <c r="L638" s="5"/>
      <c r="M638" s="20"/>
      <c r="N638" s="5"/>
    </row>
    <row r="639" spans="1:14" ht="14.25" customHeight="1" x14ac:dyDescent="0.25">
      <c r="A639" s="5"/>
      <c r="B639" s="5"/>
      <c r="C639" s="5"/>
      <c r="D639" s="5"/>
      <c r="E639" s="5"/>
      <c r="F639" s="5"/>
      <c r="G639" s="5"/>
      <c r="H639" s="5"/>
      <c r="I639" s="5"/>
      <c r="J639" s="5"/>
      <c r="K639" s="5"/>
      <c r="L639" s="5"/>
      <c r="M639" s="20"/>
      <c r="N639" s="5"/>
    </row>
    <row r="640" spans="1:14" ht="14.25" customHeight="1" x14ac:dyDescent="0.25">
      <c r="A640" s="5"/>
      <c r="B640" s="5"/>
      <c r="C640" s="5"/>
      <c r="D640" s="5"/>
      <c r="E640" s="5"/>
      <c r="F640" s="5"/>
      <c r="G640" s="5"/>
      <c r="H640" s="5"/>
      <c r="I640" s="5"/>
      <c r="J640" s="5"/>
      <c r="K640" s="5"/>
      <c r="L640" s="5"/>
      <c r="M640" s="20"/>
      <c r="N640" s="5"/>
    </row>
    <row r="641" spans="1:14" ht="14.25" customHeight="1" x14ac:dyDescent="0.25">
      <c r="A641" s="5"/>
      <c r="B641" s="5"/>
      <c r="C641" s="5"/>
      <c r="D641" s="5"/>
      <c r="E641" s="5"/>
      <c r="F641" s="5"/>
      <c r="G641" s="5"/>
      <c r="H641" s="5"/>
      <c r="I641" s="5"/>
      <c r="J641" s="5"/>
      <c r="K641" s="5"/>
      <c r="L641" s="5"/>
      <c r="M641" s="20"/>
      <c r="N641" s="5"/>
    </row>
    <row r="642" spans="1:14" ht="14.25" customHeight="1" x14ac:dyDescent="0.25">
      <c r="A642" s="5"/>
      <c r="B642" s="5"/>
      <c r="C642" s="5"/>
      <c r="D642" s="5"/>
      <c r="E642" s="5"/>
      <c r="F642" s="5"/>
      <c r="G642" s="5"/>
      <c r="H642" s="5"/>
      <c r="I642" s="5"/>
      <c r="J642" s="5"/>
      <c r="K642" s="5"/>
      <c r="L642" s="5"/>
      <c r="M642" s="20"/>
      <c r="N642" s="5"/>
    </row>
    <row r="643" spans="1:14" ht="14.25" customHeight="1" x14ac:dyDescent="0.25">
      <c r="A643" s="5"/>
      <c r="B643" s="5"/>
      <c r="C643" s="5"/>
      <c r="D643" s="5"/>
      <c r="E643" s="5"/>
      <c r="F643" s="5"/>
      <c r="G643" s="5"/>
      <c r="H643" s="5"/>
      <c r="I643" s="5"/>
      <c r="J643" s="5"/>
      <c r="K643" s="5"/>
      <c r="L643" s="5"/>
      <c r="M643" s="20"/>
      <c r="N643" s="5"/>
    </row>
    <row r="644" spans="1:14" ht="14.25" customHeight="1" x14ac:dyDescent="0.25">
      <c r="A644" s="5"/>
      <c r="B644" s="5"/>
      <c r="C644" s="5"/>
      <c r="D644" s="5"/>
      <c r="E644" s="5"/>
      <c r="F644" s="5"/>
      <c r="G644" s="5"/>
      <c r="H644" s="5"/>
      <c r="I644" s="5"/>
      <c r="J644" s="5"/>
      <c r="K644" s="5"/>
      <c r="L644" s="5"/>
      <c r="M644" s="20"/>
      <c r="N644" s="5"/>
    </row>
    <row r="645" spans="1:14" ht="14.25" customHeight="1" x14ac:dyDescent="0.25">
      <c r="A645" s="5"/>
      <c r="B645" s="5"/>
      <c r="C645" s="5"/>
      <c r="D645" s="5"/>
      <c r="E645" s="5"/>
      <c r="F645" s="5"/>
      <c r="G645" s="5"/>
      <c r="H645" s="5"/>
      <c r="I645" s="5"/>
      <c r="J645" s="5"/>
      <c r="K645" s="5"/>
      <c r="L645" s="5"/>
      <c r="M645" s="20"/>
      <c r="N645" s="5"/>
    </row>
    <row r="646" spans="1:14" ht="14.25" customHeight="1" x14ac:dyDescent="0.25">
      <c r="A646" s="5"/>
      <c r="B646" s="5"/>
      <c r="C646" s="5"/>
      <c r="D646" s="5"/>
      <c r="E646" s="5"/>
      <c r="F646" s="5"/>
      <c r="G646" s="5"/>
      <c r="H646" s="5"/>
      <c r="I646" s="5"/>
      <c r="J646" s="5"/>
      <c r="K646" s="5"/>
      <c r="L646" s="5"/>
      <c r="M646" s="20"/>
      <c r="N646" s="5"/>
    </row>
    <row r="647" spans="1:14" ht="14.25" customHeight="1" x14ac:dyDescent="0.25">
      <c r="A647" s="5"/>
      <c r="B647" s="5"/>
      <c r="C647" s="5"/>
      <c r="D647" s="5"/>
      <c r="E647" s="5"/>
      <c r="F647" s="5"/>
      <c r="G647" s="5"/>
      <c r="H647" s="5"/>
      <c r="I647" s="5"/>
      <c r="J647" s="5"/>
      <c r="K647" s="5"/>
      <c r="L647" s="5"/>
      <c r="M647" s="20"/>
      <c r="N647" s="5"/>
    </row>
    <row r="648" spans="1:14" ht="14.25" customHeight="1" x14ac:dyDescent="0.25">
      <c r="A648" s="5"/>
      <c r="B648" s="5"/>
      <c r="C648" s="5"/>
      <c r="D648" s="5"/>
      <c r="E648" s="5"/>
      <c r="F648" s="5"/>
      <c r="G648" s="5"/>
      <c r="H648" s="5"/>
      <c r="I648" s="5"/>
      <c r="J648" s="5"/>
      <c r="K648" s="5"/>
      <c r="L648" s="5"/>
      <c r="M648" s="20"/>
      <c r="N648" s="5"/>
    </row>
    <row r="649" spans="1:14" ht="14.25" customHeight="1" x14ac:dyDescent="0.25">
      <c r="A649" s="5"/>
      <c r="B649" s="5"/>
      <c r="C649" s="5"/>
      <c r="D649" s="5"/>
      <c r="E649" s="5"/>
      <c r="F649" s="5"/>
      <c r="G649" s="5"/>
      <c r="H649" s="5"/>
      <c r="I649" s="5"/>
      <c r="J649" s="5"/>
      <c r="K649" s="5"/>
      <c r="L649" s="5"/>
      <c r="M649" s="20"/>
      <c r="N649" s="5"/>
    </row>
    <row r="650" spans="1:14" ht="14.25" customHeight="1" x14ac:dyDescent="0.25">
      <c r="A650" s="5"/>
      <c r="B650" s="5"/>
      <c r="C650" s="5"/>
      <c r="D650" s="5"/>
      <c r="E650" s="5"/>
      <c r="F650" s="5"/>
      <c r="G650" s="5"/>
      <c r="H650" s="5"/>
      <c r="I650" s="5"/>
      <c r="J650" s="5"/>
      <c r="K650" s="5"/>
      <c r="L650" s="5"/>
      <c r="M650" s="20"/>
      <c r="N650" s="5"/>
    </row>
    <row r="651" spans="1:14" ht="14.25" customHeight="1" x14ac:dyDescent="0.25">
      <c r="A651" s="5"/>
      <c r="B651" s="5"/>
      <c r="C651" s="5"/>
      <c r="D651" s="5"/>
      <c r="E651" s="5"/>
      <c r="F651" s="5"/>
      <c r="G651" s="5"/>
      <c r="H651" s="5"/>
      <c r="I651" s="5"/>
      <c r="J651" s="5"/>
      <c r="K651" s="5"/>
      <c r="L651" s="5"/>
      <c r="M651" s="20"/>
      <c r="N651" s="5"/>
    </row>
    <row r="652" spans="1:14" ht="14.25" customHeight="1" x14ac:dyDescent="0.25">
      <c r="A652" s="5"/>
      <c r="B652" s="5"/>
      <c r="C652" s="5"/>
      <c r="D652" s="5"/>
      <c r="E652" s="5"/>
      <c r="F652" s="5"/>
      <c r="G652" s="5"/>
      <c r="H652" s="5"/>
      <c r="I652" s="5"/>
      <c r="J652" s="5"/>
      <c r="K652" s="5"/>
      <c r="L652" s="5"/>
      <c r="M652" s="20"/>
      <c r="N652" s="5"/>
    </row>
    <row r="653" spans="1:14" ht="14.25" customHeight="1" x14ac:dyDescent="0.25">
      <c r="A653" s="5"/>
      <c r="B653" s="5"/>
      <c r="C653" s="5"/>
      <c r="D653" s="5"/>
      <c r="E653" s="5"/>
      <c r="F653" s="5"/>
      <c r="G653" s="5"/>
      <c r="H653" s="5"/>
      <c r="I653" s="5"/>
      <c r="J653" s="5"/>
      <c r="K653" s="5"/>
      <c r="L653" s="5"/>
      <c r="M653" s="20"/>
      <c r="N653" s="5"/>
    </row>
    <row r="654" spans="1:14" ht="14.25" customHeight="1" x14ac:dyDescent="0.25">
      <c r="A654" s="5"/>
      <c r="B654" s="5"/>
      <c r="C654" s="5"/>
      <c r="D654" s="5"/>
      <c r="E654" s="5"/>
      <c r="F654" s="5"/>
      <c r="G654" s="5"/>
      <c r="H654" s="5"/>
      <c r="I654" s="5"/>
      <c r="J654" s="5"/>
      <c r="K654" s="5"/>
      <c r="L654" s="5"/>
      <c r="M654" s="20"/>
      <c r="N654" s="5"/>
    </row>
    <row r="655" spans="1:14" ht="14.25" customHeight="1" x14ac:dyDescent="0.25">
      <c r="A655" s="5"/>
      <c r="B655" s="5"/>
      <c r="C655" s="5"/>
      <c r="D655" s="5"/>
      <c r="E655" s="5"/>
      <c r="F655" s="5"/>
      <c r="G655" s="5"/>
      <c r="H655" s="5"/>
      <c r="I655" s="5"/>
      <c r="J655" s="5"/>
      <c r="K655" s="5"/>
      <c r="L655" s="5"/>
      <c r="M655" s="20"/>
      <c r="N655" s="5"/>
    </row>
    <row r="656" spans="1:14" ht="14.25" customHeight="1" x14ac:dyDescent="0.25">
      <c r="A656" s="5"/>
      <c r="B656" s="5"/>
      <c r="C656" s="5"/>
      <c r="D656" s="5"/>
      <c r="E656" s="5"/>
      <c r="F656" s="5"/>
      <c r="G656" s="5"/>
      <c r="H656" s="5"/>
      <c r="I656" s="5"/>
      <c r="J656" s="5"/>
      <c r="K656" s="5"/>
      <c r="L656" s="5"/>
      <c r="M656" s="20"/>
      <c r="N656" s="5"/>
    </row>
    <row r="657" spans="1:14" ht="14.25" customHeight="1" x14ac:dyDescent="0.25">
      <c r="A657" s="5"/>
      <c r="B657" s="5"/>
      <c r="C657" s="5"/>
      <c r="D657" s="5"/>
      <c r="E657" s="5"/>
      <c r="F657" s="5"/>
      <c r="G657" s="5"/>
      <c r="H657" s="5"/>
      <c r="I657" s="5"/>
      <c r="J657" s="5"/>
      <c r="K657" s="5"/>
      <c r="L657" s="5"/>
      <c r="M657" s="20"/>
      <c r="N657" s="5"/>
    </row>
    <row r="658" spans="1:14" ht="14.25" customHeight="1" x14ac:dyDescent="0.25">
      <c r="A658" s="5"/>
      <c r="B658" s="5"/>
      <c r="C658" s="5"/>
      <c r="D658" s="5"/>
      <c r="E658" s="5"/>
      <c r="F658" s="5"/>
      <c r="G658" s="5"/>
      <c r="H658" s="5"/>
      <c r="I658" s="5"/>
      <c r="J658" s="5"/>
      <c r="K658" s="5"/>
      <c r="L658" s="5"/>
      <c r="M658" s="20"/>
      <c r="N658" s="5"/>
    </row>
    <row r="659" spans="1:14" ht="14.25" customHeight="1" x14ac:dyDescent="0.25">
      <c r="A659" s="5"/>
      <c r="B659" s="5"/>
      <c r="C659" s="5"/>
      <c r="D659" s="5"/>
      <c r="E659" s="5"/>
      <c r="F659" s="5"/>
      <c r="G659" s="5"/>
      <c r="H659" s="5"/>
      <c r="I659" s="5"/>
      <c r="J659" s="5"/>
      <c r="K659" s="5"/>
      <c r="L659" s="5"/>
      <c r="M659" s="20"/>
      <c r="N659" s="5"/>
    </row>
    <row r="660" spans="1:14" ht="14.25" customHeight="1" x14ac:dyDescent="0.25">
      <c r="A660" s="5"/>
      <c r="B660" s="5"/>
      <c r="C660" s="5"/>
      <c r="D660" s="5"/>
      <c r="E660" s="5"/>
      <c r="F660" s="5"/>
      <c r="G660" s="5"/>
      <c r="H660" s="5"/>
      <c r="I660" s="5"/>
      <c r="J660" s="5"/>
      <c r="K660" s="5"/>
      <c r="L660" s="5"/>
      <c r="M660" s="20"/>
      <c r="N660" s="5"/>
    </row>
    <row r="661" spans="1:14" ht="14.25" customHeight="1" x14ac:dyDescent="0.25">
      <c r="A661" s="5"/>
      <c r="B661" s="5"/>
      <c r="C661" s="5"/>
      <c r="D661" s="5"/>
      <c r="E661" s="5"/>
      <c r="F661" s="5"/>
      <c r="G661" s="5"/>
      <c r="H661" s="5"/>
      <c r="I661" s="5"/>
      <c r="J661" s="5"/>
      <c r="K661" s="5"/>
      <c r="L661" s="5"/>
      <c r="M661" s="20"/>
      <c r="N661" s="5"/>
    </row>
    <row r="662" spans="1:14" ht="14.25" customHeight="1" x14ac:dyDescent="0.25">
      <c r="A662" s="5"/>
      <c r="B662" s="5"/>
      <c r="C662" s="5"/>
      <c r="D662" s="5"/>
      <c r="E662" s="5"/>
      <c r="F662" s="5"/>
      <c r="G662" s="5"/>
      <c r="H662" s="5"/>
      <c r="I662" s="5"/>
      <c r="J662" s="5"/>
      <c r="K662" s="5"/>
      <c r="L662" s="5"/>
      <c r="M662" s="20"/>
      <c r="N662" s="5"/>
    </row>
    <row r="663" spans="1:14" ht="14.25" customHeight="1" x14ac:dyDescent="0.25">
      <c r="A663" s="5"/>
      <c r="B663" s="5"/>
      <c r="C663" s="5"/>
      <c r="D663" s="5"/>
      <c r="E663" s="5"/>
      <c r="F663" s="5"/>
      <c r="G663" s="5"/>
      <c r="H663" s="5"/>
      <c r="I663" s="5"/>
      <c r="J663" s="5"/>
      <c r="K663" s="5"/>
      <c r="L663" s="5"/>
      <c r="M663" s="20"/>
      <c r="N663" s="5"/>
    </row>
    <row r="664" spans="1:14" ht="14.25" customHeight="1" x14ac:dyDescent="0.25">
      <c r="A664" s="5"/>
      <c r="B664" s="5"/>
      <c r="C664" s="5"/>
      <c r="D664" s="5"/>
      <c r="E664" s="5"/>
      <c r="F664" s="5"/>
      <c r="G664" s="5"/>
      <c r="H664" s="5"/>
      <c r="I664" s="5"/>
      <c r="J664" s="5"/>
      <c r="K664" s="5"/>
      <c r="L664" s="5"/>
      <c r="M664" s="20"/>
      <c r="N664" s="5"/>
    </row>
    <row r="665" spans="1:14" ht="14.25" customHeight="1" x14ac:dyDescent="0.25">
      <c r="A665" s="5"/>
      <c r="B665" s="5"/>
      <c r="C665" s="5"/>
      <c r="D665" s="5"/>
      <c r="E665" s="5"/>
      <c r="F665" s="5"/>
      <c r="G665" s="5"/>
      <c r="H665" s="5"/>
      <c r="I665" s="5"/>
      <c r="J665" s="5"/>
      <c r="K665" s="5"/>
      <c r="L665" s="5"/>
      <c r="M665" s="20"/>
      <c r="N665" s="5"/>
    </row>
    <row r="666" spans="1:14" ht="14.25" customHeight="1" x14ac:dyDescent="0.25">
      <c r="A666" s="5"/>
      <c r="B666" s="5"/>
      <c r="C666" s="5"/>
      <c r="D666" s="5"/>
      <c r="E666" s="5"/>
      <c r="F666" s="5"/>
      <c r="G666" s="5"/>
      <c r="H666" s="5"/>
      <c r="I666" s="5"/>
      <c r="J666" s="5"/>
      <c r="K666" s="5"/>
      <c r="L666" s="5"/>
      <c r="M666" s="20"/>
      <c r="N666" s="5"/>
    </row>
    <row r="667" spans="1:14" ht="14.25" customHeight="1" x14ac:dyDescent="0.25">
      <c r="A667" s="5"/>
      <c r="B667" s="5"/>
      <c r="C667" s="5"/>
      <c r="D667" s="5"/>
      <c r="E667" s="5"/>
      <c r="F667" s="5"/>
      <c r="G667" s="5"/>
      <c r="H667" s="5"/>
      <c r="I667" s="5"/>
      <c r="J667" s="5"/>
      <c r="K667" s="5"/>
      <c r="L667" s="5"/>
      <c r="M667" s="20"/>
      <c r="N667" s="5"/>
    </row>
    <row r="668" spans="1:14" ht="14.25" customHeight="1" x14ac:dyDescent="0.25">
      <c r="A668" s="5"/>
      <c r="B668" s="5"/>
      <c r="C668" s="5"/>
      <c r="D668" s="5"/>
      <c r="E668" s="5"/>
      <c r="F668" s="5"/>
      <c r="G668" s="5"/>
      <c r="H668" s="5"/>
      <c r="I668" s="5"/>
      <c r="J668" s="5"/>
      <c r="K668" s="5"/>
      <c r="L668" s="5"/>
      <c r="M668" s="20"/>
      <c r="N668" s="5"/>
    </row>
    <row r="669" spans="1:14" ht="14.25" customHeight="1" x14ac:dyDescent="0.25">
      <c r="A669" s="5"/>
      <c r="B669" s="5"/>
      <c r="C669" s="5"/>
      <c r="D669" s="5"/>
      <c r="E669" s="5"/>
      <c r="F669" s="5"/>
      <c r="G669" s="5"/>
      <c r="H669" s="5"/>
      <c r="I669" s="5"/>
      <c r="J669" s="5"/>
      <c r="K669" s="5"/>
      <c r="L669" s="5"/>
      <c r="M669" s="20"/>
      <c r="N669" s="5"/>
    </row>
    <row r="670" spans="1:14" ht="14.25" customHeight="1" x14ac:dyDescent="0.25">
      <c r="A670" s="5"/>
      <c r="B670" s="5"/>
      <c r="C670" s="5"/>
      <c r="D670" s="5"/>
      <c r="E670" s="5"/>
      <c r="F670" s="5"/>
      <c r="G670" s="5"/>
      <c r="H670" s="5"/>
      <c r="I670" s="5"/>
      <c r="J670" s="5"/>
      <c r="K670" s="5"/>
      <c r="L670" s="5"/>
      <c r="M670" s="20"/>
      <c r="N670" s="5"/>
    </row>
    <row r="671" spans="1:14" ht="14.25" customHeight="1" x14ac:dyDescent="0.25">
      <c r="A671" s="5"/>
      <c r="B671" s="5"/>
      <c r="C671" s="5"/>
      <c r="D671" s="5"/>
      <c r="E671" s="5"/>
      <c r="F671" s="5"/>
      <c r="G671" s="5"/>
      <c r="H671" s="5"/>
      <c r="I671" s="5"/>
      <c r="J671" s="5"/>
      <c r="K671" s="5"/>
      <c r="L671" s="5"/>
      <c r="M671" s="20"/>
      <c r="N671" s="5"/>
    </row>
    <row r="672" spans="1:14" ht="14.25" customHeight="1" x14ac:dyDescent="0.25">
      <c r="A672" s="5"/>
      <c r="B672" s="5"/>
      <c r="C672" s="5"/>
      <c r="D672" s="5"/>
      <c r="E672" s="5"/>
      <c r="F672" s="5"/>
      <c r="G672" s="5"/>
      <c r="H672" s="5"/>
      <c r="I672" s="5"/>
      <c r="J672" s="5"/>
      <c r="K672" s="5"/>
      <c r="L672" s="5"/>
      <c r="M672" s="20"/>
      <c r="N672" s="5"/>
    </row>
    <row r="673" spans="1:14" ht="14.25" customHeight="1" x14ac:dyDescent="0.25">
      <c r="A673" s="5"/>
      <c r="B673" s="5"/>
      <c r="C673" s="5"/>
      <c r="D673" s="5"/>
      <c r="E673" s="5"/>
      <c r="F673" s="5"/>
      <c r="G673" s="5"/>
      <c r="H673" s="5"/>
      <c r="I673" s="5"/>
      <c r="J673" s="5"/>
      <c r="K673" s="5"/>
      <c r="L673" s="5"/>
      <c r="M673" s="20"/>
      <c r="N673" s="5"/>
    </row>
    <row r="674" spans="1:14" ht="14.25" customHeight="1" x14ac:dyDescent="0.25">
      <c r="A674" s="5"/>
      <c r="B674" s="5"/>
      <c r="C674" s="5"/>
      <c r="D674" s="5"/>
      <c r="E674" s="5"/>
      <c r="F674" s="5"/>
      <c r="G674" s="5"/>
      <c r="H674" s="5"/>
      <c r="I674" s="5"/>
      <c r="J674" s="5"/>
      <c r="K674" s="5"/>
      <c r="L674" s="5"/>
      <c r="M674" s="20"/>
      <c r="N674" s="5"/>
    </row>
    <row r="675" spans="1:14" ht="14.25" customHeight="1" x14ac:dyDescent="0.25">
      <c r="A675" s="5"/>
      <c r="B675" s="5"/>
      <c r="C675" s="5"/>
      <c r="D675" s="5"/>
      <c r="E675" s="5"/>
      <c r="F675" s="5"/>
      <c r="G675" s="5"/>
      <c r="H675" s="5"/>
      <c r="I675" s="5"/>
      <c r="J675" s="5"/>
      <c r="K675" s="5"/>
      <c r="L675" s="5"/>
      <c r="M675" s="20"/>
      <c r="N675" s="5"/>
    </row>
    <row r="676" spans="1:14" ht="14.25" customHeight="1" x14ac:dyDescent="0.25">
      <c r="A676" s="5"/>
      <c r="B676" s="5"/>
      <c r="C676" s="5"/>
      <c r="D676" s="5"/>
      <c r="E676" s="5"/>
      <c r="F676" s="5"/>
      <c r="G676" s="5"/>
      <c r="H676" s="5"/>
      <c r="I676" s="5"/>
      <c r="J676" s="5"/>
      <c r="K676" s="5"/>
      <c r="L676" s="5"/>
      <c r="M676" s="20"/>
      <c r="N676" s="5"/>
    </row>
    <row r="677" spans="1:14" ht="14.25" customHeight="1" x14ac:dyDescent="0.25">
      <c r="A677" s="5"/>
      <c r="B677" s="5"/>
      <c r="C677" s="5"/>
      <c r="D677" s="5"/>
      <c r="E677" s="5"/>
      <c r="F677" s="5"/>
      <c r="G677" s="5"/>
      <c r="H677" s="5"/>
      <c r="I677" s="5"/>
      <c r="J677" s="5"/>
      <c r="K677" s="5"/>
      <c r="L677" s="5"/>
      <c r="M677" s="20"/>
      <c r="N677" s="5"/>
    </row>
    <row r="678" spans="1:14" ht="14.25" customHeight="1" x14ac:dyDescent="0.25">
      <c r="A678" s="5"/>
      <c r="B678" s="5"/>
      <c r="C678" s="5"/>
      <c r="D678" s="5"/>
      <c r="E678" s="5"/>
      <c r="F678" s="5"/>
      <c r="G678" s="5"/>
      <c r="H678" s="5"/>
      <c r="I678" s="5"/>
      <c r="J678" s="5"/>
      <c r="K678" s="5"/>
      <c r="L678" s="5"/>
      <c r="M678" s="20"/>
      <c r="N678" s="5"/>
    </row>
    <row r="679" spans="1:14" ht="14.25" customHeight="1" x14ac:dyDescent="0.25">
      <c r="A679" s="5"/>
      <c r="B679" s="5"/>
      <c r="C679" s="5"/>
      <c r="D679" s="5"/>
      <c r="E679" s="5"/>
      <c r="F679" s="5"/>
      <c r="G679" s="5"/>
      <c r="H679" s="5"/>
      <c r="I679" s="5"/>
      <c r="J679" s="5"/>
      <c r="K679" s="5"/>
      <c r="L679" s="5"/>
      <c r="M679" s="20"/>
      <c r="N679" s="5"/>
    </row>
    <row r="680" spans="1:14" ht="14.25" customHeight="1" x14ac:dyDescent="0.25">
      <c r="A680" s="5"/>
      <c r="B680" s="5"/>
      <c r="C680" s="5"/>
      <c r="D680" s="5"/>
      <c r="E680" s="5"/>
      <c r="F680" s="5"/>
      <c r="G680" s="5"/>
      <c r="H680" s="5"/>
      <c r="I680" s="5"/>
      <c r="J680" s="5"/>
      <c r="K680" s="5"/>
      <c r="L680" s="5"/>
      <c r="M680" s="20"/>
      <c r="N680" s="5"/>
    </row>
    <row r="681" spans="1:14" ht="14.25" customHeight="1" x14ac:dyDescent="0.25">
      <c r="A681" s="5"/>
      <c r="B681" s="5"/>
      <c r="C681" s="5"/>
      <c r="D681" s="5"/>
      <c r="E681" s="5"/>
      <c r="F681" s="5"/>
      <c r="G681" s="5"/>
      <c r="H681" s="5"/>
      <c r="I681" s="5"/>
      <c r="J681" s="5"/>
      <c r="K681" s="5"/>
      <c r="L681" s="5"/>
      <c r="M681" s="20"/>
      <c r="N681" s="5"/>
    </row>
    <row r="682" spans="1:14" ht="14.25" customHeight="1" x14ac:dyDescent="0.25">
      <c r="A682" s="5"/>
      <c r="B682" s="5"/>
      <c r="C682" s="5"/>
      <c r="D682" s="5"/>
      <c r="E682" s="5"/>
      <c r="F682" s="5"/>
      <c r="G682" s="5"/>
      <c r="H682" s="5"/>
      <c r="I682" s="5"/>
      <c r="J682" s="5"/>
      <c r="K682" s="5"/>
      <c r="L682" s="5"/>
      <c r="M682" s="20"/>
      <c r="N682" s="5"/>
    </row>
    <row r="683" spans="1:14" ht="14.25" customHeight="1" x14ac:dyDescent="0.25">
      <c r="A683" s="5"/>
      <c r="B683" s="5"/>
      <c r="C683" s="5"/>
      <c r="D683" s="5"/>
      <c r="E683" s="5"/>
      <c r="F683" s="5"/>
      <c r="G683" s="5"/>
      <c r="H683" s="5"/>
      <c r="I683" s="5"/>
      <c r="J683" s="5"/>
      <c r="K683" s="5"/>
      <c r="L683" s="5"/>
      <c r="M683" s="20"/>
      <c r="N683" s="5"/>
    </row>
    <row r="684" spans="1:14" ht="14.25" customHeight="1" x14ac:dyDescent="0.25">
      <c r="A684" s="5"/>
      <c r="B684" s="5"/>
      <c r="C684" s="5"/>
      <c r="D684" s="5"/>
      <c r="E684" s="5"/>
      <c r="F684" s="5"/>
      <c r="G684" s="5"/>
      <c r="H684" s="5"/>
      <c r="I684" s="5"/>
      <c r="J684" s="5"/>
      <c r="K684" s="5"/>
      <c r="L684" s="5"/>
      <c r="M684" s="20"/>
      <c r="N684" s="5"/>
    </row>
    <row r="685" spans="1:14" ht="14.25" customHeight="1" x14ac:dyDescent="0.25">
      <c r="A685" s="5"/>
      <c r="B685" s="5"/>
      <c r="C685" s="5"/>
      <c r="D685" s="5"/>
      <c r="E685" s="5"/>
      <c r="F685" s="5"/>
      <c r="G685" s="5"/>
      <c r="H685" s="5"/>
      <c r="I685" s="5"/>
      <c r="J685" s="5"/>
      <c r="K685" s="5"/>
      <c r="L685" s="5"/>
      <c r="M685" s="20"/>
      <c r="N685" s="5"/>
    </row>
    <row r="686" spans="1:14" ht="14.25" customHeight="1" x14ac:dyDescent="0.25">
      <c r="A686" s="5"/>
      <c r="B686" s="5"/>
      <c r="C686" s="5"/>
      <c r="D686" s="5"/>
      <c r="E686" s="5"/>
      <c r="F686" s="5"/>
      <c r="G686" s="5"/>
      <c r="H686" s="5"/>
      <c r="I686" s="5"/>
      <c r="J686" s="5"/>
      <c r="K686" s="5"/>
      <c r="L686" s="5"/>
      <c r="M686" s="20"/>
      <c r="N686" s="5"/>
    </row>
    <row r="687" spans="1:14" ht="14.25" customHeight="1" x14ac:dyDescent="0.25">
      <c r="A687" s="5"/>
      <c r="B687" s="5"/>
      <c r="C687" s="5"/>
      <c r="D687" s="5"/>
      <c r="E687" s="5"/>
      <c r="F687" s="5"/>
      <c r="G687" s="5"/>
      <c r="H687" s="5"/>
      <c r="I687" s="5"/>
      <c r="J687" s="5"/>
      <c r="K687" s="5"/>
      <c r="L687" s="5"/>
      <c r="M687" s="20"/>
      <c r="N687" s="5"/>
    </row>
    <row r="688" spans="1:14" ht="14.25" customHeight="1" x14ac:dyDescent="0.25">
      <c r="A688" s="5"/>
      <c r="B688" s="5"/>
      <c r="C688" s="5"/>
      <c r="D688" s="5"/>
      <c r="E688" s="5"/>
      <c r="F688" s="5"/>
      <c r="G688" s="5"/>
      <c r="H688" s="5"/>
      <c r="I688" s="5"/>
      <c r="J688" s="5"/>
      <c r="K688" s="5"/>
      <c r="L688" s="5"/>
      <c r="M688" s="20"/>
      <c r="N688" s="5"/>
    </row>
    <row r="689" spans="1:14" ht="14.25" customHeight="1" x14ac:dyDescent="0.25">
      <c r="A689" s="5"/>
      <c r="B689" s="5"/>
      <c r="C689" s="5"/>
      <c r="D689" s="5"/>
      <c r="E689" s="5"/>
      <c r="F689" s="5"/>
      <c r="G689" s="5"/>
      <c r="H689" s="5"/>
      <c r="I689" s="5"/>
      <c r="J689" s="5"/>
      <c r="K689" s="5"/>
      <c r="L689" s="5"/>
      <c r="M689" s="20"/>
      <c r="N689" s="5"/>
    </row>
    <row r="690" spans="1:14" ht="14.25" customHeight="1" x14ac:dyDescent="0.25">
      <c r="A690" s="5"/>
      <c r="B690" s="5"/>
      <c r="C690" s="5"/>
      <c r="D690" s="5"/>
      <c r="E690" s="5"/>
      <c r="F690" s="5"/>
      <c r="G690" s="5"/>
      <c r="H690" s="5"/>
      <c r="I690" s="5"/>
      <c r="J690" s="5"/>
      <c r="K690" s="5"/>
      <c r="L690" s="5"/>
      <c r="M690" s="20"/>
      <c r="N690" s="5"/>
    </row>
    <row r="691" spans="1:14" ht="14.25" customHeight="1" x14ac:dyDescent="0.25">
      <c r="A691" s="5"/>
      <c r="B691" s="5"/>
      <c r="C691" s="5"/>
      <c r="D691" s="5"/>
      <c r="E691" s="5"/>
      <c r="F691" s="5"/>
      <c r="G691" s="5"/>
      <c r="H691" s="5"/>
      <c r="I691" s="5"/>
      <c r="J691" s="5"/>
      <c r="K691" s="5"/>
      <c r="L691" s="5"/>
      <c r="M691" s="20"/>
      <c r="N691" s="5"/>
    </row>
    <row r="692" spans="1:14" ht="14.25" customHeight="1" x14ac:dyDescent="0.25">
      <c r="A692" s="5"/>
      <c r="B692" s="5"/>
      <c r="C692" s="5"/>
      <c r="D692" s="5"/>
      <c r="E692" s="5"/>
      <c r="F692" s="5"/>
      <c r="G692" s="5"/>
      <c r="H692" s="5"/>
      <c r="I692" s="5"/>
      <c r="J692" s="5"/>
      <c r="K692" s="5"/>
      <c r="L692" s="5"/>
      <c r="M692" s="20"/>
      <c r="N692" s="5"/>
    </row>
    <row r="693" spans="1:14" ht="14.25" customHeight="1" x14ac:dyDescent="0.25">
      <c r="A693" s="5"/>
      <c r="B693" s="5"/>
      <c r="C693" s="5"/>
      <c r="D693" s="5"/>
      <c r="E693" s="5"/>
      <c r="F693" s="5"/>
      <c r="G693" s="5"/>
      <c r="H693" s="5"/>
      <c r="I693" s="5"/>
      <c r="J693" s="5"/>
      <c r="K693" s="5"/>
      <c r="L693" s="5"/>
      <c r="M693" s="20"/>
      <c r="N693" s="5"/>
    </row>
    <row r="694" spans="1:14" ht="14.25" customHeight="1" x14ac:dyDescent="0.25">
      <c r="A694" s="5"/>
      <c r="B694" s="5"/>
      <c r="C694" s="5"/>
      <c r="D694" s="5"/>
      <c r="E694" s="5"/>
      <c r="F694" s="5"/>
      <c r="G694" s="5"/>
      <c r="H694" s="5"/>
      <c r="I694" s="5"/>
      <c r="J694" s="5"/>
      <c r="K694" s="5"/>
      <c r="L694" s="5"/>
      <c r="M694" s="20"/>
      <c r="N694" s="5"/>
    </row>
    <row r="695" spans="1:14" ht="14.25" customHeight="1" x14ac:dyDescent="0.25">
      <c r="A695" s="5"/>
      <c r="B695" s="5"/>
      <c r="C695" s="5"/>
      <c r="D695" s="5"/>
      <c r="E695" s="5"/>
      <c r="F695" s="5"/>
      <c r="G695" s="5"/>
      <c r="H695" s="5"/>
      <c r="I695" s="5"/>
      <c r="J695" s="5"/>
      <c r="K695" s="5"/>
      <c r="L695" s="5"/>
      <c r="M695" s="20"/>
      <c r="N695" s="5"/>
    </row>
    <row r="696" spans="1:14" ht="14.25" customHeight="1" x14ac:dyDescent="0.25">
      <c r="A696" s="5"/>
      <c r="B696" s="5"/>
      <c r="C696" s="5"/>
      <c r="D696" s="5"/>
      <c r="E696" s="5"/>
      <c r="F696" s="5"/>
      <c r="G696" s="5"/>
      <c r="H696" s="5"/>
      <c r="I696" s="5"/>
      <c r="J696" s="5"/>
      <c r="K696" s="5"/>
      <c r="L696" s="5"/>
      <c r="M696" s="20"/>
      <c r="N696" s="5"/>
    </row>
    <row r="697" spans="1:14" ht="14.25" customHeight="1" x14ac:dyDescent="0.25">
      <c r="A697" s="5"/>
      <c r="B697" s="5"/>
      <c r="C697" s="5"/>
      <c r="D697" s="5"/>
      <c r="E697" s="5"/>
      <c r="F697" s="5"/>
      <c r="G697" s="5"/>
      <c r="H697" s="5"/>
      <c r="I697" s="5"/>
      <c r="J697" s="5"/>
      <c r="K697" s="5"/>
      <c r="L697" s="5"/>
      <c r="M697" s="20"/>
      <c r="N697" s="5"/>
    </row>
    <row r="698" spans="1:14" ht="14.25" customHeight="1" x14ac:dyDescent="0.25">
      <c r="A698" s="5"/>
      <c r="B698" s="5"/>
      <c r="C698" s="5"/>
      <c r="D698" s="5"/>
      <c r="E698" s="5"/>
      <c r="F698" s="5"/>
      <c r="G698" s="5"/>
      <c r="H698" s="5"/>
      <c r="I698" s="5"/>
      <c r="J698" s="5"/>
      <c r="K698" s="5"/>
      <c r="L698" s="5"/>
      <c r="M698" s="20"/>
      <c r="N698" s="5"/>
    </row>
    <row r="699" spans="1:14" ht="14.25" customHeight="1" x14ac:dyDescent="0.25">
      <c r="A699" s="5"/>
      <c r="B699" s="5"/>
      <c r="C699" s="5"/>
      <c r="D699" s="5"/>
      <c r="E699" s="5"/>
      <c r="F699" s="5"/>
      <c r="G699" s="5"/>
      <c r="H699" s="5"/>
      <c r="I699" s="5"/>
      <c r="J699" s="5"/>
      <c r="K699" s="5"/>
      <c r="L699" s="5"/>
      <c r="M699" s="20"/>
      <c r="N699" s="5"/>
    </row>
    <row r="700" spans="1:14" ht="14.25" customHeight="1" x14ac:dyDescent="0.25">
      <c r="A700" s="5"/>
      <c r="B700" s="5"/>
      <c r="C700" s="5"/>
      <c r="D700" s="5"/>
      <c r="E700" s="5"/>
      <c r="F700" s="5"/>
      <c r="G700" s="5"/>
      <c r="H700" s="5"/>
      <c r="I700" s="5"/>
      <c r="J700" s="5"/>
      <c r="K700" s="5"/>
      <c r="L700" s="5"/>
      <c r="M700" s="20"/>
      <c r="N700" s="5"/>
    </row>
    <row r="701" spans="1:14" ht="14.25" customHeight="1" x14ac:dyDescent="0.25">
      <c r="A701" s="5"/>
      <c r="B701" s="5"/>
      <c r="C701" s="5"/>
      <c r="D701" s="5"/>
      <c r="E701" s="5"/>
      <c r="F701" s="5"/>
      <c r="G701" s="5"/>
      <c r="H701" s="5"/>
      <c r="I701" s="5"/>
      <c r="J701" s="5"/>
      <c r="K701" s="5"/>
      <c r="L701" s="5"/>
      <c r="M701" s="20"/>
      <c r="N701" s="5"/>
    </row>
    <row r="702" spans="1:14" ht="14.25" customHeight="1" x14ac:dyDescent="0.25">
      <c r="A702" s="5"/>
      <c r="B702" s="5"/>
      <c r="C702" s="5"/>
      <c r="D702" s="5"/>
      <c r="E702" s="5"/>
      <c r="F702" s="5"/>
      <c r="G702" s="5"/>
      <c r="H702" s="5"/>
      <c r="I702" s="5"/>
      <c r="J702" s="5"/>
      <c r="K702" s="5"/>
      <c r="L702" s="5"/>
      <c r="M702" s="20"/>
      <c r="N702" s="5"/>
    </row>
    <row r="703" spans="1:14" ht="14.25" customHeight="1" x14ac:dyDescent="0.25">
      <c r="A703" s="5"/>
      <c r="B703" s="5"/>
      <c r="C703" s="5"/>
      <c r="D703" s="5"/>
      <c r="E703" s="5"/>
      <c r="F703" s="5"/>
      <c r="G703" s="5"/>
      <c r="H703" s="5"/>
      <c r="I703" s="5"/>
      <c r="J703" s="5"/>
      <c r="K703" s="5"/>
      <c r="L703" s="5"/>
      <c r="M703" s="20"/>
      <c r="N703" s="5"/>
    </row>
    <row r="704" spans="1:14" ht="14.25" customHeight="1" x14ac:dyDescent="0.25">
      <c r="A704" s="5"/>
      <c r="B704" s="5"/>
      <c r="C704" s="5"/>
      <c r="D704" s="5"/>
      <c r="E704" s="5"/>
      <c r="F704" s="5"/>
      <c r="G704" s="5"/>
      <c r="H704" s="5"/>
      <c r="I704" s="5"/>
      <c r="J704" s="5"/>
      <c r="K704" s="5"/>
      <c r="L704" s="5"/>
      <c r="M704" s="20"/>
      <c r="N704" s="5"/>
    </row>
    <row r="705" spans="1:14" ht="14.25" customHeight="1" x14ac:dyDescent="0.25">
      <c r="A705" s="5"/>
      <c r="B705" s="5"/>
      <c r="C705" s="5"/>
      <c r="D705" s="5"/>
      <c r="E705" s="5"/>
      <c r="F705" s="5"/>
      <c r="G705" s="5"/>
      <c r="H705" s="5"/>
      <c r="I705" s="5"/>
      <c r="J705" s="5"/>
      <c r="K705" s="5"/>
      <c r="L705" s="5"/>
      <c r="M705" s="20"/>
      <c r="N705" s="5"/>
    </row>
    <row r="706" spans="1:14" ht="14.25" customHeight="1" x14ac:dyDescent="0.25">
      <c r="A706" s="5"/>
      <c r="B706" s="5"/>
      <c r="C706" s="5"/>
      <c r="D706" s="5"/>
      <c r="E706" s="5"/>
      <c r="F706" s="5"/>
      <c r="G706" s="5"/>
      <c r="H706" s="5"/>
      <c r="I706" s="5"/>
      <c r="J706" s="5"/>
      <c r="K706" s="5"/>
      <c r="L706" s="5"/>
      <c r="M706" s="20"/>
      <c r="N706" s="5"/>
    </row>
    <row r="707" spans="1:14" ht="14.25" customHeight="1" x14ac:dyDescent="0.25">
      <c r="A707" s="5"/>
      <c r="B707" s="5"/>
      <c r="C707" s="5"/>
      <c r="D707" s="5"/>
      <c r="E707" s="5"/>
      <c r="F707" s="5"/>
      <c r="G707" s="5"/>
      <c r="H707" s="5"/>
      <c r="I707" s="5"/>
      <c r="J707" s="5"/>
      <c r="K707" s="5"/>
      <c r="L707" s="5"/>
      <c r="M707" s="20"/>
      <c r="N707" s="5"/>
    </row>
    <row r="708" spans="1:14" ht="14.25" customHeight="1" x14ac:dyDescent="0.25">
      <c r="A708" s="5"/>
      <c r="B708" s="5"/>
      <c r="C708" s="5"/>
      <c r="D708" s="5"/>
      <c r="E708" s="5"/>
      <c r="F708" s="5"/>
      <c r="G708" s="5"/>
      <c r="H708" s="5"/>
      <c r="I708" s="5"/>
      <c r="J708" s="5"/>
      <c r="K708" s="5"/>
      <c r="L708" s="5"/>
      <c r="M708" s="20"/>
      <c r="N708" s="5"/>
    </row>
    <row r="709" spans="1:14" ht="14.25" customHeight="1" x14ac:dyDescent="0.25">
      <c r="A709" s="5"/>
      <c r="B709" s="5"/>
      <c r="C709" s="5"/>
      <c r="D709" s="5"/>
      <c r="E709" s="5"/>
      <c r="F709" s="5"/>
      <c r="G709" s="5"/>
      <c r="H709" s="5"/>
      <c r="I709" s="5"/>
      <c r="J709" s="5"/>
      <c r="K709" s="5"/>
      <c r="L709" s="5"/>
      <c r="M709" s="20"/>
      <c r="N709" s="5"/>
    </row>
    <row r="710" spans="1:14" ht="14.25" customHeight="1" x14ac:dyDescent="0.25">
      <c r="A710" s="5"/>
      <c r="B710" s="5"/>
      <c r="C710" s="5"/>
      <c r="D710" s="5"/>
      <c r="E710" s="5"/>
      <c r="F710" s="5"/>
      <c r="G710" s="5"/>
      <c r="H710" s="5"/>
      <c r="I710" s="5"/>
      <c r="J710" s="5"/>
      <c r="K710" s="5"/>
      <c r="L710" s="5"/>
      <c r="M710" s="20"/>
      <c r="N710" s="5"/>
    </row>
    <row r="711" spans="1:14" ht="14.25" customHeight="1" x14ac:dyDescent="0.25">
      <c r="A711" s="5"/>
      <c r="B711" s="5"/>
      <c r="C711" s="5"/>
      <c r="D711" s="5"/>
      <c r="E711" s="5"/>
      <c r="F711" s="5"/>
      <c r="G711" s="5"/>
      <c r="H711" s="5"/>
      <c r="I711" s="5"/>
      <c r="J711" s="5"/>
      <c r="K711" s="5"/>
      <c r="L711" s="5"/>
      <c r="M711" s="20"/>
      <c r="N711" s="5"/>
    </row>
    <row r="712" spans="1:14" ht="14.25" customHeight="1" x14ac:dyDescent="0.25">
      <c r="A712" s="5"/>
      <c r="B712" s="5"/>
      <c r="C712" s="5"/>
      <c r="D712" s="5"/>
      <c r="E712" s="5"/>
      <c r="F712" s="5"/>
      <c r="G712" s="5"/>
      <c r="H712" s="5"/>
      <c r="I712" s="5"/>
      <c r="J712" s="5"/>
      <c r="K712" s="5"/>
      <c r="L712" s="5"/>
      <c r="M712" s="20"/>
      <c r="N712" s="5"/>
    </row>
    <row r="713" spans="1:14" ht="14.25" customHeight="1" x14ac:dyDescent="0.25">
      <c r="A713" s="5"/>
      <c r="B713" s="5"/>
      <c r="C713" s="5"/>
      <c r="D713" s="5"/>
      <c r="E713" s="5"/>
      <c r="F713" s="5"/>
      <c r="G713" s="5"/>
      <c r="H713" s="5"/>
      <c r="I713" s="5"/>
      <c r="J713" s="5"/>
      <c r="K713" s="5"/>
      <c r="L713" s="5"/>
      <c r="M713" s="20"/>
      <c r="N713" s="5"/>
    </row>
    <row r="714" spans="1:14" ht="14.25" customHeight="1" x14ac:dyDescent="0.25">
      <c r="A714" s="5"/>
      <c r="B714" s="5"/>
      <c r="C714" s="5"/>
      <c r="D714" s="5"/>
      <c r="E714" s="5"/>
      <c r="F714" s="5"/>
      <c r="G714" s="5"/>
      <c r="H714" s="5"/>
      <c r="I714" s="5"/>
      <c r="J714" s="5"/>
      <c r="K714" s="5"/>
      <c r="L714" s="5"/>
      <c r="M714" s="20"/>
      <c r="N714" s="5"/>
    </row>
    <row r="715" spans="1:14" ht="14.25" customHeight="1" x14ac:dyDescent="0.25">
      <c r="A715" s="5"/>
      <c r="B715" s="5"/>
      <c r="C715" s="5"/>
      <c r="D715" s="5"/>
      <c r="E715" s="5"/>
      <c r="F715" s="5"/>
      <c r="G715" s="5"/>
      <c r="H715" s="5"/>
      <c r="I715" s="5"/>
      <c r="J715" s="5"/>
      <c r="K715" s="5"/>
      <c r="L715" s="5"/>
      <c r="M715" s="20"/>
      <c r="N715" s="5"/>
    </row>
    <row r="716" spans="1:14" ht="14.25" customHeight="1" x14ac:dyDescent="0.25">
      <c r="A716" s="5"/>
      <c r="B716" s="5"/>
      <c r="C716" s="5"/>
      <c r="D716" s="5"/>
      <c r="E716" s="5"/>
      <c r="F716" s="5"/>
      <c r="G716" s="5"/>
      <c r="H716" s="5"/>
      <c r="I716" s="5"/>
      <c r="J716" s="5"/>
      <c r="K716" s="5"/>
      <c r="L716" s="5"/>
      <c r="M716" s="20"/>
      <c r="N716" s="5"/>
    </row>
    <row r="717" spans="1:14" ht="14.25" customHeight="1" x14ac:dyDescent="0.25">
      <c r="A717" s="5"/>
      <c r="B717" s="5"/>
      <c r="C717" s="5"/>
      <c r="D717" s="5"/>
      <c r="E717" s="5"/>
      <c r="F717" s="5"/>
      <c r="G717" s="5"/>
      <c r="H717" s="5"/>
      <c r="I717" s="5"/>
      <c r="J717" s="5"/>
      <c r="K717" s="5"/>
      <c r="L717" s="5"/>
      <c r="M717" s="20"/>
      <c r="N717" s="5"/>
    </row>
    <row r="718" spans="1:14" ht="14.25" customHeight="1" x14ac:dyDescent="0.25">
      <c r="A718" s="5"/>
      <c r="B718" s="5"/>
      <c r="C718" s="5"/>
      <c r="D718" s="5"/>
      <c r="E718" s="5"/>
      <c r="F718" s="5"/>
      <c r="G718" s="5"/>
      <c r="H718" s="5"/>
      <c r="I718" s="5"/>
      <c r="J718" s="5"/>
      <c r="K718" s="5"/>
      <c r="L718" s="5"/>
      <c r="M718" s="20"/>
      <c r="N718" s="5"/>
    </row>
    <row r="719" spans="1:14" ht="14.25" customHeight="1" x14ac:dyDescent="0.25">
      <c r="A719" s="5"/>
      <c r="B719" s="5"/>
      <c r="C719" s="5"/>
      <c r="D719" s="5"/>
      <c r="E719" s="5"/>
      <c r="F719" s="5"/>
      <c r="G719" s="5"/>
      <c r="H719" s="5"/>
      <c r="I719" s="5"/>
      <c r="J719" s="5"/>
      <c r="K719" s="5"/>
      <c r="L719" s="5"/>
      <c r="M719" s="20"/>
      <c r="N719" s="5"/>
    </row>
    <row r="720" spans="1:14" ht="14.25" customHeight="1" x14ac:dyDescent="0.25">
      <c r="A720" s="5"/>
      <c r="B720" s="5"/>
      <c r="C720" s="5"/>
      <c r="D720" s="5"/>
      <c r="E720" s="5"/>
      <c r="F720" s="5"/>
      <c r="G720" s="5"/>
      <c r="H720" s="5"/>
      <c r="I720" s="5"/>
      <c r="J720" s="5"/>
      <c r="K720" s="5"/>
      <c r="L720" s="5"/>
      <c r="M720" s="20"/>
      <c r="N720" s="5"/>
    </row>
    <row r="721" spans="1:14" ht="14.25" customHeight="1" x14ac:dyDescent="0.25">
      <c r="A721" s="5"/>
      <c r="B721" s="5"/>
      <c r="C721" s="5"/>
      <c r="D721" s="5"/>
      <c r="E721" s="5"/>
      <c r="F721" s="5"/>
      <c r="G721" s="5"/>
      <c r="H721" s="5"/>
      <c r="I721" s="5"/>
      <c r="J721" s="5"/>
      <c r="K721" s="5"/>
      <c r="L721" s="5"/>
      <c r="M721" s="20"/>
      <c r="N721" s="5"/>
    </row>
    <row r="722" spans="1:14" ht="14.25" customHeight="1" x14ac:dyDescent="0.25">
      <c r="A722" s="5"/>
      <c r="B722" s="5"/>
      <c r="C722" s="5"/>
      <c r="D722" s="5"/>
      <c r="E722" s="5"/>
      <c r="F722" s="5"/>
      <c r="G722" s="5"/>
      <c r="H722" s="5"/>
      <c r="I722" s="5"/>
      <c r="J722" s="5"/>
      <c r="K722" s="5"/>
      <c r="L722" s="5"/>
      <c r="M722" s="20"/>
      <c r="N722" s="5"/>
    </row>
    <row r="723" spans="1:14" ht="14.25" customHeight="1" x14ac:dyDescent="0.25">
      <c r="A723" s="5"/>
      <c r="B723" s="5"/>
      <c r="C723" s="5"/>
      <c r="D723" s="5"/>
      <c r="E723" s="5"/>
      <c r="F723" s="5"/>
      <c r="G723" s="5"/>
      <c r="H723" s="5"/>
      <c r="I723" s="5"/>
      <c r="J723" s="5"/>
      <c r="K723" s="5"/>
      <c r="L723" s="5"/>
      <c r="M723" s="20"/>
      <c r="N723" s="5"/>
    </row>
    <row r="724" spans="1:14" ht="14.25" customHeight="1" x14ac:dyDescent="0.25">
      <c r="A724" s="5"/>
      <c r="B724" s="5"/>
      <c r="C724" s="5"/>
      <c r="D724" s="5"/>
      <c r="E724" s="5"/>
      <c r="F724" s="5"/>
      <c r="G724" s="5"/>
      <c r="H724" s="5"/>
      <c r="I724" s="5"/>
      <c r="J724" s="5"/>
      <c r="K724" s="5"/>
      <c r="L724" s="5"/>
      <c r="M724" s="20"/>
      <c r="N724" s="5"/>
    </row>
    <row r="725" spans="1:14" ht="14.25" customHeight="1" x14ac:dyDescent="0.25">
      <c r="A725" s="5"/>
      <c r="B725" s="5"/>
      <c r="C725" s="5"/>
      <c r="D725" s="5"/>
      <c r="E725" s="5"/>
      <c r="F725" s="5"/>
      <c r="G725" s="5"/>
      <c r="H725" s="5"/>
      <c r="I725" s="5"/>
      <c r="J725" s="5"/>
      <c r="K725" s="5"/>
      <c r="L725" s="5"/>
      <c r="M725" s="20"/>
      <c r="N725" s="5"/>
    </row>
    <row r="726" spans="1:14" ht="14.25" customHeight="1" x14ac:dyDescent="0.25">
      <c r="A726" s="5"/>
      <c r="B726" s="5"/>
      <c r="C726" s="5"/>
      <c r="D726" s="5"/>
      <c r="E726" s="5"/>
      <c r="F726" s="5"/>
      <c r="G726" s="5"/>
      <c r="H726" s="5"/>
      <c r="I726" s="5"/>
      <c r="J726" s="5"/>
      <c r="K726" s="5"/>
      <c r="L726" s="5"/>
      <c r="M726" s="20"/>
      <c r="N726" s="5"/>
    </row>
    <row r="727" spans="1:14" ht="14.25" customHeight="1" x14ac:dyDescent="0.25">
      <c r="A727" s="5"/>
      <c r="B727" s="5"/>
      <c r="C727" s="5"/>
      <c r="D727" s="5"/>
      <c r="E727" s="5"/>
      <c r="F727" s="5"/>
      <c r="G727" s="5"/>
      <c r="H727" s="5"/>
      <c r="I727" s="5"/>
      <c r="J727" s="5"/>
      <c r="K727" s="5"/>
      <c r="L727" s="5"/>
      <c r="M727" s="20"/>
      <c r="N727" s="5"/>
    </row>
    <row r="728" spans="1:14" ht="14.25" customHeight="1" x14ac:dyDescent="0.25">
      <c r="A728" s="5"/>
      <c r="B728" s="5"/>
      <c r="C728" s="5"/>
      <c r="D728" s="5"/>
      <c r="E728" s="5"/>
      <c r="F728" s="5"/>
      <c r="G728" s="5"/>
      <c r="H728" s="5"/>
      <c r="I728" s="5"/>
      <c r="J728" s="5"/>
      <c r="K728" s="5"/>
      <c r="L728" s="5"/>
      <c r="M728" s="20"/>
      <c r="N728" s="5"/>
    </row>
    <row r="729" spans="1:14" ht="14.25" customHeight="1" x14ac:dyDescent="0.25">
      <c r="A729" s="5"/>
      <c r="B729" s="5"/>
      <c r="C729" s="5"/>
      <c r="D729" s="5"/>
      <c r="E729" s="5"/>
      <c r="F729" s="5"/>
      <c r="G729" s="5"/>
      <c r="H729" s="5"/>
      <c r="I729" s="5"/>
      <c r="J729" s="5"/>
      <c r="K729" s="5"/>
      <c r="L729" s="5"/>
      <c r="M729" s="20"/>
      <c r="N729" s="5"/>
    </row>
    <row r="730" spans="1:14" ht="14.25" customHeight="1" x14ac:dyDescent="0.25">
      <c r="A730" s="5"/>
      <c r="B730" s="5"/>
      <c r="C730" s="5"/>
      <c r="D730" s="5"/>
      <c r="E730" s="5"/>
      <c r="F730" s="5"/>
      <c r="G730" s="5"/>
      <c r="H730" s="5"/>
      <c r="I730" s="5"/>
      <c r="J730" s="5"/>
      <c r="K730" s="5"/>
      <c r="L730" s="5"/>
      <c r="M730" s="20"/>
      <c r="N730" s="5"/>
    </row>
    <row r="731" spans="1:14" ht="14.25" customHeight="1" x14ac:dyDescent="0.25">
      <c r="A731" s="5"/>
      <c r="B731" s="5"/>
      <c r="C731" s="5"/>
      <c r="D731" s="5"/>
      <c r="E731" s="5"/>
      <c r="F731" s="5"/>
      <c r="G731" s="5"/>
      <c r="H731" s="5"/>
      <c r="I731" s="5"/>
      <c r="J731" s="5"/>
      <c r="K731" s="5"/>
      <c r="L731" s="5"/>
      <c r="M731" s="20"/>
      <c r="N731" s="5"/>
    </row>
    <row r="732" spans="1:14" ht="14.25" customHeight="1" x14ac:dyDescent="0.25">
      <c r="A732" s="5"/>
      <c r="B732" s="5"/>
      <c r="C732" s="5"/>
      <c r="D732" s="5"/>
      <c r="E732" s="5"/>
      <c r="F732" s="5"/>
      <c r="G732" s="5"/>
      <c r="H732" s="5"/>
      <c r="I732" s="5"/>
      <c r="J732" s="5"/>
      <c r="K732" s="5"/>
      <c r="L732" s="5"/>
      <c r="M732" s="20"/>
      <c r="N732" s="5"/>
    </row>
    <row r="733" spans="1:14" ht="14.25" customHeight="1" x14ac:dyDescent="0.25">
      <c r="A733" s="5"/>
      <c r="B733" s="5"/>
      <c r="C733" s="5"/>
      <c r="D733" s="5"/>
      <c r="E733" s="5"/>
      <c r="F733" s="5"/>
      <c r="G733" s="5"/>
      <c r="H733" s="5"/>
      <c r="I733" s="5"/>
      <c r="J733" s="5"/>
      <c r="K733" s="5"/>
      <c r="L733" s="5"/>
      <c r="M733" s="20"/>
      <c r="N733" s="5"/>
    </row>
    <row r="734" spans="1:14" ht="14.25" customHeight="1" x14ac:dyDescent="0.25">
      <c r="A734" s="5"/>
      <c r="B734" s="5"/>
      <c r="C734" s="5"/>
      <c r="D734" s="5"/>
      <c r="E734" s="5"/>
      <c r="F734" s="5"/>
      <c r="G734" s="5"/>
      <c r="H734" s="5"/>
      <c r="I734" s="5"/>
      <c r="J734" s="5"/>
      <c r="K734" s="5"/>
      <c r="L734" s="5"/>
      <c r="M734" s="20"/>
      <c r="N734" s="5"/>
    </row>
    <row r="735" spans="1:14" ht="14.25" customHeight="1" x14ac:dyDescent="0.25">
      <c r="A735" s="5"/>
      <c r="B735" s="5"/>
      <c r="C735" s="5"/>
      <c r="D735" s="5"/>
      <c r="E735" s="5"/>
      <c r="F735" s="5"/>
      <c r="G735" s="5"/>
      <c r="H735" s="5"/>
      <c r="I735" s="5"/>
      <c r="J735" s="5"/>
      <c r="K735" s="5"/>
      <c r="L735" s="5"/>
      <c r="M735" s="20"/>
      <c r="N735" s="5"/>
    </row>
    <row r="736" spans="1:14" ht="14.25" customHeight="1" x14ac:dyDescent="0.25">
      <c r="A736" s="5"/>
      <c r="B736" s="5"/>
      <c r="C736" s="5"/>
      <c r="D736" s="5"/>
      <c r="E736" s="5"/>
      <c r="F736" s="5"/>
      <c r="G736" s="5"/>
      <c r="H736" s="5"/>
      <c r="I736" s="5"/>
      <c r="J736" s="5"/>
      <c r="K736" s="5"/>
      <c r="L736" s="5"/>
      <c r="M736" s="20"/>
      <c r="N736" s="5"/>
    </row>
    <row r="737" spans="1:14" ht="14.25" customHeight="1" x14ac:dyDescent="0.25">
      <c r="A737" s="5"/>
      <c r="B737" s="5"/>
      <c r="C737" s="5"/>
      <c r="D737" s="5"/>
      <c r="E737" s="5"/>
      <c r="F737" s="5"/>
      <c r="G737" s="5"/>
      <c r="H737" s="5"/>
      <c r="I737" s="5"/>
      <c r="J737" s="5"/>
      <c r="K737" s="5"/>
      <c r="L737" s="5"/>
      <c r="M737" s="20"/>
      <c r="N737" s="5"/>
    </row>
    <row r="738" spans="1:14" ht="14.25" customHeight="1" x14ac:dyDescent="0.25">
      <c r="A738" s="5"/>
      <c r="B738" s="5"/>
      <c r="C738" s="5"/>
      <c r="D738" s="5"/>
      <c r="E738" s="5"/>
      <c r="F738" s="5"/>
      <c r="G738" s="5"/>
      <c r="H738" s="5"/>
      <c r="I738" s="5"/>
      <c r="J738" s="5"/>
      <c r="K738" s="5"/>
      <c r="L738" s="5"/>
      <c r="M738" s="20"/>
      <c r="N738" s="5"/>
    </row>
    <row r="739" spans="1:14" ht="14.25" customHeight="1" x14ac:dyDescent="0.25">
      <c r="A739" s="5"/>
      <c r="B739" s="5"/>
      <c r="C739" s="5"/>
      <c r="D739" s="5"/>
      <c r="E739" s="5"/>
      <c r="F739" s="5"/>
      <c r="G739" s="5"/>
      <c r="H739" s="5"/>
      <c r="I739" s="5"/>
      <c r="J739" s="5"/>
      <c r="K739" s="5"/>
      <c r="L739" s="5"/>
      <c r="M739" s="20"/>
      <c r="N739" s="5"/>
    </row>
    <row r="740" spans="1:14" ht="14.25" customHeight="1" x14ac:dyDescent="0.25">
      <c r="A740" s="5"/>
      <c r="B740" s="5"/>
      <c r="C740" s="5"/>
      <c r="D740" s="5"/>
      <c r="E740" s="5"/>
      <c r="F740" s="5"/>
      <c r="G740" s="5"/>
      <c r="H740" s="5"/>
      <c r="I740" s="5"/>
      <c r="J740" s="5"/>
      <c r="K740" s="5"/>
      <c r="L740" s="5"/>
      <c r="M740" s="20"/>
      <c r="N740" s="5"/>
    </row>
    <row r="741" spans="1:14" ht="14.25" customHeight="1" x14ac:dyDescent="0.25">
      <c r="A741" s="5"/>
      <c r="B741" s="5"/>
      <c r="C741" s="5"/>
      <c r="D741" s="5"/>
      <c r="E741" s="5"/>
      <c r="F741" s="5"/>
      <c r="G741" s="5"/>
      <c r="H741" s="5"/>
      <c r="I741" s="5"/>
      <c r="J741" s="5"/>
      <c r="K741" s="5"/>
      <c r="L741" s="5"/>
      <c r="M741" s="20"/>
      <c r="N741" s="5"/>
    </row>
    <row r="742" spans="1:14" ht="14.25" customHeight="1" x14ac:dyDescent="0.25">
      <c r="A742" s="5"/>
      <c r="B742" s="5"/>
      <c r="C742" s="5"/>
      <c r="D742" s="5"/>
      <c r="E742" s="5"/>
      <c r="F742" s="5"/>
      <c r="G742" s="5"/>
      <c r="H742" s="5"/>
      <c r="I742" s="5"/>
      <c r="J742" s="5"/>
      <c r="K742" s="5"/>
      <c r="L742" s="5"/>
      <c r="M742" s="20"/>
      <c r="N742" s="5"/>
    </row>
    <row r="743" spans="1:14" ht="14.25" customHeight="1" x14ac:dyDescent="0.25">
      <c r="A743" s="5"/>
      <c r="B743" s="5"/>
      <c r="C743" s="5"/>
      <c r="D743" s="5"/>
      <c r="E743" s="5"/>
      <c r="F743" s="5"/>
      <c r="G743" s="5"/>
      <c r="H743" s="5"/>
      <c r="I743" s="5"/>
      <c r="J743" s="5"/>
      <c r="K743" s="5"/>
      <c r="L743" s="5"/>
      <c r="M743" s="20"/>
      <c r="N743" s="5"/>
    </row>
    <row r="744" spans="1:14" ht="14.25" customHeight="1" x14ac:dyDescent="0.25">
      <c r="A744" s="5"/>
      <c r="B744" s="5"/>
      <c r="C744" s="5"/>
      <c r="D744" s="5"/>
      <c r="E744" s="5"/>
      <c r="F744" s="5"/>
      <c r="G744" s="5"/>
      <c r="H744" s="5"/>
      <c r="I744" s="5"/>
      <c r="J744" s="5"/>
      <c r="K744" s="5"/>
      <c r="L744" s="5"/>
      <c r="M744" s="20"/>
      <c r="N744" s="5"/>
    </row>
    <row r="745" spans="1:14" ht="14.25" customHeight="1" x14ac:dyDescent="0.25">
      <c r="A745" s="5"/>
      <c r="B745" s="5"/>
      <c r="C745" s="5"/>
      <c r="D745" s="5"/>
      <c r="E745" s="5"/>
      <c r="F745" s="5"/>
      <c r="G745" s="5"/>
      <c r="H745" s="5"/>
      <c r="I745" s="5"/>
      <c r="J745" s="5"/>
      <c r="K745" s="5"/>
      <c r="L745" s="5"/>
      <c r="M745" s="20"/>
      <c r="N745" s="5"/>
    </row>
    <row r="746" spans="1:14" ht="14.25" customHeight="1" x14ac:dyDescent="0.25">
      <c r="A746" s="5"/>
      <c r="B746" s="5"/>
      <c r="C746" s="5"/>
      <c r="D746" s="5"/>
      <c r="E746" s="5"/>
      <c r="F746" s="5"/>
      <c r="G746" s="5"/>
      <c r="H746" s="5"/>
      <c r="I746" s="5"/>
      <c r="J746" s="5"/>
      <c r="K746" s="5"/>
      <c r="L746" s="5"/>
      <c r="M746" s="20"/>
      <c r="N746" s="5"/>
    </row>
    <row r="747" spans="1:14" ht="14.25" customHeight="1" x14ac:dyDescent="0.25">
      <c r="A747" s="5"/>
      <c r="B747" s="5"/>
      <c r="C747" s="5"/>
      <c r="D747" s="5"/>
      <c r="E747" s="5"/>
      <c r="F747" s="5"/>
      <c r="G747" s="5"/>
      <c r="H747" s="5"/>
      <c r="I747" s="5"/>
      <c r="J747" s="5"/>
      <c r="K747" s="5"/>
      <c r="L747" s="5"/>
      <c r="M747" s="20"/>
      <c r="N747" s="5"/>
    </row>
    <row r="748" spans="1:14" ht="14.25" customHeight="1" x14ac:dyDescent="0.25">
      <c r="A748" s="5"/>
      <c r="B748" s="5"/>
      <c r="C748" s="5"/>
      <c r="D748" s="5"/>
      <c r="E748" s="5"/>
      <c r="F748" s="5"/>
      <c r="G748" s="5"/>
      <c r="H748" s="5"/>
      <c r="I748" s="5"/>
      <c r="J748" s="5"/>
      <c r="K748" s="5"/>
      <c r="L748" s="5"/>
      <c r="M748" s="20"/>
      <c r="N748" s="5"/>
    </row>
    <row r="749" spans="1:14" ht="14.25" customHeight="1" x14ac:dyDescent="0.25">
      <c r="A749" s="5"/>
      <c r="B749" s="5"/>
      <c r="C749" s="5"/>
      <c r="D749" s="5"/>
      <c r="E749" s="5"/>
      <c r="F749" s="5"/>
      <c r="G749" s="5"/>
      <c r="H749" s="5"/>
      <c r="I749" s="5"/>
      <c r="J749" s="5"/>
      <c r="K749" s="5"/>
      <c r="L749" s="5"/>
      <c r="M749" s="20"/>
      <c r="N749" s="5"/>
    </row>
    <row r="750" spans="1:14" ht="14.25" customHeight="1" x14ac:dyDescent="0.25">
      <c r="A750" s="5"/>
      <c r="B750" s="5"/>
      <c r="C750" s="5"/>
      <c r="D750" s="5"/>
      <c r="E750" s="5"/>
      <c r="F750" s="5"/>
      <c r="G750" s="5"/>
      <c r="H750" s="5"/>
      <c r="I750" s="5"/>
      <c r="J750" s="5"/>
      <c r="K750" s="5"/>
      <c r="L750" s="5"/>
      <c r="M750" s="20"/>
      <c r="N750" s="5"/>
    </row>
    <row r="751" spans="1:14" ht="14.25" customHeight="1" x14ac:dyDescent="0.25">
      <c r="A751" s="5"/>
      <c r="B751" s="5"/>
      <c r="C751" s="5"/>
      <c r="D751" s="5"/>
      <c r="E751" s="5"/>
      <c r="F751" s="5"/>
      <c r="G751" s="5"/>
      <c r="H751" s="5"/>
      <c r="I751" s="5"/>
      <c r="J751" s="5"/>
      <c r="K751" s="5"/>
      <c r="L751" s="5"/>
      <c r="M751" s="20"/>
      <c r="N751" s="5"/>
    </row>
    <row r="752" spans="1:14" ht="14.25" customHeight="1" x14ac:dyDescent="0.25">
      <c r="A752" s="5"/>
      <c r="B752" s="5"/>
      <c r="C752" s="5"/>
      <c r="D752" s="5"/>
      <c r="E752" s="5"/>
      <c r="F752" s="5"/>
      <c r="G752" s="5"/>
      <c r="H752" s="5"/>
      <c r="I752" s="5"/>
      <c r="J752" s="5"/>
      <c r="K752" s="5"/>
      <c r="L752" s="5"/>
      <c r="M752" s="20"/>
      <c r="N752" s="5"/>
    </row>
    <row r="753" spans="1:14" ht="14.25" customHeight="1" x14ac:dyDescent="0.25">
      <c r="A753" s="5"/>
      <c r="B753" s="5"/>
      <c r="C753" s="5"/>
      <c r="D753" s="5"/>
      <c r="E753" s="5"/>
      <c r="F753" s="5"/>
      <c r="G753" s="5"/>
      <c r="H753" s="5"/>
      <c r="I753" s="5"/>
      <c r="J753" s="5"/>
      <c r="K753" s="5"/>
      <c r="L753" s="5"/>
      <c r="M753" s="20"/>
      <c r="N753" s="5"/>
    </row>
    <row r="754" spans="1:14" ht="14.25" customHeight="1" x14ac:dyDescent="0.25">
      <c r="A754" s="5"/>
      <c r="B754" s="5"/>
      <c r="C754" s="5"/>
      <c r="D754" s="5"/>
      <c r="E754" s="5"/>
      <c r="F754" s="5"/>
      <c r="G754" s="5"/>
      <c r="H754" s="5"/>
      <c r="I754" s="5"/>
      <c r="J754" s="5"/>
      <c r="K754" s="5"/>
      <c r="L754" s="5"/>
      <c r="M754" s="20"/>
      <c r="N754" s="5"/>
    </row>
    <row r="755" spans="1:14" ht="14.25" customHeight="1" x14ac:dyDescent="0.25">
      <c r="A755" s="5"/>
      <c r="B755" s="5"/>
      <c r="C755" s="5"/>
      <c r="D755" s="5"/>
      <c r="E755" s="5"/>
      <c r="F755" s="5"/>
      <c r="G755" s="5"/>
      <c r="H755" s="5"/>
      <c r="I755" s="5"/>
      <c r="J755" s="5"/>
      <c r="K755" s="5"/>
      <c r="L755" s="5"/>
      <c r="M755" s="20"/>
      <c r="N755" s="5"/>
    </row>
    <row r="756" spans="1:14" ht="14.25" customHeight="1" x14ac:dyDescent="0.25">
      <c r="A756" s="5"/>
      <c r="B756" s="5"/>
      <c r="C756" s="5"/>
      <c r="D756" s="5"/>
      <c r="E756" s="5"/>
      <c r="F756" s="5"/>
      <c r="G756" s="5"/>
      <c r="H756" s="5"/>
      <c r="I756" s="5"/>
      <c r="J756" s="5"/>
      <c r="K756" s="5"/>
      <c r="L756" s="5"/>
      <c r="M756" s="20"/>
      <c r="N756" s="5"/>
    </row>
    <row r="757" spans="1:14" ht="14.25" customHeight="1" x14ac:dyDescent="0.25">
      <c r="A757" s="5"/>
      <c r="B757" s="5"/>
      <c r="C757" s="5"/>
      <c r="D757" s="5"/>
      <c r="E757" s="5"/>
      <c r="F757" s="5"/>
      <c r="G757" s="5"/>
      <c r="H757" s="5"/>
      <c r="I757" s="5"/>
      <c r="J757" s="5"/>
      <c r="K757" s="5"/>
      <c r="L757" s="5"/>
      <c r="M757" s="20"/>
      <c r="N757" s="5"/>
    </row>
    <row r="758" spans="1:14" ht="14.25" customHeight="1" x14ac:dyDescent="0.25">
      <c r="A758" s="5"/>
      <c r="B758" s="5"/>
      <c r="C758" s="5"/>
      <c r="D758" s="5"/>
      <c r="E758" s="5"/>
      <c r="F758" s="5"/>
      <c r="G758" s="5"/>
      <c r="H758" s="5"/>
      <c r="I758" s="5"/>
      <c r="J758" s="5"/>
      <c r="K758" s="5"/>
      <c r="L758" s="5"/>
      <c r="M758" s="20"/>
      <c r="N758" s="5"/>
    </row>
    <row r="759" spans="1:14" ht="14.25" customHeight="1" x14ac:dyDescent="0.25">
      <c r="A759" s="5"/>
      <c r="B759" s="5"/>
      <c r="C759" s="5"/>
      <c r="D759" s="5"/>
      <c r="E759" s="5"/>
      <c r="F759" s="5"/>
      <c r="G759" s="5"/>
      <c r="H759" s="5"/>
      <c r="I759" s="5"/>
      <c r="J759" s="5"/>
      <c r="K759" s="5"/>
      <c r="L759" s="5"/>
      <c r="M759" s="20"/>
      <c r="N759" s="5"/>
    </row>
    <row r="760" spans="1:14" ht="14.25" customHeight="1" x14ac:dyDescent="0.25">
      <c r="A760" s="5"/>
      <c r="B760" s="5"/>
      <c r="C760" s="5"/>
      <c r="D760" s="5"/>
      <c r="E760" s="5"/>
      <c r="F760" s="5"/>
      <c r="G760" s="5"/>
      <c r="H760" s="5"/>
      <c r="I760" s="5"/>
      <c r="J760" s="5"/>
      <c r="K760" s="5"/>
      <c r="L760" s="5"/>
      <c r="M760" s="20"/>
      <c r="N760" s="5"/>
    </row>
    <row r="761" spans="1:14" ht="14.25" customHeight="1" x14ac:dyDescent="0.25">
      <c r="A761" s="5"/>
      <c r="B761" s="5"/>
      <c r="C761" s="5"/>
      <c r="D761" s="5"/>
      <c r="E761" s="5"/>
      <c r="F761" s="5"/>
      <c r="G761" s="5"/>
      <c r="H761" s="5"/>
      <c r="I761" s="5"/>
      <c r="J761" s="5"/>
      <c r="K761" s="5"/>
      <c r="L761" s="5"/>
      <c r="M761" s="20"/>
      <c r="N761" s="5"/>
    </row>
    <row r="762" spans="1:14" ht="14.25" customHeight="1" x14ac:dyDescent="0.25">
      <c r="A762" s="5"/>
      <c r="B762" s="5"/>
      <c r="C762" s="5"/>
      <c r="D762" s="5"/>
      <c r="E762" s="5"/>
      <c r="F762" s="5"/>
      <c r="G762" s="5"/>
      <c r="H762" s="5"/>
      <c r="I762" s="5"/>
      <c r="J762" s="5"/>
      <c r="K762" s="5"/>
      <c r="L762" s="5"/>
      <c r="M762" s="20"/>
      <c r="N762" s="5"/>
    </row>
    <row r="763" spans="1:14" ht="14.25" customHeight="1" x14ac:dyDescent="0.25">
      <c r="A763" s="5"/>
      <c r="B763" s="5"/>
      <c r="C763" s="5"/>
      <c r="D763" s="5"/>
      <c r="E763" s="5"/>
      <c r="F763" s="5"/>
      <c r="G763" s="5"/>
      <c r="H763" s="5"/>
      <c r="I763" s="5"/>
      <c r="J763" s="5"/>
      <c r="K763" s="5"/>
      <c r="L763" s="5"/>
      <c r="M763" s="20"/>
      <c r="N763" s="5"/>
    </row>
    <row r="764" spans="1:14" ht="14.25" customHeight="1" x14ac:dyDescent="0.25">
      <c r="A764" s="5"/>
      <c r="B764" s="5"/>
      <c r="C764" s="5"/>
      <c r="D764" s="5"/>
      <c r="E764" s="5"/>
      <c r="F764" s="5"/>
      <c r="G764" s="5"/>
      <c r="H764" s="5"/>
      <c r="I764" s="5"/>
      <c r="J764" s="5"/>
      <c r="K764" s="5"/>
      <c r="L764" s="5"/>
      <c r="M764" s="20"/>
      <c r="N764" s="5"/>
    </row>
    <row r="765" spans="1:14" ht="14.25" customHeight="1" x14ac:dyDescent="0.25">
      <c r="A765" s="5"/>
      <c r="B765" s="5"/>
      <c r="C765" s="5"/>
      <c r="D765" s="5"/>
      <c r="E765" s="5"/>
      <c r="F765" s="5"/>
      <c r="G765" s="5"/>
      <c r="H765" s="5"/>
      <c r="I765" s="5"/>
      <c r="J765" s="5"/>
      <c r="K765" s="5"/>
      <c r="L765" s="5"/>
      <c r="M765" s="20"/>
      <c r="N765" s="5"/>
    </row>
    <row r="766" spans="1:14" ht="14.25" customHeight="1" x14ac:dyDescent="0.25">
      <c r="A766" s="5"/>
      <c r="B766" s="5"/>
      <c r="C766" s="5"/>
      <c r="D766" s="5"/>
      <c r="E766" s="5"/>
      <c r="F766" s="5"/>
      <c r="G766" s="5"/>
      <c r="H766" s="5"/>
      <c r="I766" s="5"/>
      <c r="J766" s="5"/>
      <c r="K766" s="5"/>
      <c r="L766" s="5"/>
      <c r="M766" s="20"/>
      <c r="N766" s="5"/>
    </row>
    <row r="767" spans="1:14" ht="14.25" customHeight="1" x14ac:dyDescent="0.25">
      <c r="A767" s="5"/>
      <c r="B767" s="5"/>
      <c r="C767" s="5"/>
      <c r="D767" s="5"/>
      <c r="E767" s="5"/>
      <c r="F767" s="5"/>
      <c r="G767" s="5"/>
      <c r="H767" s="5"/>
      <c r="I767" s="5"/>
      <c r="J767" s="5"/>
      <c r="K767" s="5"/>
      <c r="L767" s="5"/>
      <c r="M767" s="20"/>
      <c r="N767" s="5"/>
    </row>
    <row r="768" spans="1:14" ht="14.25" customHeight="1" x14ac:dyDescent="0.25">
      <c r="A768" s="5"/>
      <c r="B768" s="5"/>
      <c r="C768" s="5"/>
      <c r="D768" s="5"/>
      <c r="E768" s="5"/>
      <c r="F768" s="5"/>
      <c r="G768" s="5"/>
      <c r="H768" s="5"/>
      <c r="I768" s="5"/>
      <c r="J768" s="5"/>
      <c r="K768" s="5"/>
      <c r="L768" s="5"/>
      <c r="M768" s="20"/>
      <c r="N768" s="5"/>
    </row>
    <row r="769" spans="1:14" ht="14.25" customHeight="1" x14ac:dyDescent="0.25">
      <c r="A769" s="5"/>
      <c r="B769" s="5"/>
      <c r="C769" s="5"/>
      <c r="D769" s="5"/>
      <c r="E769" s="5"/>
      <c r="F769" s="5"/>
      <c r="G769" s="5"/>
      <c r="H769" s="5"/>
      <c r="I769" s="5"/>
      <c r="J769" s="5"/>
      <c r="K769" s="5"/>
      <c r="L769" s="5"/>
      <c r="M769" s="20"/>
      <c r="N769" s="5"/>
    </row>
    <row r="770" spans="1:14" ht="14.25" customHeight="1" x14ac:dyDescent="0.25">
      <c r="A770" s="5"/>
      <c r="B770" s="5"/>
      <c r="C770" s="5"/>
      <c r="D770" s="5"/>
      <c r="E770" s="5"/>
      <c r="F770" s="5"/>
      <c r="G770" s="5"/>
      <c r="H770" s="5"/>
      <c r="I770" s="5"/>
      <c r="J770" s="5"/>
      <c r="K770" s="5"/>
      <c r="L770" s="5"/>
      <c r="M770" s="20"/>
      <c r="N770" s="5"/>
    </row>
    <row r="771" spans="1:14" ht="14.25" customHeight="1" x14ac:dyDescent="0.25">
      <c r="A771" s="5"/>
      <c r="B771" s="5"/>
      <c r="C771" s="5"/>
      <c r="D771" s="5"/>
      <c r="E771" s="5"/>
      <c r="F771" s="5"/>
      <c r="G771" s="5"/>
      <c r="H771" s="5"/>
      <c r="I771" s="5"/>
      <c r="J771" s="5"/>
      <c r="K771" s="5"/>
      <c r="L771" s="5"/>
      <c r="M771" s="20"/>
      <c r="N771" s="5"/>
    </row>
    <row r="772" spans="1:14" ht="14.25" customHeight="1" x14ac:dyDescent="0.25">
      <c r="A772" s="5"/>
      <c r="B772" s="5"/>
      <c r="C772" s="5"/>
      <c r="D772" s="5"/>
      <c r="E772" s="5"/>
      <c r="F772" s="5"/>
      <c r="G772" s="5"/>
      <c r="H772" s="5"/>
      <c r="I772" s="5"/>
      <c r="J772" s="5"/>
      <c r="K772" s="5"/>
      <c r="L772" s="5"/>
      <c r="M772" s="20"/>
      <c r="N772" s="5"/>
    </row>
    <row r="773" spans="1:14" ht="14.25" customHeight="1" x14ac:dyDescent="0.25">
      <c r="A773" s="5"/>
      <c r="B773" s="5"/>
      <c r="C773" s="5"/>
      <c r="D773" s="5"/>
      <c r="E773" s="5"/>
      <c r="F773" s="5"/>
      <c r="G773" s="5"/>
      <c r="H773" s="5"/>
      <c r="I773" s="5"/>
      <c r="J773" s="5"/>
      <c r="K773" s="5"/>
      <c r="L773" s="5"/>
      <c r="M773" s="20"/>
      <c r="N773" s="5"/>
    </row>
    <row r="774" spans="1:14" ht="14.25" customHeight="1" x14ac:dyDescent="0.25">
      <c r="A774" s="5"/>
      <c r="B774" s="5"/>
      <c r="C774" s="5"/>
      <c r="D774" s="5"/>
      <c r="E774" s="5"/>
      <c r="F774" s="5"/>
      <c r="G774" s="5"/>
      <c r="H774" s="5"/>
      <c r="I774" s="5"/>
      <c r="J774" s="5"/>
      <c r="K774" s="5"/>
      <c r="L774" s="5"/>
      <c r="M774" s="20"/>
      <c r="N774" s="5"/>
    </row>
    <row r="775" spans="1:14" ht="14.25" customHeight="1" x14ac:dyDescent="0.25">
      <c r="A775" s="5"/>
      <c r="B775" s="5"/>
      <c r="C775" s="5"/>
      <c r="D775" s="5"/>
      <c r="E775" s="5"/>
      <c r="F775" s="5"/>
      <c r="G775" s="5"/>
      <c r="H775" s="5"/>
      <c r="I775" s="5"/>
      <c r="J775" s="5"/>
      <c r="K775" s="5"/>
      <c r="L775" s="5"/>
      <c r="M775" s="20"/>
      <c r="N775" s="5"/>
    </row>
    <row r="776" spans="1:14" ht="14.25" customHeight="1" x14ac:dyDescent="0.25">
      <c r="A776" s="5"/>
      <c r="B776" s="5"/>
      <c r="C776" s="5"/>
      <c r="D776" s="5"/>
      <c r="E776" s="5"/>
      <c r="F776" s="5"/>
      <c r="G776" s="5"/>
      <c r="H776" s="5"/>
      <c r="I776" s="5"/>
      <c r="J776" s="5"/>
      <c r="K776" s="5"/>
      <c r="L776" s="5"/>
      <c r="M776" s="20"/>
      <c r="N776" s="5"/>
    </row>
    <row r="777" spans="1:14" ht="14.25" customHeight="1" x14ac:dyDescent="0.25">
      <c r="A777" s="5"/>
      <c r="B777" s="5"/>
      <c r="C777" s="5"/>
      <c r="D777" s="5"/>
      <c r="E777" s="5"/>
      <c r="F777" s="5"/>
      <c r="G777" s="5"/>
      <c r="H777" s="5"/>
      <c r="I777" s="5"/>
      <c r="J777" s="5"/>
      <c r="K777" s="5"/>
      <c r="L777" s="5"/>
      <c r="M777" s="20"/>
      <c r="N777" s="5"/>
    </row>
    <row r="778" spans="1:14" ht="14.25" customHeight="1" x14ac:dyDescent="0.25">
      <c r="A778" s="5"/>
      <c r="B778" s="5"/>
      <c r="C778" s="5"/>
      <c r="D778" s="5"/>
      <c r="E778" s="5"/>
      <c r="F778" s="5"/>
      <c r="G778" s="5"/>
      <c r="H778" s="5"/>
      <c r="I778" s="5"/>
      <c r="J778" s="5"/>
      <c r="K778" s="5"/>
      <c r="L778" s="5"/>
      <c r="M778" s="20"/>
      <c r="N778" s="5"/>
    </row>
    <row r="779" spans="1:14" ht="14.25" customHeight="1" x14ac:dyDescent="0.25">
      <c r="A779" s="5"/>
      <c r="B779" s="5"/>
      <c r="C779" s="5"/>
      <c r="D779" s="5"/>
      <c r="E779" s="5"/>
      <c r="F779" s="5"/>
      <c r="G779" s="5"/>
      <c r="H779" s="5"/>
      <c r="I779" s="5"/>
      <c r="J779" s="5"/>
      <c r="K779" s="5"/>
      <c r="L779" s="5"/>
      <c r="M779" s="20"/>
      <c r="N779" s="5"/>
    </row>
    <row r="780" spans="1:14" ht="14.25" customHeight="1" x14ac:dyDescent="0.25">
      <c r="A780" s="5"/>
      <c r="B780" s="5"/>
      <c r="C780" s="5"/>
      <c r="D780" s="5"/>
      <c r="E780" s="5"/>
      <c r="F780" s="5"/>
      <c r="G780" s="5"/>
      <c r="H780" s="5"/>
      <c r="I780" s="5"/>
      <c r="J780" s="5"/>
      <c r="K780" s="5"/>
      <c r="L780" s="5"/>
      <c r="M780" s="20"/>
      <c r="N780" s="5"/>
    </row>
    <row r="781" spans="1:14" ht="14.25" customHeight="1" x14ac:dyDescent="0.25">
      <c r="A781" s="5"/>
      <c r="B781" s="5"/>
      <c r="C781" s="5"/>
      <c r="D781" s="5"/>
      <c r="E781" s="5"/>
      <c r="F781" s="5"/>
      <c r="G781" s="5"/>
      <c r="H781" s="5"/>
      <c r="I781" s="5"/>
      <c r="J781" s="5"/>
      <c r="K781" s="5"/>
      <c r="L781" s="5"/>
      <c r="M781" s="20"/>
      <c r="N781" s="5"/>
    </row>
    <row r="782" spans="1:14" ht="14.25" customHeight="1" x14ac:dyDescent="0.25">
      <c r="A782" s="5"/>
      <c r="B782" s="5"/>
      <c r="C782" s="5"/>
      <c r="D782" s="5"/>
      <c r="E782" s="5"/>
      <c r="F782" s="5"/>
      <c r="G782" s="5"/>
      <c r="H782" s="5"/>
      <c r="I782" s="5"/>
      <c r="J782" s="5"/>
      <c r="K782" s="5"/>
      <c r="L782" s="5"/>
      <c r="M782" s="20"/>
      <c r="N782" s="5"/>
    </row>
    <row r="783" spans="1:14" ht="14.25" customHeight="1" x14ac:dyDescent="0.25">
      <c r="A783" s="5"/>
      <c r="B783" s="5"/>
      <c r="C783" s="5"/>
      <c r="D783" s="5"/>
      <c r="E783" s="5"/>
      <c r="F783" s="5"/>
      <c r="G783" s="5"/>
      <c r="H783" s="5"/>
      <c r="I783" s="5"/>
      <c r="J783" s="5"/>
      <c r="K783" s="5"/>
      <c r="L783" s="5"/>
      <c r="M783" s="20"/>
      <c r="N783" s="5"/>
    </row>
    <row r="784" spans="1:14" ht="14.25" customHeight="1" x14ac:dyDescent="0.25">
      <c r="A784" s="5"/>
      <c r="B784" s="5"/>
      <c r="C784" s="5"/>
      <c r="D784" s="5"/>
      <c r="E784" s="5"/>
      <c r="F784" s="5"/>
      <c r="G784" s="5"/>
      <c r="H784" s="5"/>
      <c r="I784" s="5"/>
      <c r="J784" s="5"/>
      <c r="K784" s="5"/>
      <c r="L784" s="5"/>
      <c r="M784" s="20"/>
      <c r="N784" s="5"/>
    </row>
    <row r="785" spans="1:14" ht="14.25" customHeight="1" x14ac:dyDescent="0.25">
      <c r="A785" s="5"/>
      <c r="B785" s="5"/>
      <c r="C785" s="5"/>
      <c r="D785" s="5"/>
      <c r="E785" s="5"/>
      <c r="F785" s="5"/>
      <c r="G785" s="5"/>
      <c r="H785" s="5"/>
      <c r="I785" s="5"/>
      <c r="J785" s="5"/>
      <c r="K785" s="5"/>
      <c r="L785" s="5"/>
      <c r="M785" s="20"/>
      <c r="N785" s="5"/>
    </row>
    <row r="786" spans="1:14" ht="14.25" customHeight="1" x14ac:dyDescent="0.25">
      <c r="A786" s="5"/>
      <c r="B786" s="5"/>
      <c r="C786" s="5"/>
      <c r="D786" s="5"/>
      <c r="E786" s="5"/>
      <c r="F786" s="5"/>
      <c r="G786" s="5"/>
      <c r="H786" s="5"/>
      <c r="I786" s="5"/>
      <c r="J786" s="5"/>
      <c r="K786" s="5"/>
      <c r="L786" s="5"/>
      <c r="M786" s="20"/>
      <c r="N786" s="5"/>
    </row>
    <row r="787" spans="1:14" ht="14.25" customHeight="1" x14ac:dyDescent="0.25">
      <c r="A787" s="5"/>
      <c r="B787" s="5"/>
      <c r="C787" s="5"/>
      <c r="D787" s="5"/>
      <c r="E787" s="5"/>
      <c r="F787" s="5"/>
      <c r="G787" s="5"/>
      <c r="H787" s="5"/>
      <c r="I787" s="5"/>
      <c r="J787" s="5"/>
      <c r="K787" s="5"/>
      <c r="L787" s="5"/>
      <c r="M787" s="20"/>
      <c r="N787" s="5"/>
    </row>
    <row r="788" spans="1:14" ht="14.25" customHeight="1" x14ac:dyDescent="0.25">
      <c r="A788" s="5"/>
      <c r="B788" s="5"/>
      <c r="C788" s="5"/>
      <c r="D788" s="5"/>
      <c r="E788" s="5"/>
      <c r="F788" s="5"/>
      <c r="G788" s="5"/>
      <c r="H788" s="5"/>
      <c r="I788" s="5"/>
      <c r="J788" s="5"/>
      <c r="K788" s="5"/>
      <c r="L788" s="5"/>
      <c r="M788" s="20"/>
      <c r="N788" s="5"/>
    </row>
    <row r="789" spans="1:14" ht="14.25" customHeight="1" x14ac:dyDescent="0.25">
      <c r="A789" s="5"/>
      <c r="B789" s="5"/>
      <c r="C789" s="5"/>
      <c r="D789" s="5"/>
      <c r="E789" s="5"/>
      <c r="F789" s="5"/>
      <c r="G789" s="5"/>
      <c r="H789" s="5"/>
      <c r="I789" s="5"/>
      <c r="J789" s="5"/>
      <c r="K789" s="5"/>
      <c r="L789" s="5"/>
      <c r="M789" s="20"/>
      <c r="N789" s="5"/>
    </row>
    <row r="790" spans="1:14" ht="14.25" customHeight="1" x14ac:dyDescent="0.25">
      <c r="A790" s="5"/>
      <c r="B790" s="5"/>
      <c r="C790" s="5"/>
      <c r="D790" s="5"/>
      <c r="E790" s="5"/>
      <c r="F790" s="5"/>
      <c r="G790" s="5"/>
      <c r="H790" s="5"/>
      <c r="I790" s="5"/>
      <c r="J790" s="5"/>
      <c r="K790" s="5"/>
      <c r="L790" s="5"/>
      <c r="M790" s="20"/>
      <c r="N790" s="5"/>
    </row>
    <row r="791" spans="1:14" ht="14.25" customHeight="1" x14ac:dyDescent="0.25">
      <c r="A791" s="5"/>
      <c r="B791" s="5"/>
      <c r="C791" s="5"/>
      <c r="D791" s="5"/>
      <c r="E791" s="5"/>
      <c r="F791" s="5"/>
      <c r="G791" s="5"/>
      <c r="H791" s="5"/>
      <c r="I791" s="5"/>
      <c r="J791" s="5"/>
      <c r="K791" s="5"/>
      <c r="L791" s="5"/>
      <c r="M791" s="20"/>
      <c r="N791" s="5"/>
    </row>
    <row r="792" spans="1:14" ht="14.25" customHeight="1" x14ac:dyDescent="0.25">
      <c r="A792" s="5"/>
      <c r="B792" s="5"/>
      <c r="C792" s="5"/>
      <c r="D792" s="5"/>
      <c r="E792" s="5"/>
      <c r="F792" s="5"/>
      <c r="G792" s="5"/>
      <c r="H792" s="5"/>
      <c r="I792" s="5"/>
      <c r="J792" s="5"/>
      <c r="K792" s="5"/>
      <c r="L792" s="5"/>
      <c r="M792" s="20"/>
      <c r="N792" s="5"/>
    </row>
    <row r="793" spans="1:14" ht="14.25" customHeight="1" x14ac:dyDescent="0.25">
      <c r="A793" s="5"/>
      <c r="B793" s="5"/>
      <c r="C793" s="5"/>
      <c r="D793" s="5"/>
      <c r="E793" s="5"/>
      <c r="F793" s="5"/>
      <c r="G793" s="5"/>
      <c r="H793" s="5"/>
      <c r="I793" s="5"/>
      <c r="J793" s="5"/>
      <c r="K793" s="5"/>
      <c r="L793" s="5"/>
      <c r="M793" s="20"/>
      <c r="N793" s="5"/>
    </row>
    <row r="794" spans="1:14" ht="14.25" customHeight="1" x14ac:dyDescent="0.25">
      <c r="A794" s="5"/>
      <c r="B794" s="5"/>
      <c r="C794" s="5"/>
      <c r="D794" s="5"/>
      <c r="E794" s="5"/>
      <c r="F794" s="5"/>
      <c r="G794" s="5"/>
      <c r="H794" s="5"/>
      <c r="I794" s="5"/>
      <c r="J794" s="5"/>
      <c r="K794" s="5"/>
      <c r="L794" s="5"/>
      <c r="M794" s="20"/>
      <c r="N794" s="5"/>
    </row>
    <row r="795" spans="1:14" ht="14.25" customHeight="1" x14ac:dyDescent="0.25">
      <c r="A795" s="5"/>
      <c r="B795" s="5"/>
      <c r="C795" s="5"/>
      <c r="D795" s="5"/>
      <c r="E795" s="5"/>
      <c r="F795" s="5"/>
      <c r="G795" s="5"/>
      <c r="H795" s="5"/>
      <c r="I795" s="5"/>
      <c r="J795" s="5"/>
      <c r="K795" s="5"/>
      <c r="L795" s="5"/>
      <c r="M795" s="20"/>
      <c r="N795" s="5"/>
    </row>
    <row r="796" spans="1:14" ht="14.25" customHeight="1" x14ac:dyDescent="0.25">
      <c r="A796" s="5"/>
      <c r="B796" s="5"/>
      <c r="C796" s="5"/>
      <c r="D796" s="5"/>
      <c r="E796" s="5"/>
      <c r="F796" s="5"/>
      <c r="G796" s="5"/>
      <c r="H796" s="5"/>
      <c r="I796" s="5"/>
      <c r="J796" s="5"/>
      <c r="K796" s="5"/>
      <c r="L796" s="5"/>
      <c r="M796" s="20"/>
      <c r="N796" s="5"/>
    </row>
    <row r="797" spans="1:14" ht="14.25" customHeight="1" x14ac:dyDescent="0.25">
      <c r="A797" s="5"/>
      <c r="B797" s="5"/>
      <c r="C797" s="5"/>
      <c r="D797" s="5"/>
      <c r="E797" s="5"/>
      <c r="F797" s="5"/>
      <c r="G797" s="5"/>
      <c r="H797" s="5"/>
      <c r="I797" s="5"/>
      <c r="J797" s="5"/>
      <c r="K797" s="5"/>
      <c r="L797" s="5"/>
      <c r="M797" s="20"/>
      <c r="N797" s="5"/>
    </row>
    <row r="798" spans="1:14" ht="14.25" customHeight="1" x14ac:dyDescent="0.25">
      <c r="A798" s="5"/>
      <c r="B798" s="5"/>
      <c r="C798" s="5"/>
      <c r="D798" s="5"/>
      <c r="E798" s="5"/>
      <c r="F798" s="5"/>
      <c r="G798" s="5"/>
      <c r="H798" s="5"/>
      <c r="I798" s="5"/>
      <c r="J798" s="5"/>
      <c r="K798" s="5"/>
      <c r="L798" s="5"/>
      <c r="M798" s="20"/>
      <c r="N798" s="5"/>
    </row>
    <row r="799" spans="1:14" ht="14.25" customHeight="1" x14ac:dyDescent="0.25">
      <c r="A799" s="5"/>
      <c r="B799" s="5"/>
      <c r="C799" s="5"/>
      <c r="D799" s="5"/>
      <c r="E799" s="5"/>
      <c r="F799" s="5"/>
      <c r="G799" s="5"/>
      <c r="H799" s="5"/>
      <c r="I799" s="5"/>
      <c r="J799" s="5"/>
      <c r="K799" s="5"/>
      <c r="L799" s="5"/>
      <c r="M799" s="20"/>
      <c r="N799" s="5"/>
    </row>
    <row r="800" spans="1:14" ht="14.25" customHeight="1" x14ac:dyDescent="0.25">
      <c r="A800" s="5"/>
      <c r="B800" s="5"/>
      <c r="C800" s="5"/>
      <c r="D800" s="5"/>
      <c r="E800" s="5"/>
      <c r="F800" s="5"/>
      <c r="G800" s="5"/>
      <c r="H800" s="5"/>
      <c r="I800" s="5"/>
      <c r="J800" s="5"/>
      <c r="K800" s="5"/>
      <c r="L800" s="5"/>
      <c r="M800" s="20"/>
      <c r="N800" s="5"/>
    </row>
    <row r="801" spans="1:14" ht="14.25" customHeight="1" x14ac:dyDescent="0.25">
      <c r="A801" s="5"/>
      <c r="B801" s="5"/>
      <c r="C801" s="5"/>
      <c r="D801" s="5"/>
      <c r="E801" s="5"/>
      <c r="F801" s="5"/>
      <c r="G801" s="5"/>
      <c r="H801" s="5"/>
      <c r="I801" s="5"/>
      <c r="J801" s="5"/>
      <c r="K801" s="5"/>
      <c r="L801" s="5"/>
      <c r="M801" s="20"/>
      <c r="N801" s="5"/>
    </row>
    <row r="802" spans="1:14" ht="14.25" customHeight="1" x14ac:dyDescent="0.25">
      <c r="A802" s="5"/>
      <c r="B802" s="5"/>
      <c r="C802" s="5"/>
      <c r="D802" s="5"/>
      <c r="E802" s="5"/>
      <c r="F802" s="5"/>
      <c r="G802" s="5"/>
      <c r="H802" s="5"/>
      <c r="I802" s="5"/>
      <c r="J802" s="5"/>
      <c r="K802" s="5"/>
      <c r="L802" s="5"/>
      <c r="M802" s="20"/>
      <c r="N802" s="5"/>
    </row>
    <row r="803" spans="1:14" ht="14.25" customHeight="1" x14ac:dyDescent="0.25">
      <c r="A803" s="5"/>
      <c r="B803" s="5"/>
      <c r="C803" s="5"/>
      <c r="D803" s="5"/>
      <c r="E803" s="5"/>
      <c r="F803" s="5"/>
      <c r="G803" s="5"/>
      <c r="H803" s="5"/>
      <c r="I803" s="5"/>
      <c r="J803" s="5"/>
      <c r="K803" s="5"/>
      <c r="L803" s="5"/>
      <c r="M803" s="20"/>
      <c r="N803" s="5"/>
    </row>
    <row r="804" spans="1:14" ht="14.25" customHeight="1" x14ac:dyDescent="0.25">
      <c r="A804" s="5"/>
      <c r="B804" s="5"/>
      <c r="C804" s="5"/>
      <c r="D804" s="5"/>
      <c r="E804" s="5"/>
      <c r="F804" s="5"/>
      <c r="G804" s="5"/>
      <c r="H804" s="5"/>
      <c r="I804" s="5"/>
      <c r="J804" s="5"/>
      <c r="K804" s="5"/>
      <c r="L804" s="5"/>
      <c r="M804" s="20"/>
      <c r="N804" s="5"/>
    </row>
    <row r="805" spans="1:14" ht="14.25" customHeight="1" x14ac:dyDescent="0.25">
      <c r="A805" s="5"/>
      <c r="B805" s="5"/>
      <c r="C805" s="5"/>
      <c r="D805" s="5"/>
      <c r="E805" s="5"/>
      <c r="F805" s="5"/>
      <c r="G805" s="5"/>
      <c r="H805" s="5"/>
      <c r="I805" s="5"/>
      <c r="J805" s="5"/>
      <c r="K805" s="5"/>
      <c r="L805" s="5"/>
      <c r="M805" s="20"/>
      <c r="N805" s="5"/>
    </row>
    <row r="806" spans="1:14" ht="14.25" customHeight="1" x14ac:dyDescent="0.25">
      <c r="A806" s="5"/>
      <c r="B806" s="5"/>
      <c r="C806" s="5"/>
      <c r="D806" s="5"/>
      <c r="E806" s="5"/>
      <c r="F806" s="5"/>
      <c r="G806" s="5"/>
      <c r="H806" s="5"/>
      <c r="I806" s="5"/>
      <c r="J806" s="5"/>
      <c r="K806" s="5"/>
      <c r="L806" s="5"/>
      <c r="M806" s="20"/>
      <c r="N806" s="5"/>
    </row>
    <row r="807" spans="1:14" ht="14.25" customHeight="1" x14ac:dyDescent="0.25">
      <c r="A807" s="5"/>
      <c r="B807" s="5"/>
      <c r="C807" s="5"/>
      <c r="D807" s="5"/>
      <c r="E807" s="5"/>
      <c r="F807" s="5"/>
      <c r="G807" s="5"/>
      <c r="H807" s="5"/>
      <c r="I807" s="5"/>
      <c r="J807" s="5"/>
      <c r="K807" s="5"/>
      <c r="L807" s="5"/>
      <c r="M807" s="20"/>
      <c r="N807" s="5"/>
    </row>
    <row r="808" spans="1:14" ht="14.25" customHeight="1" x14ac:dyDescent="0.25">
      <c r="A808" s="5"/>
      <c r="B808" s="5"/>
      <c r="C808" s="5"/>
      <c r="D808" s="5"/>
      <c r="E808" s="5"/>
      <c r="F808" s="5"/>
      <c r="G808" s="5"/>
      <c r="H808" s="5"/>
      <c r="I808" s="5"/>
      <c r="J808" s="5"/>
      <c r="K808" s="5"/>
      <c r="L808" s="5"/>
      <c r="M808" s="20"/>
      <c r="N808" s="5"/>
    </row>
    <row r="809" spans="1:14" ht="14.25" customHeight="1" x14ac:dyDescent="0.25">
      <c r="A809" s="5"/>
      <c r="B809" s="5"/>
      <c r="C809" s="5"/>
      <c r="D809" s="5"/>
      <c r="E809" s="5"/>
      <c r="F809" s="5"/>
      <c r="G809" s="5"/>
      <c r="H809" s="5"/>
      <c r="I809" s="5"/>
      <c r="J809" s="5"/>
      <c r="K809" s="5"/>
      <c r="L809" s="5"/>
      <c r="M809" s="20"/>
      <c r="N809" s="5"/>
    </row>
    <row r="810" spans="1:14" ht="14.25" customHeight="1" x14ac:dyDescent="0.25">
      <c r="A810" s="5"/>
      <c r="B810" s="5"/>
      <c r="C810" s="5"/>
      <c r="D810" s="5"/>
      <c r="E810" s="5"/>
      <c r="F810" s="5"/>
      <c r="G810" s="5"/>
      <c r="H810" s="5"/>
      <c r="I810" s="5"/>
      <c r="J810" s="5"/>
      <c r="K810" s="5"/>
      <c r="L810" s="5"/>
      <c r="M810" s="20"/>
      <c r="N810" s="5"/>
    </row>
    <row r="811" spans="1:14" ht="14.25" customHeight="1" x14ac:dyDescent="0.25">
      <c r="A811" s="5"/>
      <c r="B811" s="5"/>
      <c r="C811" s="5"/>
      <c r="D811" s="5"/>
      <c r="E811" s="5"/>
      <c r="F811" s="5"/>
      <c r="G811" s="5"/>
      <c r="H811" s="5"/>
      <c r="I811" s="5"/>
      <c r="J811" s="5"/>
      <c r="K811" s="5"/>
      <c r="L811" s="5"/>
      <c r="M811" s="20"/>
      <c r="N811" s="5"/>
    </row>
    <row r="812" spans="1:14" ht="14.25" customHeight="1" x14ac:dyDescent="0.25">
      <c r="A812" s="5"/>
      <c r="B812" s="5"/>
      <c r="C812" s="5"/>
      <c r="D812" s="5"/>
      <c r="E812" s="5"/>
      <c r="F812" s="5"/>
      <c r="G812" s="5"/>
      <c r="H812" s="5"/>
      <c r="I812" s="5"/>
      <c r="J812" s="5"/>
      <c r="K812" s="5"/>
      <c r="L812" s="5"/>
      <c r="M812" s="20"/>
      <c r="N812" s="5"/>
    </row>
    <row r="813" spans="1:14" ht="14.25" customHeight="1" x14ac:dyDescent="0.25">
      <c r="A813" s="5"/>
      <c r="B813" s="5"/>
      <c r="C813" s="5"/>
      <c r="D813" s="5"/>
      <c r="E813" s="5"/>
      <c r="F813" s="5"/>
      <c r="G813" s="5"/>
      <c r="H813" s="5"/>
      <c r="I813" s="5"/>
      <c r="J813" s="5"/>
      <c r="K813" s="5"/>
      <c r="L813" s="5"/>
      <c r="M813" s="20"/>
      <c r="N813" s="5"/>
    </row>
    <row r="814" spans="1:14" ht="14.25" customHeight="1" x14ac:dyDescent="0.25">
      <c r="A814" s="5"/>
      <c r="B814" s="5"/>
      <c r="C814" s="5"/>
      <c r="D814" s="5"/>
      <c r="E814" s="5"/>
      <c r="F814" s="5"/>
      <c r="G814" s="5"/>
      <c r="H814" s="5"/>
      <c r="I814" s="5"/>
      <c r="J814" s="5"/>
      <c r="K814" s="5"/>
      <c r="L814" s="5"/>
      <c r="M814" s="20"/>
      <c r="N814" s="5"/>
    </row>
    <row r="815" spans="1:14" ht="14.25" customHeight="1" x14ac:dyDescent="0.25">
      <c r="A815" s="5"/>
      <c r="B815" s="5"/>
      <c r="C815" s="5"/>
      <c r="D815" s="5"/>
      <c r="E815" s="5"/>
      <c r="F815" s="5"/>
      <c r="G815" s="5"/>
      <c r="H815" s="5"/>
      <c r="I815" s="5"/>
      <c r="J815" s="5"/>
      <c r="K815" s="5"/>
      <c r="L815" s="5"/>
      <c r="M815" s="20"/>
      <c r="N815" s="5"/>
    </row>
    <row r="816" spans="1:14" ht="14.25" customHeight="1" x14ac:dyDescent="0.25">
      <c r="A816" s="5"/>
      <c r="B816" s="5"/>
      <c r="C816" s="5"/>
      <c r="D816" s="5"/>
      <c r="E816" s="5"/>
      <c r="F816" s="5"/>
      <c r="G816" s="5"/>
      <c r="H816" s="5"/>
      <c r="I816" s="5"/>
      <c r="J816" s="5"/>
      <c r="K816" s="5"/>
      <c r="L816" s="5"/>
      <c r="M816" s="20"/>
      <c r="N816" s="5"/>
    </row>
    <row r="817" spans="1:14" ht="14.25" customHeight="1" x14ac:dyDescent="0.25">
      <c r="A817" s="5"/>
      <c r="B817" s="5"/>
      <c r="C817" s="5"/>
      <c r="D817" s="5"/>
      <c r="E817" s="5"/>
      <c r="F817" s="5"/>
      <c r="G817" s="5"/>
      <c r="H817" s="5"/>
      <c r="I817" s="5"/>
      <c r="J817" s="5"/>
      <c r="K817" s="5"/>
      <c r="L817" s="5"/>
      <c r="M817" s="20"/>
      <c r="N817" s="5"/>
    </row>
    <row r="818" spans="1:14" ht="14.25" customHeight="1" x14ac:dyDescent="0.25">
      <c r="A818" s="5"/>
      <c r="B818" s="5"/>
      <c r="C818" s="5"/>
      <c r="D818" s="5"/>
      <c r="E818" s="5"/>
      <c r="F818" s="5"/>
      <c r="G818" s="5"/>
      <c r="H818" s="5"/>
      <c r="I818" s="5"/>
      <c r="J818" s="5"/>
      <c r="K818" s="5"/>
      <c r="L818" s="5"/>
      <c r="M818" s="20"/>
      <c r="N818" s="5"/>
    </row>
    <row r="819" spans="1:14" ht="14.25" customHeight="1" x14ac:dyDescent="0.25">
      <c r="A819" s="5"/>
      <c r="B819" s="5"/>
      <c r="C819" s="5"/>
      <c r="D819" s="5"/>
      <c r="E819" s="5"/>
      <c r="F819" s="5"/>
      <c r="G819" s="5"/>
      <c r="H819" s="5"/>
      <c r="I819" s="5"/>
      <c r="J819" s="5"/>
      <c r="K819" s="5"/>
      <c r="L819" s="5"/>
      <c r="M819" s="20"/>
      <c r="N819" s="5"/>
    </row>
    <row r="820" spans="1:14" ht="14.25" customHeight="1" x14ac:dyDescent="0.25">
      <c r="A820" s="5"/>
      <c r="B820" s="5"/>
      <c r="C820" s="5"/>
      <c r="D820" s="5"/>
      <c r="E820" s="5"/>
      <c r="F820" s="5"/>
      <c r="G820" s="5"/>
      <c r="H820" s="5"/>
      <c r="I820" s="5"/>
      <c r="J820" s="5"/>
      <c r="K820" s="5"/>
      <c r="L820" s="5"/>
      <c r="M820" s="20"/>
      <c r="N820" s="5"/>
    </row>
    <row r="821" spans="1:14" ht="14.25" customHeight="1" x14ac:dyDescent="0.25">
      <c r="A821" s="5"/>
      <c r="B821" s="5"/>
      <c r="C821" s="5"/>
      <c r="D821" s="5"/>
      <c r="E821" s="5"/>
      <c r="F821" s="5"/>
      <c r="G821" s="5"/>
      <c r="H821" s="5"/>
      <c r="I821" s="5"/>
      <c r="J821" s="5"/>
      <c r="K821" s="5"/>
      <c r="L821" s="5"/>
      <c r="M821" s="20"/>
      <c r="N821" s="5"/>
    </row>
    <row r="822" spans="1:14" ht="14.25" customHeight="1" x14ac:dyDescent="0.25">
      <c r="A822" s="5"/>
      <c r="B822" s="5"/>
      <c r="C822" s="5"/>
      <c r="D822" s="5"/>
      <c r="E822" s="5"/>
      <c r="F822" s="5"/>
      <c r="G822" s="5"/>
      <c r="H822" s="5"/>
      <c r="I822" s="5"/>
      <c r="J822" s="5"/>
      <c r="K822" s="5"/>
      <c r="L822" s="5"/>
      <c r="M822" s="20"/>
      <c r="N822" s="5"/>
    </row>
    <row r="823" spans="1:14" ht="14.25" customHeight="1" x14ac:dyDescent="0.25">
      <c r="A823" s="5"/>
      <c r="B823" s="5"/>
      <c r="C823" s="5"/>
      <c r="D823" s="5"/>
      <c r="E823" s="5"/>
      <c r="F823" s="5"/>
      <c r="G823" s="5"/>
      <c r="H823" s="5"/>
      <c r="I823" s="5"/>
      <c r="J823" s="5"/>
      <c r="K823" s="5"/>
      <c r="L823" s="5"/>
      <c r="M823" s="20"/>
      <c r="N823" s="5"/>
    </row>
    <row r="824" spans="1:14" ht="14.25" customHeight="1" x14ac:dyDescent="0.25">
      <c r="A824" s="5"/>
      <c r="B824" s="5"/>
      <c r="C824" s="5"/>
      <c r="D824" s="5"/>
      <c r="E824" s="5"/>
      <c r="F824" s="5"/>
      <c r="G824" s="5"/>
      <c r="H824" s="5"/>
      <c r="I824" s="5"/>
      <c r="J824" s="5"/>
      <c r="K824" s="5"/>
      <c r="L824" s="5"/>
      <c r="M824" s="20"/>
      <c r="N824" s="5"/>
    </row>
    <row r="825" spans="1:14" ht="14.25" customHeight="1" x14ac:dyDescent="0.25">
      <c r="A825" s="5"/>
      <c r="B825" s="5"/>
      <c r="C825" s="5"/>
      <c r="D825" s="5"/>
      <c r="E825" s="5"/>
      <c r="F825" s="5"/>
      <c r="G825" s="5"/>
      <c r="H825" s="5"/>
      <c r="I825" s="5"/>
      <c r="J825" s="5"/>
      <c r="K825" s="5"/>
      <c r="L825" s="5"/>
      <c r="M825" s="20"/>
      <c r="N825" s="5"/>
    </row>
    <row r="826" spans="1:14" ht="14.25" customHeight="1" x14ac:dyDescent="0.25">
      <c r="A826" s="5"/>
      <c r="B826" s="5"/>
      <c r="C826" s="5"/>
      <c r="D826" s="5"/>
      <c r="E826" s="5"/>
      <c r="F826" s="5"/>
      <c r="G826" s="5"/>
      <c r="H826" s="5"/>
      <c r="I826" s="5"/>
      <c r="J826" s="5"/>
      <c r="K826" s="5"/>
      <c r="L826" s="5"/>
      <c r="M826" s="20"/>
      <c r="N826" s="5"/>
    </row>
    <row r="827" spans="1:14" ht="14.25" customHeight="1" x14ac:dyDescent="0.25">
      <c r="A827" s="5"/>
      <c r="B827" s="5"/>
      <c r="C827" s="5"/>
      <c r="D827" s="5"/>
      <c r="E827" s="5"/>
      <c r="F827" s="5"/>
      <c r="G827" s="5"/>
      <c r="H827" s="5"/>
      <c r="I827" s="5"/>
      <c r="J827" s="5"/>
      <c r="K827" s="5"/>
      <c r="L827" s="5"/>
      <c r="M827" s="20"/>
      <c r="N827" s="5"/>
    </row>
    <row r="828" spans="1:14" ht="14.25" customHeight="1" x14ac:dyDescent="0.25">
      <c r="A828" s="5"/>
      <c r="B828" s="5"/>
      <c r="C828" s="5"/>
      <c r="D828" s="5"/>
      <c r="E828" s="5"/>
      <c r="F828" s="5"/>
      <c r="G828" s="5"/>
      <c r="H828" s="5"/>
      <c r="I828" s="5"/>
      <c r="J828" s="5"/>
      <c r="K828" s="5"/>
      <c r="L828" s="5"/>
      <c r="M828" s="20"/>
      <c r="N828" s="5"/>
    </row>
    <row r="829" spans="1:14" ht="14.25" customHeight="1" x14ac:dyDescent="0.25">
      <c r="A829" s="5"/>
      <c r="B829" s="5"/>
      <c r="C829" s="5"/>
      <c r="D829" s="5"/>
      <c r="E829" s="5"/>
      <c r="F829" s="5"/>
      <c r="G829" s="5"/>
      <c r="H829" s="5"/>
      <c r="I829" s="5"/>
      <c r="J829" s="5"/>
      <c r="K829" s="5"/>
      <c r="L829" s="5"/>
      <c r="M829" s="20"/>
      <c r="N829" s="5"/>
    </row>
    <row r="830" spans="1:14" ht="14.25" customHeight="1" x14ac:dyDescent="0.25">
      <c r="A830" s="5"/>
      <c r="B830" s="5"/>
      <c r="C830" s="5"/>
      <c r="D830" s="5"/>
      <c r="E830" s="5"/>
      <c r="F830" s="5"/>
      <c r="G830" s="5"/>
      <c r="H830" s="5"/>
      <c r="I830" s="5"/>
      <c r="J830" s="5"/>
      <c r="K830" s="5"/>
      <c r="L830" s="5"/>
      <c r="M830" s="20"/>
      <c r="N830" s="5"/>
    </row>
    <row r="831" spans="1:14" ht="14.25" customHeight="1" x14ac:dyDescent="0.25">
      <c r="A831" s="5"/>
      <c r="B831" s="5"/>
      <c r="C831" s="5"/>
      <c r="D831" s="5"/>
      <c r="E831" s="5"/>
      <c r="F831" s="5"/>
      <c r="G831" s="5"/>
      <c r="H831" s="5"/>
      <c r="I831" s="5"/>
      <c r="J831" s="5"/>
      <c r="K831" s="5"/>
      <c r="L831" s="5"/>
      <c r="M831" s="20"/>
      <c r="N831" s="5"/>
    </row>
    <row r="832" spans="1:14" ht="14.25" customHeight="1" x14ac:dyDescent="0.25">
      <c r="A832" s="5"/>
      <c r="B832" s="5"/>
      <c r="C832" s="5"/>
      <c r="D832" s="5"/>
      <c r="E832" s="5"/>
      <c r="F832" s="5"/>
      <c r="G832" s="5"/>
      <c r="H832" s="5"/>
      <c r="I832" s="5"/>
      <c r="J832" s="5"/>
      <c r="K832" s="5"/>
      <c r="L832" s="5"/>
      <c r="M832" s="20"/>
      <c r="N832" s="5"/>
    </row>
    <row r="833" spans="1:14" ht="14.25" customHeight="1" x14ac:dyDescent="0.25">
      <c r="A833" s="5"/>
      <c r="B833" s="5"/>
      <c r="C833" s="5"/>
      <c r="D833" s="5"/>
      <c r="E833" s="5"/>
      <c r="F833" s="5"/>
      <c r="G833" s="5"/>
      <c r="H833" s="5"/>
      <c r="I833" s="5"/>
      <c r="J833" s="5"/>
      <c r="K833" s="5"/>
      <c r="L833" s="5"/>
      <c r="M833" s="20"/>
      <c r="N833" s="5"/>
    </row>
    <row r="834" spans="1:14" ht="14.25" customHeight="1" x14ac:dyDescent="0.25">
      <c r="A834" s="5"/>
      <c r="B834" s="5"/>
      <c r="C834" s="5"/>
      <c r="D834" s="5"/>
      <c r="E834" s="5"/>
      <c r="F834" s="5"/>
      <c r="G834" s="5"/>
      <c r="H834" s="5"/>
      <c r="I834" s="5"/>
      <c r="J834" s="5"/>
      <c r="K834" s="5"/>
      <c r="L834" s="5"/>
      <c r="M834" s="20"/>
      <c r="N834" s="5"/>
    </row>
    <row r="835" spans="1:14" ht="14.25" customHeight="1" x14ac:dyDescent="0.25">
      <c r="A835" s="5"/>
      <c r="B835" s="5"/>
      <c r="C835" s="5"/>
      <c r="D835" s="5"/>
      <c r="E835" s="5"/>
      <c r="F835" s="5"/>
      <c r="G835" s="5"/>
      <c r="H835" s="5"/>
      <c r="I835" s="5"/>
      <c r="J835" s="5"/>
      <c r="K835" s="5"/>
      <c r="L835" s="5"/>
      <c r="M835" s="20"/>
      <c r="N835" s="5"/>
    </row>
    <row r="836" spans="1:14" ht="14.25" customHeight="1" x14ac:dyDescent="0.25">
      <c r="A836" s="5"/>
      <c r="B836" s="5"/>
      <c r="C836" s="5"/>
      <c r="D836" s="5"/>
      <c r="E836" s="5"/>
      <c r="F836" s="5"/>
      <c r="G836" s="5"/>
      <c r="H836" s="5"/>
      <c r="I836" s="5"/>
      <c r="J836" s="5"/>
      <c r="K836" s="5"/>
      <c r="L836" s="5"/>
      <c r="M836" s="20"/>
      <c r="N836" s="5"/>
    </row>
    <row r="837" spans="1:14" ht="14.25" customHeight="1" x14ac:dyDescent="0.25">
      <c r="A837" s="5"/>
      <c r="B837" s="5"/>
      <c r="C837" s="5"/>
      <c r="D837" s="5"/>
      <c r="E837" s="5"/>
      <c r="F837" s="5"/>
      <c r="G837" s="5"/>
      <c r="H837" s="5"/>
      <c r="I837" s="5"/>
      <c r="J837" s="5"/>
      <c r="K837" s="5"/>
      <c r="L837" s="5"/>
      <c r="M837" s="20"/>
      <c r="N837" s="5"/>
    </row>
    <row r="838" spans="1:14" ht="14.25" customHeight="1" x14ac:dyDescent="0.25">
      <c r="A838" s="5"/>
      <c r="B838" s="5"/>
      <c r="C838" s="5"/>
      <c r="D838" s="5"/>
      <c r="E838" s="5"/>
      <c r="F838" s="5"/>
      <c r="G838" s="5"/>
      <c r="H838" s="5"/>
      <c r="I838" s="5"/>
      <c r="J838" s="5"/>
      <c r="K838" s="5"/>
      <c r="L838" s="5"/>
      <c r="M838" s="20"/>
      <c r="N838" s="5"/>
    </row>
    <row r="839" spans="1:14" ht="14.25" customHeight="1" x14ac:dyDescent="0.25">
      <c r="A839" s="5"/>
      <c r="B839" s="5"/>
      <c r="C839" s="5"/>
      <c r="D839" s="5"/>
      <c r="E839" s="5"/>
      <c r="F839" s="5"/>
      <c r="G839" s="5"/>
      <c r="H839" s="5"/>
      <c r="I839" s="5"/>
      <c r="J839" s="5"/>
      <c r="K839" s="5"/>
      <c r="L839" s="5"/>
      <c r="M839" s="20"/>
      <c r="N839" s="5"/>
    </row>
    <row r="840" spans="1:14" ht="14.25" customHeight="1" x14ac:dyDescent="0.25">
      <c r="A840" s="5"/>
      <c r="B840" s="5"/>
      <c r="C840" s="5"/>
      <c r="D840" s="5"/>
      <c r="E840" s="5"/>
      <c r="F840" s="5"/>
      <c r="G840" s="5"/>
      <c r="H840" s="5"/>
      <c r="I840" s="5"/>
      <c r="J840" s="5"/>
      <c r="K840" s="5"/>
      <c r="L840" s="5"/>
      <c r="M840" s="20"/>
      <c r="N840" s="5"/>
    </row>
    <row r="841" spans="1:14" ht="14.25" customHeight="1" x14ac:dyDescent="0.25">
      <c r="A841" s="5"/>
      <c r="B841" s="5"/>
      <c r="C841" s="5"/>
      <c r="D841" s="5"/>
      <c r="E841" s="5"/>
      <c r="F841" s="5"/>
      <c r="G841" s="5"/>
      <c r="H841" s="5"/>
      <c r="I841" s="5"/>
      <c r="J841" s="5"/>
      <c r="K841" s="5"/>
      <c r="L841" s="5"/>
      <c r="M841" s="20"/>
      <c r="N841" s="5"/>
    </row>
    <row r="842" spans="1:14" ht="14.25" customHeight="1" x14ac:dyDescent="0.25">
      <c r="A842" s="5"/>
      <c r="B842" s="5"/>
      <c r="C842" s="5"/>
      <c r="D842" s="5"/>
      <c r="E842" s="5"/>
      <c r="F842" s="5"/>
      <c r="G842" s="5"/>
      <c r="H842" s="5"/>
      <c r="I842" s="5"/>
      <c r="J842" s="5"/>
      <c r="K842" s="5"/>
      <c r="L842" s="5"/>
      <c r="M842" s="20"/>
      <c r="N842" s="5"/>
    </row>
    <row r="843" spans="1:14" ht="14.25" customHeight="1" x14ac:dyDescent="0.25">
      <c r="A843" s="5"/>
      <c r="B843" s="5"/>
      <c r="C843" s="5"/>
      <c r="D843" s="5"/>
      <c r="E843" s="5"/>
      <c r="F843" s="5"/>
      <c r="G843" s="5"/>
      <c r="H843" s="5"/>
      <c r="I843" s="5"/>
      <c r="J843" s="5"/>
      <c r="K843" s="5"/>
      <c r="L843" s="5"/>
      <c r="M843" s="20"/>
      <c r="N843" s="5"/>
    </row>
    <row r="844" spans="1:14" ht="14.25" customHeight="1" x14ac:dyDescent="0.25">
      <c r="A844" s="5"/>
      <c r="B844" s="5"/>
      <c r="C844" s="5"/>
      <c r="D844" s="5"/>
      <c r="E844" s="5"/>
      <c r="F844" s="5"/>
      <c r="G844" s="5"/>
      <c r="H844" s="5"/>
      <c r="I844" s="5"/>
      <c r="J844" s="5"/>
      <c r="K844" s="5"/>
      <c r="L844" s="5"/>
      <c r="M844" s="20"/>
      <c r="N844" s="5"/>
    </row>
    <row r="845" spans="1:14" ht="14.25" customHeight="1" x14ac:dyDescent="0.25">
      <c r="A845" s="5"/>
      <c r="B845" s="5"/>
      <c r="C845" s="5"/>
      <c r="D845" s="5"/>
      <c r="E845" s="5"/>
      <c r="F845" s="5"/>
      <c r="G845" s="5"/>
      <c r="H845" s="5"/>
      <c r="I845" s="5"/>
      <c r="J845" s="5"/>
      <c r="K845" s="5"/>
      <c r="L845" s="5"/>
      <c r="M845" s="20"/>
      <c r="N845" s="5"/>
    </row>
    <row r="846" spans="1:14" ht="14.25" customHeight="1" x14ac:dyDescent="0.25">
      <c r="A846" s="5"/>
      <c r="B846" s="5"/>
      <c r="C846" s="5"/>
      <c r="D846" s="5"/>
      <c r="E846" s="5"/>
      <c r="F846" s="5"/>
      <c r="G846" s="5"/>
      <c r="H846" s="5"/>
      <c r="I846" s="5"/>
      <c r="J846" s="5"/>
      <c r="K846" s="5"/>
      <c r="L846" s="5"/>
      <c r="M846" s="20"/>
      <c r="N846" s="5"/>
    </row>
    <row r="847" spans="1:14" ht="14.25" customHeight="1" x14ac:dyDescent="0.25">
      <c r="A847" s="5"/>
      <c r="B847" s="5"/>
      <c r="C847" s="5"/>
      <c r="D847" s="5"/>
      <c r="E847" s="5"/>
      <c r="F847" s="5"/>
      <c r="G847" s="5"/>
      <c r="H847" s="5"/>
      <c r="I847" s="5"/>
      <c r="J847" s="5"/>
      <c r="K847" s="5"/>
      <c r="L847" s="5"/>
      <c r="M847" s="20"/>
      <c r="N847" s="5"/>
    </row>
    <row r="848" spans="1:14" ht="14.25" customHeight="1" x14ac:dyDescent="0.25">
      <c r="A848" s="5"/>
      <c r="B848" s="5"/>
      <c r="C848" s="5"/>
      <c r="D848" s="5"/>
      <c r="E848" s="5"/>
      <c r="F848" s="5"/>
      <c r="G848" s="5"/>
      <c r="H848" s="5"/>
      <c r="I848" s="5"/>
      <c r="J848" s="5"/>
      <c r="K848" s="5"/>
      <c r="L848" s="5"/>
      <c r="M848" s="20"/>
      <c r="N848" s="5"/>
    </row>
    <row r="849" spans="1:14" ht="14.25" customHeight="1" x14ac:dyDescent="0.25">
      <c r="A849" s="5"/>
      <c r="B849" s="5"/>
      <c r="C849" s="5"/>
      <c r="D849" s="5"/>
      <c r="E849" s="5"/>
      <c r="F849" s="5"/>
      <c r="G849" s="5"/>
      <c r="H849" s="5"/>
      <c r="I849" s="5"/>
      <c r="J849" s="5"/>
      <c r="K849" s="5"/>
      <c r="L849" s="5"/>
      <c r="M849" s="20"/>
      <c r="N849" s="5"/>
    </row>
    <row r="850" spans="1:14" ht="14.25" customHeight="1" x14ac:dyDescent="0.25">
      <c r="A850" s="5"/>
      <c r="B850" s="5"/>
      <c r="C850" s="5"/>
      <c r="D850" s="5"/>
      <c r="E850" s="5"/>
      <c r="F850" s="5"/>
      <c r="G850" s="5"/>
      <c r="H850" s="5"/>
      <c r="I850" s="5"/>
      <c r="J850" s="5"/>
      <c r="K850" s="5"/>
      <c r="L850" s="5"/>
      <c r="M850" s="20"/>
      <c r="N850" s="5"/>
    </row>
    <row r="851" spans="1:14" ht="14.25" customHeight="1" x14ac:dyDescent="0.25">
      <c r="A851" s="5"/>
      <c r="B851" s="5"/>
      <c r="C851" s="5"/>
      <c r="D851" s="5"/>
      <c r="E851" s="5"/>
      <c r="F851" s="5"/>
      <c r="G851" s="5"/>
      <c r="H851" s="5"/>
      <c r="I851" s="5"/>
      <c r="J851" s="5"/>
      <c r="K851" s="5"/>
      <c r="L851" s="5"/>
      <c r="M851" s="20"/>
      <c r="N851" s="5"/>
    </row>
    <row r="852" spans="1:14" ht="14.25" customHeight="1" x14ac:dyDescent="0.25">
      <c r="A852" s="5"/>
      <c r="B852" s="5"/>
      <c r="C852" s="5"/>
      <c r="D852" s="5"/>
      <c r="E852" s="5"/>
      <c r="F852" s="5"/>
      <c r="G852" s="5"/>
      <c r="H852" s="5"/>
      <c r="I852" s="5"/>
      <c r="J852" s="5"/>
      <c r="K852" s="5"/>
      <c r="L852" s="5"/>
      <c r="M852" s="20"/>
      <c r="N852" s="5"/>
    </row>
    <row r="853" spans="1:14" ht="14.25" customHeight="1" x14ac:dyDescent="0.25">
      <c r="A853" s="5"/>
      <c r="B853" s="5"/>
      <c r="C853" s="5"/>
      <c r="D853" s="5"/>
      <c r="E853" s="5"/>
      <c r="F853" s="5"/>
      <c r="G853" s="5"/>
      <c r="H853" s="5"/>
      <c r="I853" s="5"/>
      <c r="J853" s="5"/>
      <c r="K853" s="5"/>
      <c r="L853" s="5"/>
      <c r="M853" s="20"/>
      <c r="N853" s="5"/>
    </row>
    <row r="854" spans="1:14" ht="14.25" customHeight="1" x14ac:dyDescent="0.25">
      <c r="A854" s="5"/>
      <c r="B854" s="5"/>
      <c r="C854" s="5"/>
      <c r="D854" s="5"/>
      <c r="E854" s="5"/>
      <c r="F854" s="5"/>
      <c r="G854" s="5"/>
      <c r="H854" s="5"/>
      <c r="I854" s="5"/>
      <c r="J854" s="5"/>
      <c r="K854" s="5"/>
      <c r="L854" s="5"/>
      <c r="M854" s="20"/>
      <c r="N854" s="5"/>
    </row>
    <row r="855" spans="1:14" ht="14.25" customHeight="1" x14ac:dyDescent="0.25">
      <c r="A855" s="5"/>
      <c r="B855" s="5"/>
      <c r="C855" s="5"/>
      <c r="D855" s="5"/>
      <c r="E855" s="5"/>
      <c r="F855" s="5"/>
      <c r="G855" s="5"/>
      <c r="H855" s="5"/>
      <c r="I855" s="5"/>
      <c r="J855" s="5"/>
      <c r="K855" s="5"/>
      <c r="L855" s="5"/>
      <c r="M855" s="20"/>
      <c r="N855" s="5"/>
    </row>
    <row r="856" spans="1:14" ht="14.25" customHeight="1" x14ac:dyDescent="0.25">
      <c r="A856" s="5"/>
      <c r="B856" s="5"/>
      <c r="C856" s="5"/>
      <c r="D856" s="5"/>
      <c r="E856" s="5"/>
      <c r="F856" s="5"/>
      <c r="G856" s="5"/>
      <c r="H856" s="5"/>
      <c r="I856" s="5"/>
      <c r="J856" s="5"/>
      <c r="K856" s="5"/>
      <c r="L856" s="5"/>
      <c r="M856" s="20"/>
      <c r="N856" s="5"/>
    </row>
    <row r="857" spans="1:14" ht="14.25" customHeight="1" x14ac:dyDescent="0.25">
      <c r="A857" s="5"/>
      <c r="B857" s="5"/>
      <c r="C857" s="5"/>
      <c r="D857" s="5"/>
      <c r="E857" s="5"/>
      <c r="F857" s="5"/>
      <c r="G857" s="5"/>
      <c r="H857" s="5"/>
      <c r="I857" s="5"/>
      <c r="J857" s="5"/>
      <c r="K857" s="5"/>
      <c r="L857" s="5"/>
      <c r="M857" s="20"/>
      <c r="N857" s="5"/>
    </row>
    <row r="858" spans="1:14" ht="14.25" customHeight="1" x14ac:dyDescent="0.25">
      <c r="A858" s="5"/>
      <c r="B858" s="5"/>
      <c r="C858" s="5"/>
      <c r="D858" s="5"/>
      <c r="E858" s="5"/>
      <c r="F858" s="5"/>
      <c r="G858" s="5"/>
      <c r="H858" s="5"/>
      <c r="I858" s="5"/>
      <c r="J858" s="5"/>
      <c r="K858" s="5"/>
      <c r="L858" s="5"/>
      <c r="M858" s="20"/>
      <c r="N858" s="5"/>
    </row>
    <row r="859" spans="1:14" ht="14.25" customHeight="1" x14ac:dyDescent="0.25">
      <c r="A859" s="5"/>
      <c r="B859" s="5"/>
      <c r="C859" s="5"/>
      <c r="D859" s="5"/>
      <c r="E859" s="5"/>
      <c r="F859" s="5"/>
      <c r="G859" s="5"/>
      <c r="H859" s="5"/>
      <c r="I859" s="5"/>
      <c r="J859" s="5"/>
      <c r="K859" s="5"/>
      <c r="L859" s="5"/>
      <c r="M859" s="20"/>
      <c r="N859" s="5"/>
    </row>
    <row r="860" spans="1:14" ht="14.25" customHeight="1" x14ac:dyDescent="0.25">
      <c r="A860" s="5"/>
      <c r="B860" s="5"/>
      <c r="C860" s="5"/>
      <c r="D860" s="5"/>
      <c r="E860" s="5"/>
      <c r="F860" s="5"/>
      <c r="G860" s="5"/>
      <c r="H860" s="5"/>
      <c r="I860" s="5"/>
      <c r="J860" s="5"/>
      <c r="K860" s="5"/>
      <c r="L860" s="5"/>
      <c r="M860" s="20"/>
      <c r="N860" s="5"/>
    </row>
    <row r="861" spans="1:14" ht="14.25" customHeight="1" x14ac:dyDescent="0.25">
      <c r="A861" s="5"/>
      <c r="B861" s="5"/>
      <c r="C861" s="5"/>
      <c r="D861" s="5"/>
      <c r="E861" s="5"/>
      <c r="F861" s="5"/>
      <c r="G861" s="5"/>
      <c r="H861" s="5"/>
      <c r="I861" s="5"/>
      <c r="J861" s="5"/>
      <c r="K861" s="5"/>
      <c r="L861" s="5"/>
      <c r="M861" s="20"/>
      <c r="N861" s="5"/>
    </row>
    <row r="862" spans="1:14" ht="14.25" customHeight="1" x14ac:dyDescent="0.25">
      <c r="A862" s="5"/>
      <c r="B862" s="5"/>
      <c r="C862" s="5"/>
      <c r="D862" s="5"/>
      <c r="E862" s="5"/>
      <c r="F862" s="5"/>
      <c r="G862" s="5"/>
      <c r="H862" s="5"/>
      <c r="I862" s="5"/>
      <c r="J862" s="5"/>
      <c r="K862" s="5"/>
      <c r="L862" s="5"/>
      <c r="M862" s="20"/>
      <c r="N862" s="5"/>
    </row>
    <row r="863" spans="1:14" ht="14.25" customHeight="1" x14ac:dyDescent="0.25">
      <c r="A863" s="5"/>
      <c r="B863" s="5"/>
      <c r="C863" s="5"/>
      <c r="D863" s="5"/>
      <c r="E863" s="5"/>
      <c r="F863" s="5"/>
      <c r="G863" s="5"/>
      <c r="H863" s="5"/>
      <c r="I863" s="5"/>
      <c r="J863" s="5"/>
      <c r="K863" s="5"/>
      <c r="L863" s="5"/>
      <c r="M863" s="20"/>
      <c r="N863" s="5"/>
    </row>
    <row r="864" spans="1:14" ht="14.25" customHeight="1" x14ac:dyDescent="0.25">
      <c r="A864" s="5"/>
      <c r="B864" s="5"/>
      <c r="C864" s="5"/>
      <c r="D864" s="5"/>
      <c r="E864" s="5"/>
      <c r="F864" s="5"/>
      <c r="G864" s="5"/>
      <c r="H864" s="5"/>
      <c r="I864" s="5"/>
      <c r="J864" s="5"/>
      <c r="K864" s="5"/>
      <c r="L864" s="5"/>
      <c r="M864" s="20"/>
      <c r="N864" s="5"/>
    </row>
    <row r="865" spans="1:14" ht="14.25" customHeight="1" x14ac:dyDescent="0.25">
      <c r="A865" s="5"/>
      <c r="B865" s="5"/>
      <c r="C865" s="5"/>
      <c r="D865" s="5"/>
      <c r="E865" s="5"/>
      <c r="F865" s="5"/>
      <c r="G865" s="5"/>
      <c r="H865" s="5"/>
      <c r="I865" s="5"/>
      <c r="J865" s="5"/>
      <c r="K865" s="5"/>
      <c r="L865" s="5"/>
      <c r="M865" s="20"/>
      <c r="N865" s="5"/>
    </row>
    <row r="866" spans="1:14" ht="14.25" customHeight="1" x14ac:dyDescent="0.25">
      <c r="A866" s="5"/>
      <c r="B866" s="5"/>
      <c r="C866" s="5"/>
      <c r="D866" s="5"/>
      <c r="E866" s="5"/>
      <c r="F866" s="5"/>
      <c r="G866" s="5"/>
      <c r="H866" s="5"/>
      <c r="I866" s="5"/>
      <c r="J866" s="5"/>
      <c r="K866" s="5"/>
      <c r="L866" s="5"/>
      <c r="M866" s="20"/>
      <c r="N866" s="5"/>
    </row>
    <row r="867" spans="1:14" ht="14.25" customHeight="1" x14ac:dyDescent="0.25">
      <c r="A867" s="5"/>
      <c r="B867" s="5"/>
      <c r="C867" s="5"/>
      <c r="D867" s="5"/>
      <c r="E867" s="5"/>
      <c r="F867" s="5"/>
      <c r="G867" s="5"/>
      <c r="H867" s="5"/>
      <c r="I867" s="5"/>
      <c r="J867" s="5"/>
      <c r="K867" s="5"/>
      <c r="L867" s="5"/>
      <c r="M867" s="20"/>
      <c r="N867" s="5"/>
    </row>
    <row r="868" spans="1:14" ht="14.25" customHeight="1" x14ac:dyDescent="0.25">
      <c r="A868" s="5"/>
      <c r="B868" s="5"/>
      <c r="C868" s="5"/>
      <c r="D868" s="5"/>
      <c r="E868" s="5"/>
      <c r="F868" s="5"/>
      <c r="G868" s="5"/>
      <c r="H868" s="5"/>
      <c r="I868" s="5"/>
      <c r="J868" s="5"/>
      <c r="K868" s="5"/>
      <c r="L868" s="5"/>
      <c r="M868" s="20"/>
      <c r="N868" s="5"/>
    </row>
    <row r="869" spans="1:14" ht="14.25" customHeight="1" x14ac:dyDescent="0.25">
      <c r="A869" s="5"/>
      <c r="B869" s="5"/>
      <c r="C869" s="5"/>
      <c r="D869" s="5"/>
      <c r="E869" s="5"/>
      <c r="F869" s="5"/>
      <c r="G869" s="5"/>
      <c r="H869" s="5"/>
      <c r="I869" s="5"/>
      <c r="J869" s="5"/>
      <c r="K869" s="5"/>
      <c r="L869" s="5"/>
      <c r="M869" s="20"/>
      <c r="N869" s="5"/>
    </row>
    <row r="870" spans="1:14" ht="14.25" customHeight="1" x14ac:dyDescent="0.25">
      <c r="A870" s="5"/>
      <c r="B870" s="5"/>
      <c r="C870" s="5"/>
      <c r="D870" s="5"/>
      <c r="E870" s="5"/>
      <c r="F870" s="5"/>
      <c r="G870" s="5"/>
      <c r="H870" s="5"/>
      <c r="I870" s="5"/>
      <c r="J870" s="5"/>
      <c r="K870" s="5"/>
      <c r="L870" s="5"/>
      <c r="M870" s="20"/>
      <c r="N870" s="5"/>
    </row>
    <row r="871" spans="1:14" ht="14.25" customHeight="1" x14ac:dyDescent="0.25">
      <c r="A871" s="5"/>
      <c r="B871" s="5"/>
      <c r="C871" s="5"/>
      <c r="D871" s="5"/>
      <c r="E871" s="5"/>
      <c r="F871" s="5"/>
      <c r="G871" s="5"/>
      <c r="H871" s="5"/>
      <c r="I871" s="5"/>
      <c r="J871" s="5"/>
      <c r="K871" s="5"/>
      <c r="L871" s="5"/>
      <c r="M871" s="20"/>
      <c r="N871" s="5"/>
    </row>
    <row r="872" spans="1:14" ht="14.25" customHeight="1" x14ac:dyDescent="0.25">
      <c r="A872" s="5"/>
      <c r="B872" s="5"/>
      <c r="C872" s="5"/>
      <c r="D872" s="5"/>
      <c r="E872" s="5"/>
      <c r="F872" s="5"/>
      <c r="G872" s="5"/>
      <c r="H872" s="5"/>
      <c r="I872" s="5"/>
      <c r="J872" s="5"/>
      <c r="K872" s="5"/>
      <c r="L872" s="5"/>
      <c r="M872" s="20"/>
      <c r="N872" s="5"/>
    </row>
    <row r="873" spans="1:14" ht="14.25" customHeight="1" x14ac:dyDescent="0.25">
      <c r="A873" s="5"/>
      <c r="B873" s="5"/>
      <c r="C873" s="5"/>
      <c r="D873" s="5"/>
      <c r="E873" s="5"/>
      <c r="F873" s="5"/>
      <c r="G873" s="5"/>
      <c r="H873" s="5"/>
      <c r="I873" s="5"/>
      <c r="J873" s="5"/>
      <c r="K873" s="5"/>
      <c r="L873" s="5"/>
      <c r="M873" s="20"/>
      <c r="N873" s="5"/>
    </row>
    <row r="874" spans="1:14" ht="14.25" customHeight="1" x14ac:dyDescent="0.25">
      <c r="A874" s="5"/>
      <c r="B874" s="5"/>
      <c r="C874" s="5"/>
      <c r="D874" s="5"/>
      <c r="E874" s="5"/>
      <c r="F874" s="5"/>
      <c r="G874" s="5"/>
      <c r="H874" s="5"/>
      <c r="I874" s="5"/>
      <c r="J874" s="5"/>
      <c r="K874" s="5"/>
      <c r="L874" s="5"/>
      <c r="M874" s="20"/>
      <c r="N874" s="5"/>
    </row>
    <row r="875" spans="1:14" ht="14.25" customHeight="1" x14ac:dyDescent="0.25">
      <c r="A875" s="5"/>
      <c r="B875" s="5"/>
      <c r="C875" s="5"/>
      <c r="D875" s="5"/>
      <c r="E875" s="5"/>
      <c r="F875" s="5"/>
      <c r="G875" s="5"/>
      <c r="H875" s="5"/>
      <c r="I875" s="5"/>
      <c r="J875" s="5"/>
      <c r="K875" s="5"/>
      <c r="L875" s="5"/>
      <c r="M875" s="20"/>
      <c r="N875" s="5"/>
    </row>
    <row r="876" spans="1:14" ht="14.25" customHeight="1" x14ac:dyDescent="0.25">
      <c r="A876" s="5"/>
      <c r="B876" s="5"/>
      <c r="C876" s="5"/>
      <c r="D876" s="5"/>
      <c r="E876" s="5"/>
      <c r="F876" s="5"/>
      <c r="G876" s="5"/>
      <c r="H876" s="5"/>
      <c r="I876" s="5"/>
      <c r="J876" s="5"/>
      <c r="K876" s="5"/>
      <c r="L876" s="5"/>
      <c r="M876" s="20"/>
      <c r="N876" s="5"/>
    </row>
    <row r="877" spans="1:14" ht="14.25" customHeight="1" x14ac:dyDescent="0.25">
      <c r="A877" s="5"/>
      <c r="B877" s="5"/>
      <c r="C877" s="5"/>
      <c r="D877" s="5"/>
      <c r="E877" s="5"/>
      <c r="F877" s="5"/>
      <c r="G877" s="5"/>
      <c r="H877" s="5"/>
      <c r="I877" s="5"/>
      <c r="J877" s="5"/>
      <c r="K877" s="5"/>
      <c r="L877" s="5"/>
      <c r="M877" s="20"/>
      <c r="N877" s="5"/>
    </row>
    <row r="878" spans="1:14" ht="14.25" customHeight="1" x14ac:dyDescent="0.25">
      <c r="A878" s="5"/>
      <c r="B878" s="5"/>
      <c r="C878" s="5"/>
      <c r="D878" s="5"/>
      <c r="E878" s="5"/>
      <c r="F878" s="5"/>
      <c r="G878" s="5"/>
      <c r="H878" s="5"/>
      <c r="I878" s="5"/>
      <c r="J878" s="5"/>
      <c r="K878" s="5"/>
      <c r="L878" s="5"/>
      <c r="M878" s="20"/>
      <c r="N878" s="5"/>
    </row>
    <row r="879" spans="1:14" ht="14.25" customHeight="1" x14ac:dyDescent="0.25">
      <c r="A879" s="5"/>
      <c r="B879" s="5"/>
      <c r="C879" s="5"/>
      <c r="D879" s="5"/>
      <c r="E879" s="5"/>
      <c r="F879" s="5"/>
      <c r="G879" s="5"/>
      <c r="H879" s="5"/>
      <c r="I879" s="5"/>
      <c r="J879" s="5"/>
      <c r="K879" s="5"/>
      <c r="L879" s="5"/>
      <c r="M879" s="20"/>
      <c r="N879" s="5"/>
    </row>
    <row r="880" spans="1:14" ht="14.25" customHeight="1" x14ac:dyDescent="0.25">
      <c r="A880" s="5"/>
      <c r="B880" s="5"/>
      <c r="C880" s="5"/>
      <c r="D880" s="5"/>
      <c r="E880" s="5"/>
      <c r="F880" s="5"/>
      <c r="G880" s="5"/>
      <c r="H880" s="5"/>
      <c r="I880" s="5"/>
      <c r="J880" s="5"/>
      <c r="K880" s="5"/>
      <c r="L880" s="5"/>
      <c r="M880" s="20"/>
      <c r="N880" s="5"/>
    </row>
    <row r="881" spans="1:14" ht="14.25" customHeight="1" x14ac:dyDescent="0.25">
      <c r="A881" s="5"/>
      <c r="B881" s="5"/>
      <c r="C881" s="5"/>
      <c r="D881" s="5"/>
      <c r="E881" s="5"/>
      <c r="F881" s="5"/>
      <c r="G881" s="5"/>
      <c r="H881" s="5"/>
      <c r="I881" s="5"/>
      <c r="J881" s="5"/>
      <c r="K881" s="5"/>
      <c r="L881" s="5"/>
      <c r="M881" s="20"/>
      <c r="N881" s="5"/>
    </row>
    <row r="882" spans="1:14" ht="14.25" customHeight="1" x14ac:dyDescent="0.25">
      <c r="A882" s="5"/>
      <c r="B882" s="5"/>
      <c r="C882" s="5"/>
      <c r="D882" s="5"/>
      <c r="E882" s="5"/>
      <c r="F882" s="5"/>
      <c r="G882" s="5"/>
      <c r="H882" s="5"/>
      <c r="I882" s="5"/>
      <c r="J882" s="5"/>
      <c r="K882" s="5"/>
      <c r="L882" s="5"/>
      <c r="M882" s="20"/>
      <c r="N882" s="5"/>
    </row>
    <row r="883" spans="1:14" ht="14.25" customHeight="1" x14ac:dyDescent="0.25">
      <c r="A883" s="5"/>
      <c r="B883" s="5"/>
      <c r="C883" s="5"/>
      <c r="D883" s="5"/>
      <c r="E883" s="5"/>
      <c r="F883" s="5"/>
      <c r="G883" s="5"/>
      <c r="H883" s="5"/>
      <c r="I883" s="5"/>
      <c r="J883" s="5"/>
      <c r="K883" s="5"/>
      <c r="L883" s="5"/>
      <c r="M883" s="20"/>
      <c r="N883" s="5"/>
    </row>
    <row r="884" spans="1:14" ht="14.25" customHeight="1" x14ac:dyDescent="0.25">
      <c r="A884" s="5"/>
      <c r="B884" s="5"/>
      <c r="C884" s="5"/>
      <c r="D884" s="5"/>
      <c r="E884" s="5"/>
      <c r="F884" s="5"/>
      <c r="G884" s="5"/>
      <c r="H884" s="5"/>
      <c r="I884" s="5"/>
      <c r="J884" s="5"/>
      <c r="K884" s="5"/>
      <c r="L884" s="5"/>
      <c r="M884" s="20"/>
      <c r="N884" s="5"/>
    </row>
    <row r="885" spans="1:14" ht="14.25" customHeight="1" x14ac:dyDescent="0.25">
      <c r="A885" s="5"/>
      <c r="B885" s="5"/>
      <c r="C885" s="5"/>
      <c r="D885" s="5"/>
      <c r="E885" s="5"/>
      <c r="F885" s="5"/>
      <c r="G885" s="5"/>
      <c r="H885" s="5"/>
      <c r="I885" s="5"/>
      <c r="J885" s="5"/>
      <c r="K885" s="5"/>
      <c r="L885" s="5"/>
      <c r="M885" s="20"/>
      <c r="N885" s="5"/>
    </row>
    <row r="886" spans="1:14" ht="14.25" customHeight="1" x14ac:dyDescent="0.25">
      <c r="A886" s="5"/>
      <c r="B886" s="5"/>
      <c r="C886" s="5"/>
      <c r="D886" s="5"/>
      <c r="E886" s="5"/>
      <c r="F886" s="5"/>
      <c r="G886" s="5"/>
      <c r="H886" s="5"/>
      <c r="I886" s="5"/>
      <c r="J886" s="5"/>
      <c r="K886" s="5"/>
      <c r="L886" s="5"/>
      <c r="M886" s="20"/>
      <c r="N886" s="5"/>
    </row>
    <row r="887" spans="1:14" ht="14.25" customHeight="1" x14ac:dyDescent="0.25">
      <c r="A887" s="5"/>
      <c r="B887" s="5"/>
      <c r="C887" s="5"/>
      <c r="D887" s="5"/>
      <c r="E887" s="5"/>
      <c r="F887" s="5"/>
      <c r="G887" s="5"/>
      <c r="H887" s="5"/>
      <c r="I887" s="5"/>
      <c r="J887" s="5"/>
      <c r="K887" s="5"/>
      <c r="L887" s="5"/>
      <c r="M887" s="20"/>
      <c r="N887" s="5"/>
    </row>
    <row r="888" spans="1:14" ht="14.25" customHeight="1" x14ac:dyDescent="0.25">
      <c r="A888" s="5"/>
      <c r="B888" s="5"/>
      <c r="C888" s="5"/>
      <c r="D888" s="5"/>
      <c r="E888" s="5"/>
      <c r="F888" s="5"/>
      <c r="G888" s="5"/>
      <c r="H888" s="5"/>
      <c r="I888" s="5"/>
      <c r="J888" s="5"/>
      <c r="K888" s="5"/>
      <c r="L888" s="5"/>
      <c r="M888" s="20"/>
      <c r="N888" s="5"/>
    </row>
    <row r="889" spans="1:14" ht="14.25" customHeight="1" x14ac:dyDescent="0.25">
      <c r="A889" s="5"/>
      <c r="B889" s="5"/>
      <c r="C889" s="5"/>
      <c r="D889" s="5"/>
      <c r="E889" s="5"/>
      <c r="F889" s="5"/>
      <c r="G889" s="5"/>
      <c r="H889" s="5"/>
      <c r="I889" s="5"/>
      <c r="J889" s="5"/>
      <c r="K889" s="5"/>
      <c r="L889" s="5"/>
      <c r="M889" s="20"/>
      <c r="N889" s="5"/>
    </row>
    <row r="890" spans="1:14" ht="14.25" customHeight="1" x14ac:dyDescent="0.25">
      <c r="A890" s="5"/>
      <c r="B890" s="5"/>
      <c r="C890" s="5"/>
      <c r="D890" s="5"/>
      <c r="E890" s="5"/>
      <c r="F890" s="5"/>
      <c r="G890" s="5"/>
      <c r="H890" s="5"/>
      <c r="I890" s="5"/>
      <c r="J890" s="5"/>
      <c r="K890" s="5"/>
      <c r="L890" s="5"/>
      <c r="M890" s="20"/>
      <c r="N890" s="5"/>
    </row>
    <row r="891" spans="1:14" ht="14.25" customHeight="1" x14ac:dyDescent="0.25">
      <c r="A891" s="5"/>
      <c r="B891" s="5"/>
      <c r="C891" s="5"/>
      <c r="D891" s="5"/>
      <c r="E891" s="5"/>
      <c r="F891" s="5"/>
      <c r="G891" s="5"/>
      <c r="H891" s="5"/>
      <c r="I891" s="5"/>
      <c r="J891" s="5"/>
      <c r="K891" s="5"/>
      <c r="L891" s="5"/>
      <c r="M891" s="20"/>
      <c r="N891" s="5"/>
    </row>
    <row r="892" spans="1:14" ht="14.25" customHeight="1" x14ac:dyDescent="0.25">
      <c r="A892" s="5"/>
      <c r="B892" s="5"/>
      <c r="C892" s="5"/>
      <c r="D892" s="5"/>
      <c r="E892" s="5"/>
      <c r="F892" s="5"/>
      <c r="G892" s="5"/>
      <c r="H892" s="5"/>
      <c r="I892" s="5"/>
      <c r="J892" s="5"/>
      <c r="K892" s="5"/>
      <c r="L892" s="5"/>
      <c r="M892" s="20"/>
      <c r="N892" s="5"/>
    </row>
    <row r="893" spans="1:14" ht="14.25" customHeight="1" x14ac:dyDescent="0.25">
      <c r="A893" s="5"/>
      <c r="B893" s="5"/>
      <c r="C893" s="5"/>
      <c r="D893" s="5"/>
      <c r="E893" s="5"/>
      <c r="F893" s="5"/>
      <c r="G893" s="5"/>
      <c r="H893" s="5"/>
      <c r="I893" s="5"/>
      <c r="J893" s="5"/>
      <c r="K893" s="5"/>
      <c r="L893" s="5"/>
      <c r="M893" s="20"/>
      <c r="N893" s="5"/>
    </row>
    <row r="894" spans="1:14" ht="14.25" customHeight="1" x14ac:dyDescent="0.25">
      <c r="A894" s="5"/>
      <c r="B894" s="5"/>
      <c r="C894" s="5"/>
      <c r="D894" s="5"/>
      <c r="E894" s="5"/>
      <c r="F894" s="5"/>
      <c r="G894" s="5"/>
      <c r="H894" s="5"/>
      <c r="I894" s="5"/>
      <c r="J894" s="5"/>
      <c r="K894" s="5"/>
      <c r="L894" s="5"/>
      <c r="M894" s="20"/>
      <c r="N894" s="5"/>
    </row>
    <row r="895" spans="1:14" ht="14.25" customHeight="1" x14ac:dyDescent="0.25">
      <c r="A895" s="5"/>
      <c r="B895" s="5"/>
      <c r="C895" s="5"/>
      <c r="D895" s="5"/>
      <c r="E895" s="5"/>
      <c r="F895" s="5"/>
      <c r="G895" s="5"/>
      <c r="H895" s="5"/>
      <c r="I895" s="5"/>
      <c r="J895" s="5"/>
      <c r="K895" s="5"/>
      <c r="L895" s="5"/>
      <c r="M895" s="20"/>
      <c r="N895" s="5"/>
    </row>
    <row r="896" spans="1:14" ht="14.25" customHeight="1" x14ac:dyDescent="0.25">
      <c r="A896" s="5"/>
      <c r="B896" s="5"/>
      <c r="C896" s="5"/>
      <c r="D896" s="5"/>
      <c r="E896" s="5"/>
      <c r="F896" s="5"/>
      <c r="G896" s="5"/>
      <c r="H896" s="5"/>
      <c r="I896" s="5"/>
      <c r="J896" s="5"/>
      <c r="K896" s="5"/>
      <c r="L896" s="5"/>
      <c r="M896" s="20"/>
      <c r="N896" s="5"/>
    </row>
    <row r="897" spans="1:14" ht="14.25" customHeight="1" x14ac:dyDescent="0.25">
      <c r="A897" s="5"/>
      <c r="B897" s="5"/>
      <c r="C897" s="5"/>
      <c r="D897" s="5"/>
      <c r="E897" s="5"/>
      <c r="F897" s="5"/>
      <c r="G897" s="5"/>
      <c r="H897" s="5"/>
      <c r="I897" s="5"/>
      <c r="J897" s="5"/>
      <c r="K897" s="5"/>
      <c r="L897" s="5"/>
      <c r="M897" s="20"/>
      <c r="N897" s="5"/>
    </row>
    <row r="898" spans="1:14" ht="14.25" customHeight="1" x14ac:dyDescent="0.25">
      <c r="A898" s="5"/>
      <c r="B898" s="5"/>
      <c r="C898" s="5"/>
      <c r="D898" s="5"/>
      <c r="E898" s="5"/>
      <c r="F898" s="5"/>
      <c r="G898" s="5"/>
      <c r="H898" s="5"/>
      <c r="I898" s="5"/>
      <c r="J898" s="5"/>
      <c r="K898" s="5"/>
      <c r="L898" s="5"/>
      <c r="M898" s="20"/>
      <c r="N898" s="5"/>
    </row>
    <row r="899" spans="1:14" ht="14.25" customHeight="1" x14ac:dyDescent="0.25">
      <c r="A899" s="5"/>
      <c r="B899" s="5"/>
      <c r="C899" s="5"/>
      <c r="D899" s="5"/>
      <c r="E899" s="5"/>
      <c r="F899" s="5"/>
      <c r="G899" s="5"/>
      <c r="H899" s="5"/>
      <c r="I899" s="5"/>
      <c r="J899" s="5"/>
      <c r="K899" s="5"/>
      <c r="L899" s="5"/>
      <c r="M899" s="20"/>
      <c r="N899" s="5"/>
    </row>
    <row r="900" spans="1:14" ht="14.25" customHeight="1" x14ac:dyDescent="0.25">
      <c r="A900" s="5"/>
      <c r="B900" s="5"/>
      <c r="C900" s="5"/>
      <c r="D900" s="5"/>
      <c r="E900" s="5"/>
      <c r="F900" s="5"/>
      <c r="G900" s="5"/>
      <c r="H900" s="5"/>
      <c r="I900" s="5"/>
      <c r="J900" s="5"/>
      <c r="K900" s="5"/>
      <c r="L900" s="5"/>
      <c r="M900" s="20"/>
      <c r="N900" s="5"/>
    </row>
    <row r="901" spans="1:14" ht="14.25" customHeight="1" x14ac:dyDescent="0.25">
      <c r="A901" s="5"/>
      <c r="B901" s="5"/>
      <c r="C901" s="5"/>
      <c r="D901" s="5"/>
      <c r="E901" s="5"/>
      <c r="F901" s="5"/>
      <c r="G901" s="5"/>
      <c r="H901" s="5"/>
      <c r="I901" s="5"/>
      <c r="J901" s="5"/>
      <c r="K901" s="5"/>
      <c r="L901" s="5"/>
      <c r="M901" s="20"/>
      <c r="N901" s="5"/>
    </row>
    <row r="902" spans="1:14" ht="14.25" customHeight="1" x14ac:dyDescent="0.25">
      <c r="A902" s="5"/>
      <c r="B902" s="5"/>
      <c r="C902" s="5"/>
      <c r="D902" s="5"/>
      <c r="E902" s="5"/>
      <c r="F902" s="5"/>
      <c r="G902" s="5"/>
      <c r="H902" s="5"/>
      <c r="I902" s="5"/>
      <c r="J902" s="5"/>
      <c r="K902" s="5"/>
      <c r="L902" s="5"/>
      <c r="M902" s="20"/>
      <c r="N902" s="5"/>
    </row>
    <row r="903" spans="1:14" ht="14.25" customHeight="1" x14ac:dyDescent="0.25">
      <c r="A903" s="5"/>
      <c r="B903" s="5"/>
      <c r="C903" s="5"/>
      <c r="D903" s="5"/>
      <c r="E903" s="5"/>
      <c r="F903" s="5"/>
      <c r="G903" s="5"/>
      <c r="H903" s="5"/>
      <c r="I903" s="5"/>
      <c r="J903" s="5"/>
      <c r="K903" s="5"/>
      <c r="L903" s="5"/>
      <c r="M903" s="20"/>
      <c r="N903" s="5"/>
    </row>
    <row r="904" spans="1:14" ht="14.25" customHeight="1" x14ac:dyDescent="0.25">
      <c r="A904" s="5"/>
      <c r="B904" s="5"/>
      <c r="C904" s="5"/>
      <c r="D904" s="5"/>
      <c r="E904" s="5"/>
      <c r="F904" s="5"/>
      <c r="G904" s="5"/>
      <c r="H904" s="5"/>
      <c r="I904" s="5"/>
      <c r="J904" s="5"/>
      <c r="K904" s="5"/>
      <c r="L904" s="5"/>
      <c r="M904" s="20"/>
      <c r="N904" s="5"/>
    </row>
    <row r="905" spans="1:14" ht="14.25" customHeight="1" x14ac:dyDescent="0.25">
      <c r="A905" s="5"/>
      <c r="B905" s="5"/>
      <c r="C905" s="5"/>
      <c r="D905" s="5"/>
      <c r="E905" s="5"/>
      <c r="F905" s="5"/>
      <c r="G905" s="5"/>
      <c r="H905" s="5"/>
      <c r="I905" s="5"/>
      <c r="J905" s="5"/>
      <c r="K905" s="5"/>
      <c r="L905" s="5"/>
      <c r="M905" s="20"/>
      <c r="N905" s="5"/>
    </row>
    <row r="906" spans="1:14" ht="14.25" customHeight="1" x14ac:dyDescent="0.25">
      <c r="A906" s="5"/>
      <c r="B906" s="5"/>
      <c r="C906" s="5"/>
      <c r="D906" s="5"/>
      <c r="E906" s="5"/>
      <c r="F906" s="5"/>
      <c r="G906" s="5"/>
      <c r="H906" s="5"/>
      <c r="I906" s="5"/>
      <c r="J906" s="5"/>
      <c r="K906" s="5"/>
      <c r="L906" s="5"/>
      <c r="M906" s="20"/>
      <c r="N906" s="5"/>
    </row>
    <row r="907" spans="1:14" ht="14.25" customHeight="1" x14ac:dyDescent="0.25">
      <c r="A907" s="5"/>
      <c r="B907" s="5"/>
      <c r="C907" s="5"/>
      <c r="D907" s="5"/>
      <c r="E907" s="5"/>
      <c r="F907" s="5"/>
      <c r="G907" s="5"/>
      <c r="H907" s="5"/>
      <c r="I907" s="5"/>
      <c r="J907" s="5"/>
      <c r="K907" s="5"/>
      <c r="L907" s="5"/>
      <c r="M907" s="20"/>
      <c r="N907" s="5"/>
    </row>
    <row r="908" spans="1:14" ht="14.25" customHeight="1" x14ac:dyDescent="0.25">
      <c r="A908" s="5"/>
      <c r="B908" s="5"/>
      <c r="C908" s="5"/>
      <c r="D908" s="5"/>
      <c r="E908" s="5"/>
      <c r="F908" s="5"/>
      <c r="G908" s="5"/>
      <c r="H908" s="5"/>
      <c r="I908" s="5"/>
      <c r="J908" s="5"/>
      <c r="K908" s="5"/>
      <c r="L908" s="5"/>
      <c r="M908" s="20"/>
      <c r="N908" s="5"/>
    </row>
    <row r="909" spans="1:14" ht="14.25" customHeight="1" x14ac:dyDescent="0.25">
      <c r="A909" s="5"/>
      <c r="B909" s="5"/>
      <c r="C909" s="5"/>
      <c r="D909" s="5"/>
      <c r="E909" s="5"/>
      <c r="F909" s="5"/>
      <c r="G909" s="5"/>
      <c r="H909" s="5"/>
      <c r="I909" s="5"/>
      <c r="J909" s="5"/>
      <c r="K909" s="5"/>
      <c r="L909" s="5"/>
      <c r="M909" s="20"/>
      <c r="N909" s="5"/>
    </row>
    <row r="910" spans="1:14" ht="14.25" customHeight="1" x14ac:dyDescent="0.25">
      <c r="A910" s="5"/>
      <c r="B910" s="5"/>
      <c r="C910" s="5"/>
      <c r="D910" s="5"/>
      <c r="E910" s="5"/>
      <c r="F910" s="5"/>
      <c r="G910" s="5"/>
      <c r="H910" s="5"/>
      <c r="I910" s="5"/>
      <c r="J910" s="5"/>
      <c r="K910" s="5"/>
      <c r="L910" s="5"/>
      <c r="M910" s="20"/>
      <c r="N910" s="5"/>
    </row>
    <row r="911" spans="1:14" ht="14.25" customHeight="1" x14ac:dyDescent="0.25">
      <c r="A911" s="5"/>
      <c r="B911" s="5"/>
      <c r="C911" s="5"/>
      <c r="D911" s="5"/>
      <c r="E911" s="5"/>
      <c r="F911" s="5"/>
      <c r="G911" s="5"/>
      <c r="H911" s="5"/>
      <c r="I911" s="5"/>
      <c r="J911" s="5"/>
      <c r="K911" s="5"/>
      <c r="L911" s="5"/>
      <c r="M911" s="20"/>
      <c r="N911" s="5"/>
    </row>
    <row r="912" spans="1:14" ht="14.25" customHeight="1" x14ac:dyDescent="0.25">
      <c r="A912" s="5"/>
      <c r="B912" s="5"/>
      <c r="C912" s="5"/>
      <c r="D912" s="5"/>
      <c r="E912" s="5"/>
      <c r="F912" s="5"/>
      <c r="G912" s="5"/>
      <c r="H912" s="5"/>
      <c r="I912" s="5"/>
      <c r="J912" s="5"/>
      <c r="K912" s="5"/>
      <c r="L912" s="5"/>
      <c r="M912" s="20"/>
      <c r="N912" s="5"/>
    </row>
    <row r="913" spans="1:14" ht="14.25" customHeight="1" x14ac:dyDescent="0.25">
      <c r="A913" s="5"/>
      <c r="B913" s="5"/>
      <c r="C913" s="5"/>
      <c r="D913" s="5"/>
      <c r="E913" s="5"/>
      <c r="F913" s="5"/>
      <c r="G913" s="5"/>
      <c r="H913" s="5"/>
      <c r="I913" s="5"/>
      <c r="J913" s="5"/>
      <c r="K913" s="5"/>
      <c r="L913" s="5"/>
      <c r="M913" s="20"/>
      <c r="N913" s="5"/>
    </row>
    <row r="914" spans="1:14" ht="14.25" customHeight="1" x14ac:dyDescent="0.25">
      <c r="A914" s="5"/>
      <c r="B914" s="5"/>
      <c r="C914" s="5"/>
      <c r="D914" s="5"/>
      <c r="E914" s="5"/>
      <c r="F914" s="5"/>
      <c r="G914" s="5"/>
      <c r="H914" s="5"/>
      <c r="I914" s="5"/>
      <c r="J914" s="5"/>
      <c r="K914" s="5"/>
      <c r="L914" s="5"/>
      <c r="M914" s="20"/>
      <c r="N914" s="5"/>
    </row>
    <row r="915" spans="1:14" ht="14.25" customHeight="1" x14ac:dyDescent="0.25">
      <c r="A915" s="5"/>
      <c r="B915" s="5"/>
      <c r="C915" s="5"/>
      <c r="D915" s="5"/>
      <c r="E915" s="5"/>
      <c r="F915" s="5"/>
      <c r="G915" s="5"/>
      <c r="H915" s="5"/>
      <c r="I915" s="5"/>
      <c r="J915" s="5"/>
      <c r="K915" s="5"/>
      <c r="L915" s="5"/>
      <c r="M915" s="20"/>
      <c r="N915" s="5"/>
    </row>
    <row r="916" spans="1:14" ht="14.25" customHeight="1" x14ac:dyDescent="0.25">
      <c r="A916" s="5"/>
      <c r="B916" s="5"/>
      <c r="C916" s="5"/>
      <c r="D916" s="5"/>
      <c r="E916" s="5"/>
      <c r="F916" s="5"/>
      <c r="G916" s="5"/>
      <c r="H916" s="5"/>
      <c r="I916" s="5"/>
      <c r="J916" s="5"/>
      <c r="K916" s="5"/>
      <c r="L916" s="5"/>
      <c r="M916" s="20"/>
      <c r="N916" s="5"/>
    </row>
    <row r="917" spans="1:14" ht="14.25" customHeight="1" x14ac:dyDescent="0.25">
      <c r="A917" s="5"/>
      <c r="B917" s="5"/>
      <c r="C917" s="5"/>
      <c r="D917" s="5"/>
      <c r="E917" s="5"/>
      <c r="F917" s="5"/>
      <c r="G917" s="5"/>
      <c r="H917" s="5"/>
      <c r="I917" s="5"/>
      <c r="J917" s="5"/>
      <c r="K917" s="5"/>
      <c r="L917" s="5"/>
      <c r="M917" s="20"/>
      <c r="N917" s="5"/>
    </row>
    <row r="918" spans="1:14" ht="14.25" customHeight="1" x14ac:dyDescent="0.25">
      <c r="A918" s="5"/>
      <c r="B918" s="5"/>
      <c r="C918" s="5"/>
      <c r="D918" s="5"/>
      <c r="E918" s="5"/>
      <c r="F918" s="5"/>
      <c r="G918" s="5"/>
      <c r="H918" s="5"/>
      <c r="I918" s="5"/>
      <c r="J918" s="5"/>
      <c r="K918" s="5"/>
      <c r="L918" s="5"/>
      <c r="M918" s="20"/>
      <c r="N918" s="5"/>
    </row>
    <row r="919" spans="1:14" ht="14.25" customHeight="1" x14ac:dyDescent="0.25">
      <c r="A919" s="5"/>
      <c r="B919" s="5"/>
      <c r="C919" s="5"/>
      <c r="D919" s="5"/>
      <c r="E919" s="5"/>
      <c r="F919" s="5"/>
      <c r="G919" s="5"/>
      <c r="H919" s="5"/>
      <c r="I919" s="5"/>
      <c r="J919" s="5"/>
      <c r="K919" s="5"/>
      <c r="L919" s="5"/>
      <c r="M919" s="20"/>
      <c r="N919" s="5"/>
    </row>
    <row r="920" spans="1:14" ht="14.25" customHeight="1" x14ac:dyDescent="0.25">
      <c r="A920" s="5"/>
      <c r="B920" s="5"/>
      <c r="C920" s="5"/>
      <c r="D920" s="5"/>
      <c r="E920" s="5"/>
      <c r="F920" s="5"/>
      <c r="G920" s="5"/>
      <c r="H920" s="5"/>
      <c r="I920" s="5"/>
      <c r="J920" s="5"/>
      <c r="K920" s="5"/>
      <c r="L920" s="5"/>
      <c r="M920" s="20"/>
      <c r="N920" s="5"/>
    </row>
    <row r="921" spans="1:14" ht="14.25" customHeight="1" x14ac:dyDescent="0.25">
      <c r="A921" s="5"/>
      <c r="B921" s="5"/>
      <c r="C921" s="5"/>
      <c r="D921" s="5"/>
      <c r="E921" s="5"/>
      <c r="F921" s="5"/>
      <c r="G921" s="5"/>
      <c r="H921" s="5"/>
      <c r="I921" s="5"/>
      <c r="J921" s="5"/>
      <c r="K921" s="5"/>
      <c r="L921" s="5"/>
      <c r="M921" s="20"/>
      <c r="N921" s="5"/>
    </row>
    <row r="922" spans="1:14" ht="14.25" customHeight="1" x14ac:dyDescent="0.25">
      <c r="A922" s="5"/>
      <c r="B922" s="5"/>
      <c r="C922" s="5"/>
      <c r="D922" s="5"/>
      <c r="E922" s="5"/>
      <c r="F922" s="5"/>
      <c r="G922" s="5"/>
      <c r="H922" s="5"/>
      <c r="I922" s="5"/>
      <c r="J922" s="5"/>
      <c r="K922" s="5"/>
      <c r="L922" s="5"/>
      <c r="M922" s="20"/>
      <c r="N922" s="5"/>
    </row>
    <row r="923" spans="1:14" ht="14.25" customHeight="1" x14ac:dyDescent="0.25">
      <c r="A923" s="5"/>
      <c r="B923" s="5"/>
      <c r="C923" s="5"/>
      <c r="D923" s="5"/>
      <c r="E923" s="5"/>
      <c r="F923" s="5"/>
      <c r="G923" s="5"/>
      <c r="H923" s="5"/>
      <c r="I923" s="5"/>
      <c r="J923" s="5"/>
      <c r="K923" s="5"/>
      <c r="L923" s="5"/>
      <c r="M923" s="20"/>
      <c r="N923" s="5"/>
    </row>
    <row r="924" spans="1:14" ht="14.25" customHeight="1" x14ac:dyDescent="0.25">
      <c r="A924" s="5"/>
      <c r="B924" s="5"/>
      <c r="C924" s="5"/>
      <c r="D924" s="5"/>
      <c r="E924" s="5"/>
      <c r="F924" s="5"/>
      <c r="G924" s="5"/>
      <c r="H924" s="5"/>
      <c r="I924" s="5"/>
      <c r="J924" s="5"/>
      <c r="K924" s="5"/>
      <c r="L924" s="5"/>
      <c r="M924" s="20"/>
      <c r="N924" s="5"/>
    </row>
    <row r="925" spans="1:14" ht="14.25" customHeight="1" x14ac:dyDescent="0.25">
      <c r="A925" s="5"/>
      <c r="B925" s="5"/>
      <c r="C925" s="5"/>
      <c r="D925" s="5"/>
      <c r="E925" s="5"/>
      <c r="F925" s="5"/>
      <c r="G925" s="5"/>
      <c r="H925" s="5"/>
      <c r="I925" s="5"/>
      <c r="J925" s="5"/>
      <c r="K925" s="5"/>
      <c r="L925" s="5"/>
      <c r="M925" s="20"/>
      <c r="N925" s="5"/>
    </row>
    <row r="926" spans="1:14" ht="14.25" customHeight="1" x14ac:dyDescent="0.25">
      <c r="A926" s="5"/>
      <c r="B926" s="5"/>
      <c r="C926" s="5"/>
      <c r="D926" s="5"/>
      <c r="E926" s="5"/>
      <c r="F926" s="5"/>
      <c r="G926" s="5"/>
      <c r="H926" s="5"/>
      <c r="I926" s="5"/>
      <c r="J926" s="5"/>
      <c r="K926" s="5"/>
      <c r="L926" s="5"/>
      <c r="M926" s="20"/>
      <c r="N926" s="5"/>
    </row>
    <row r="927" spans="1:14" ht="14.25" customHeight="1" x14ac:dyDescent="0.25">
      <c r="A927" s="5"/>
      <c r="B927" s="5"/>
      <c r="C927" s="5"/>
      <c r="D927" s="5"/>
      <c r="E927" s="5"/>
      <c r="F927" s="5"/>
      <c r="G927" s="5"/>
      <c r="H927" s="5"/>
      <c r="I927" s="5"/>
      <c r="J927" s="5"/>
      <c r="K927" s="5"/>
      <c r="L927" s="5"/>
      <c r="M927" s="20"/>
      <c r="N927" s="5"/>
    </row>
    <row r="928" spans="1:14" ht="14.25" customHeight="1" x14ac:dyDescent="0.25">
      <c r="A928" s="5"/>
      <c r="B928" s="5"/>
      <c r="C928" s="5"/>
      <c r="D928" s="5"/>
      <c r="E928" s="5"/>
      <c r="F928" s="5"/>
      <c r="G928" s="5"/>
      <c r="H928" s="5"/>
      <c r="I928" s="5"/>
      <c r="J928" s="5"/>
      <c r="K928" s="5"/>
      <c r="L928" s="5"/>
      <c r="M928" s="20"/>
      <c r="N928" s="5"/>
    </row>
    <row r="929" spans="1:14" ht="14.25" customHeight="1" x14ac:dyDescent="0.25">
      <c r="A929" s="5"/>
      <c r="B929" s="5"/>
      <c r="C929" s="5"/>
      <c r="D929" s="5"/>
      <c r="E929" s="5"/>
      <c r="F929" s="5"/>
      <c r="G929" s="5"/>
      <c r="H929" s="5"/>
      <c r="I929" s="5"/>
      <c r="J929" s="5"/>
      <c r="K929" s="5"/>
      <c r="L929" s="5"/>
      <c r="M929" s="20"/>
      <c r="N929" s="5"/>
    </row>
    <row r="930" spans="1:14" ht="14.25" customHeight="1" x14ac:dyDescent="0.25">
      <c r="A930" s="5"/>
      <c r="B930" s="5"/>
      <c r="C930" s="5"/>
      <c r="D930" s="5"/>
      <c r="E930" s="5"/>
      <c r="F930" s="5"/>
      <c r="G930" s="5"/>
      <c r="H930" s="5"/>
      <c r="I930" s="5"/>
      <c r="J930" s="5"/>
      <c r="K930" s="5"/>
      <c r="L930" s="5"/>
      <c r="M930" s="20"/>
      <c r="N930" s="5"/>
    </row>
    <row r="931" spans="1:14" ht="14.25" customHeight="1" x14ac:dyDescent="0.25">
      <c r="A931" s="5"/>
      <c r="B931" s="5"/>
      <c r="C931" s="5"/>
      <c r="D931" s="5"/>
      <c r="E931" s="5"/>
      <c r="F931" s="5"/>
      <c r="G931" s="5"/>
      <c r="H931" s="5"/>
      <c r="I931" s="5"/>
      <c r="J931" s="5"/>
      <c r="K931" s="5"/>
      <c r="L931" s="5"/>
      <c r="M931" s="20"/>
      <c r="N931" s="5"/>
    </row>
    <row r="932" spans="1:14" ht="14.25" customHeight="1" x14ac:dyDescent="0.25">
      <c r="A932" s="5"/>
      <c r="B932" s="5"/>
      <c r="C932" s="5"/>
      <c r="D932" s="5"/>
      <c r="E932" s="5"/>
      <c r="F932" s="5"/>
      <c r="G932" s="5"/>
      <c r="H932" s="5"/>
      <c r="I932" s="5"/>
      <c r="J932" s="5"/>
      <c r="K932" s="5"/>
      <c r="L932" s="5"/>
      <c r="M932" s="20"/>
      <c r="N932" s="5"/>
    </row>
    <row r="933" spans="1:14" ht="14.25" customHeight="1" x14ac:dyDescent="0.25">
      <c r="A933" s="5"/>
      <c r="B933" s="5"/>
      <c r="C933" s="5"/>
      <c r="D933" s="5"/>
      <c r="E933" s="5"/>
      <c r="F933" s="5"/>
      <c r="G933" s="5"/>
      <c r="H933" s="5"/>
      <c r="I933" s="5"/>
      <c r="J933" s="5"/>
      <c r="K933" s="5"/>
      <c r="L933" s="5"/>
      <c r="M933" s="20"/>
      <c r="N933" s="5"/>
    </row>
    <row r="934" spans="1:14" ht="14.25" customHeight="1" x14ac:dyDescent="0.25">
      <c r="A934" s="5"/>
      <c r="B934" s="5"/>
      <c r="C934" s="5"/>
      <c r="D934" s="5"/>
      <c r="E934" s="5"/>
      <c r="F934" s="5"/>
      <c r="G934" s="5"/>
      <c r="H934" s="5"/>
      <c r="I934" s="5"/>
      <c r="J934" s="5"/>
      <c r="K934" s="5"/>
      <c r="L934" s="5"/>
      <c r="M934" s="20"/>
      <c r="N934" s="5"/>
    </row>
    <row r="935" spans="1:14" ht="14.25" customHeight="1" x14ac:dyDescent="0.25">
      <c r="A935" s="5"/>
      <c r="B935" s="5"/>
      <c r="C935" s="5"/>
      <c r="D935" s="5"/>
      <c r="E935" s="5"/>
      <c r="F935" s="5"/>
      <c r="G935" s="5"/>
      <c r="H935" s="5"/>
      <c r="I935" s="5"/>
      <c r="J935" s="5"/>
      <c r="K935" s="5"/>
      <c r="L935" s="5"/>
      <c r="M935" s="20"/>
      <c r="N935" s="5"/>
    </row>
    <row r="936" spans="1:14" ht="14.25" customHeight="1" x14ac:dyDescent="0.25">
      <c r="A936" s="5"/>
      <c r="B936" s="5"/>
      <c r="C936" s="5"/>
      <c r="D936" s="5"/>
      <c r="E936" s="5"/>
      <c r="F936" s="5"/>
      <c r="G936" s="5"/>
      <c r="H936" s="5"/>
      <c r="I936" s="5"/>
      <c r="J936" s="5"/>
      <c r="K936" s="5"/>
      <c r="L936" s="5"/>
      <c r="M936" s="20"/>
      <c r="N936" s="5"/>
    </row>
    <row r="937" spans="1:14" ht="14.25" customHeight="1" x14ac:dyDescent="0.25">
      <c r="A937" s="5"/>
      <c r="B937" s="5"/>
      <c r="C937" s="5"/>
      <c r="D937" s="5"/>
      <c r="E937" s="5"/>
      <c r="F937" s="5"/>
      <c r="G937" s="5"/>
      <c r="H937" s="5"/>
      <c r="I937" s="5"/>
      <c r="J937" s="5"/>
      <c r="K937" s="5"/>
      <c r="L937" s="5"/>
      <c r="M937" s="20"/>
      <c r="N937" s="5"/>
    </row>
    <row r="938" spans="1:14" ht="14.25" customHeight="1" x14ac:dyDescent="0.25">
      <c r="A938" s="5"/>
      <c r="B938" s="5"/>
      <c r="C938" s="5"/>
      <c r="D938" s="5"/>
      <c r="E938" s="5"/>
      <c r="F938" s="5"/>
      <c r="G938" s="5"/>
      <c r="H938" s="5"/>
      <c r="I938" s="5"/>
      <c r="J938" s="5"/>
      <c r="K938" s="5"/>
      <c r="L938" s="5"/>
      <c r="M938" s="20"/>
      <c r="N938" s="5"/>
    </row>
    <row r="939" spans="1:14" ht="14.25" customHeight="1" x14ac:dyDescent="0.25">
      <c r="A939" s="5"/>
      <c r="B939" s="5"/>
      <c r="C939" s="5"/>
      <c r="D939" s="5"/>
      <c r="E939" s="5"/>
      <c r="F939" s="5"/>
      <c r="G939" s="5"/>
      <c r="H939" s="5"/>
      <c r="I939" s="5"/>
      <c r="J939" s="5"/>
      <c r="K939" s="5"/>
      <c r="L939" s="5"/>
      <c r="M939" s="20"/>
      <c r="N939" s="5"/>
    </row>
    <row r="940" spans="1:14" ht="14.25" customHeight="1" x14ac:dyDescent="0.25">
      <c r="A940" s="5"/>
      <c r="B940" s="5"/>
      <c r="C940" s="5"/>
      <c r="D940" s="5"/>
      <c r="E940" s="5"/>
      <c r="F940" s="5"/>
      <c r="G940" s="5"/>
      <c r="H940" s="5"/>
      <c r="I940" s="5"/>
      <c r="J940" s="5"/>
      <c r="K940" s="5"/>
      <c r="L940" s="5"/>
      <c r="M940" s="20"/>
      <c r="N940" s="5"/>
    </row>
    <row r="941" spans="1:14" ht="14.25" customHeight="1" x14ac:dyDescent="0.25">
      <c r="A941" s="5"/>
      <c r="B941" s="5"/>
      <c r="C941" s="5"/>
      <c r="D941" s="5"/>
      <c r="E941" s="5"/>
      <c r="F941" s="5"/>
      <c r="G941" s="5"/>
      <c r="H941" s="5"/>
      <c r="I941" s="5"/>
      <c r="J941" s="5"/>
      <c r="K941" s="5"/>
      <c r="L941" s="5"/>
      <c r="M941" s="20"/>
      <c r="N941" s="5"/>
    </row>
    <row r="942" spans="1:14" ht="14.25" customHeight="1" x14ac:dyDescent="0.25">
      <c r="A942" s="5"/>
      <c r="B942" s="5"/>
      <c r="C942" s="5"/>
      <c r="D942" s="5"/>
      <c r="E942" s="5"/>
      <c r="F942" s="5"/>
      <c r="G942" s="5"/>
      <c r="H942" s="5"/>
      <c r="I942" s="5"/>
      <c r="J942" s="5"/>
      <c r="K942" s="5"/>
      <c r="L942" s="5"/>
      <c r="M942" s="20"/>
      <c r="N942" s="5"/>
    </row>
    <row r="943" spans="1:14" ht="14.25" customHeight="1" x14ac:dyDescent="0.25">
      <c r="A943" s="5"/>
      <c r="B943" s="5"/>
      <c r="C943" s="5"/>
      <c r="D943" s="5"/>
      <c r="E943" s="5"/>
      <c r="F943" s="5"/>
      <c r="G943" s="5"/>
      <c r="H943" s="5"/>
      <c r="I943" s="5"/>
      <c r="J943" s="5"/>
      <c r="K943" s="5"/>
      <c r="L943" s="5"/>
      <c r="M943" s="20"/>
      <c r="N943" s="5"/>
    </row>
    <row r="944" spans="1:14" ht="14.25" customHeight="1" x14ac:dyDescent="0.25">
      <c r="A944" s="5"/>
      <c r="B944" s="5"/>
      <c r="C944" s="5"/>
      <c r="D944" s="5"/>
      <c r="E944" s="5"/>
      <c r="F944" s="5"/>
      <c r="G944" s="5"/>
      <c r="H944" s="5"/>
      <c r="I944" s="5"/>
      <c r="J944" s="5"/>
      <c r="K944" s="5"/>
      <c r="L944" s="5"/>
      <c r="M944" s="20"/>
      <c r="N944" s="5"/>
    </row>
    <row r="945" spans="1:14" ht="14.25" customHeight="1" x14ac:dyDescent="0.25">
      <c r="A945" s="5"/>
      <c r="B945" s="5"/>
      <c r="C945" s="5"/>
      <c r="D945" s="5"/>
      <c r="E945" s="5"/>
      <c r="F945" s="5"/>
      <c r="G945" s="5"/>
      <c r="H945" s="5"/>
      <c r="I945" s="5"/>
      <c r="J945" s="5"/>
      <c r="K945" s="5"/>
      <c r="L945" s="5"/>
      <c r="M945" s="20"/>
      <c r="N945" s="5"/>
    </row>
    <row r="946" spans="1:14" ht="14.25" customHeight="1" x14ac:dyDescent="0.25">
      <c r="A946" s="5"/>
      <c r="B946" s="5"/>
      <c r="C946" s="5"/>
      <c r="D946" s="5"/>
      <c r="E946" s="5"/>
      <c r="F946" s="5"/>
      <c r="G946" s="5"/>
      <c r="H946" s="5"/>
      <c r="I946" s="5"/>
      <c r="J946" s="5"/>
      <c r="K946" s="5"/>
      <c r="L946" s="5"/>
      <c r="M946" s="20"/>
      <c r="N946" s="5"/>
    </row>
    <row r="947" spans="1:14" ht="14.25" customHeight="1" x14ac:dyDescent="0.25">
      <c r="A947" s="5"/>
      <c r="B947" s="5"/>
      <c r="C947" s="5"/>
      <c r="D947" s="5"/>
      <c r="E947" s="5"/>
      <c r="F947" s="5"/>
      <c r="G947" s="5"/>
      <c r="H947" s="5"/>
      <c r="I947" s="5"/>
      <c r="J947" s="5"/>
      <c r="K947" s="5"/>
      <c r="L947" s="5"/>
      <c r="M947" s="20"/>
      <c r="N947" s="5"/>
    </row>
    <row r="948" spans="1:14" ht="14.25" customHeight="1" x14ac:dyDescent="0.25">
      <c r="A948" s="5"/>
      <c r="B948" s="5"/>
      <c r="C948" s="5"/>
      <c r="D948" s="5"/>
      <c r="E948" s="5"/>
      <c r="F948" s="5"/>
      <c r="G948" s="5"/>
      <c r="H948" s="5"/>
      <c r="I948" s="5"/>
      <c r="J948" s="5"/>
      <c r="K948" s="5"/>
      <c r="L948" s="5"/>
      <c r="M948" s="20"/>
      <c r="N948" s="5"/>
    </row>
    <row r="949" spans="1:14" ht="14.25" customHeight="1" x14ac:dyDescent="0.25">
      <c r="A949" s="5"/>
      <c r="B949" s="5"/>
      <c r="C949" s="5"/>
      <c r="D949" s="5"/>
      <c r="E949" s="5"/>
      <c r="F949" s="5"/>
      <c r="G949" s="5"/>
      <c r="H949" s="5"/>
      <c r="I949" s="5"/>
      <c r="J949" s="5"/>
      <c r="K949" s="5"/>
      <c r="L949" s="5"/>
      <c r="M949" s="20"/>
      <c r="N949" s="5"/>
    </row>
    <row r="950" spans="1:14" ht="14.25" customHeight="1" x14ac:dyDescent="0.25">
      <c r="A950" s="5"/>
      <c r="B950" s="5"/>
      <c r="C950" s="5"/>
      <c r="D950" s="5"/>
      <c r="E950" s="5"/>
      <c r="F950" s="5"/>
      <c r="G950" s="5"/>
      <c r="H950" s="5"/>
      <c r="I950" s="5"/>
      <c r="J950" s="5"/>
      <c r="K950" s="5"/>
      <c r="L950" s="5"/>
      <c r="M950" s="20"/>
      <c r="N950" s="5"/>
    </row>
    <row r="951" spans="1:14" ht="14.25" customHeight="1" x14ac:dyDescent="0.25">
      <c r="A951" s="5"/>
      <c r="B951" s="5"/>
      <c r="C951" s="5"/>
      <c r="D951" s="5"/>
      <c r="E951" s="5"/>
      <c r="F951" s="5"/>
      <c r="G951" s="5"/>
      <c r="H951" s="5"/>
      <c r="I951" s="5"/>
      <c r="J951" s="5"/>
      <c r="K951" s="5"/>
      <c r="L951" s="5"/>
      <c r="M951" s="20"/>
      <c r="N951" s="5"/>
    </row>
    <row r="952" spans="1:14" ht="14.25" customHeight="1" x14ac:dyDescent="0.25">
      <c r="A952" s="5"/>
      <c r="B952" s="5"/>
      <c r="C952" s="5"/>
      <c r="D952" s="5"/>
      <c r="E952" s="5"/>
      <c r="F952" s="5"/>
      <c r="G952" s="5"/>
      <c r="H952" s="5"/>
      <c r="I952" s="5"/>
      <c r="J952" s="5"/>
      <c r="K952" s="5"/>
      <c r="L952" s="5"/>
      <c r="M952" s="20"/>
      <c r="N952" s="5"/>
    </row>
    <row r="953" spans="1:14" ht="14.25" customHeight="1" x14ac:dyDescent="0.25">
      <c r="A953" s="5"/>
      <c r="B953" s="5"/>
      <c r="C953" s="5"/>
      <c r="D953" s="5"/>
      <c r="E953" s="5"/>
      <c r="F953" s="5"/>
      <c r="G953" s="5"/>
      <c r="H953" s="5"/>
      <c r="I953" s="5"/>
      <c r="J953" s="5"/>
      <c r="K953" s="5"/>
      <c r="L953" s="5"/>
      <c r="M953" s="20"/>
      <c r="N953" s="5"/>
    </row>
    <row r="954" spans="1:14" ht="14.25" customHeight="1" x14ac:dyDescent="0.25">
      <c r="A954" s="5"/>
      <c r="B954" s="5"/>
      <c r="C954" s="5"/>
      <c r="D954" s="5"/>
      <c r="E954" s="5"/>
      <c r="F954" s="5"/>
      <c r="G954" s="5"/>
      <c r="H954" s="5"/>
      <c r="I954" s="5"/>
      <c r="J954" s="5"/>
      <c r="K954" s="5"/>
      <c r="L954" s="5"/>
      <c r="M954" s="20"/>
      <c r="N954" s="5"/>
    </row>
    <row r="955" spans="1:14" ht="14.25" customHeight="1" x14ac:dyDescent="0.25">
      <c r="A955" s="5"/>
      <c r="B955" s="5"/>
      <c r="C955" s="5"/>
      <c r="D955" s="5"/>
      <c r="E955" s="5"/>
      <c r="F955" s="5"/>
      <c r="G955" s="5"/>
      <c r="H955" s="5"/>
      <c r="I955" s="5"/>
      <c r="J955" s="5"/>
      <c r="K955" s="5"/>
      <c r="L955" s="5"/>
      <c r="M955" s="20"/>
      <c r="N955" s="5"/>
    </row>
    <row r="956" spans="1:14" ht="14.25" customHeight="1" x14ac:dyDescent="0.25">
      <c r="A956" s="5"/>
      <c r="B956" s="5"/>
      <c r="C956" s="5"/>
      <c r="D956" s="5"/>
      <c r="E956" s="5"/>
      <c r="F956" s="5"/>
      <c r="G956" s="5"/>
      <c r="H956" s="5"/>
      <c r="I956" s="5"/>
      <c r="J956" s="5"/>
      <c r="K956" s="5"/>
      <c r="L956" s="5"/>
      <c r="M956" s="20"/>
      <c r="N956" s="5"/>
    </row>
    <row r="957" spans="1:14" ht="14.25" customHeight="1" x14ac:dyDescent="0.25">
      <c r="A957" s="5"/>
      <c r="B957" s="5"/>
      <c r="C957" s="5"/>
      <c r="D957" s="5"/>
      <c r="E957" s="5"/>
      <c r="F957" s="5"/>
      <c r="G957" s="5"/>
      <c r="H957" s="5"/>
      <c r="I957" s="5"/>
      <c r="J957" s="5"/>
      <c r="K957" s="5"/>
      <c r="L957" s="5"/>
      <c r="M957" s="20"/>
      <c r="N957" s="5"/>
    </row>
    <row r="958" spans="1:14" ht="14.25" customHeight="1" x14ac:dyDescent="0.25">
      <c r="A958" s="5"/>
      <c r="B958" s="5"/>
      <c r="C958" s="5"/>
      <c r="D958" s="5"/>
      <c r="E958" s="5"/>
      <c r="F958" s="5"/>
      <c r="G958" s="5"/>
      <c r="H958" s="5"/>
      <c r="I958" s="5"/>
      <c r="J958" s="5"/>
      <c r="K958" s="5"/>
      <c r="L958" s="5"/>
      <c r="M958" s="20"/>
      <c r="N958" s="5"/>
    </row>
    <row r="959" spans="1:14" ht="14.25" customHeight="1" x14ac:dyDescent="0.25">
      <c r="A959" s="5"/>
      <c r="B959" s="5"/>
      <c r="C959" s="5"/>
      <c r="D959" s="5"/>
      <c r="E959" s="5"/>
      <c r="F959" s="5"/>
      <c r="G959" s="5"/>
      <c r="H959" s="5"/>
      <c r="I959" s="5"/>
      <c r="J959" s="5"/>
      <c r="K959" s="5"/>
      <c r="L959" s="5"/>
      <c r="M959" s="20"/>
      <c r="N959" s="5"/>
    </row>
    <row r="960" spans="1:14" ht="14.25" customHeight="1" x14ac:dyDescent="0.25">
      <c r="A960" s="5"/>
      <c r="B960" s="5"/>
      <c r="C960" s="5"/>
      <c r="D960" s="5"/>
      <c r="E960" s="5"/>
      <c r="F960" s="5"/>
      <c r="G960" s="5"/>
      <c r="H960" s="5"/>
      <c r="I960" s="5"/>
      <c r="J960" s="5"/>
      <c r="K960" s="5"/>
      <c r="L960" s="5"/>
      <c r="M960" s="20"/>
      <c r="N960" s="5"/>
    </row>
    <row r="961" spans="1:14" ht="14.25" customHeight="1" x14ac:dyDescent="0.25">
      <c r="A961" s="5"/>
      <c r="B961" s="5"/>
      <c r="C961" s="5"/>
      <c r="D961" s="5"/>
      <c r="E961" s="5"/>
      <c r="F961" s="5"/>
      <c r="G961" s="5"/>
      <c r="H961" s="5"/>
      <c r="I961" s="5"/>
      <c r="J961" s="5"/>
      <c r="K961" s="5"/>
      <c r="L961" s="5"/>
      <c r="M961" s="20"/>
      <c r="N961" s="5"/>
    </row>
    <row r="962" spans="1:14" ht="14.25" customHeight="1" x14ac:dyDescent="0.25">
      <c r="A962" s="5"/>
      <c r="B962" s="5"/>
      <c r="C962" s="5"/>
      <c r="D962" s="5"/>
      <c r="E962" s="5"/>
      <c r="F962" s="5"/>
      <c r="G962" s="5"/>
      <c r="H962" s="5"/>
      <c r="I962" s="5"/>
      <c r="J962" s="5"/>
      <c r="K962" s="5"/>
      <c r="L962" s="5"/>
      <c r="M962" s="20"/>
      <c r="N962" s="5"/>
    </row>
    <row r="963" spans="1:14" ht="14.25" customHeight="1" x14ac:dyDescent="0.25">
      <c r="A963" s="5"/>
      <c r="B963" s="5"/>
      <c r="C963" s="5"/>
      <c r="D963" s="5"/>
      <c r="E963" s="5"/>
      <c r="F963" s="5"/>
      <c r="G963" s="5"/>
      <c r="H963" s="5"/>
      <c r="I963" s="5"/>
      <c r="J963" s="5"/>
      <c r="K963" s="5"/>
      <c r="L963" s="5"/>
      <c r="M963" s="20"/>
      <c r="N963" s="5"/>
    </row>
    <row r="964" spans="1:14" ht="14.25" customHeight="1" x14ac:dyDescent="0.25">
      <c r="A964" s="5"/>
      <c r="B964" s="5"/>
      <c r="C964" s="5"/>
      <c r="D964" s="5"/>
      <c r="E964" s="5"/>
      <c r="F964" s="5"/>
      <c r="G964" s="5"/>
      <c r="H964" s="5"/>
      <c r="I964" s="5"/>
      <c r="J964" s="5"/>
      <c r="K964" s="5"/>
      <c r="L964" s="5"/>
      <c r="M964" s="20"/>
      <c r="N964" s="5"/>
    </row>
    <row r="965" spans="1:14" ht="14.25" customHeight="1" x14ac:dyDescent="0.25">
      <c r="A965" s="5"/>
      <c r="B965" s="5"/>
      <c r="C965" s="5"/>
      <c r="D965" s="5"/>
      <c r="E965" s="5"/>
      <c r="F965" s="5"/>
      <c r="G965" s="5"/>
      <c r="H965" s="5"/>
      <c r="I965" s="5"/>
      <c r="J965" s="5"/>
      <c r="K965" s="5"/>
      <c r="L965" s="5"/>
      <c r="M965" s="20"/>
      <c r="N965" s="5"/>
    </row>
    <row r="966" spans="1:14" ht="14.25" customHeight="1" x14ac:dyDescent="0.25">
      <c r="A966" s="5"/>
      <c r="B966" s="5"/>
      <c r="C966" s="5"/>
      <c r="D966" s="5"/>
      <c r="E966" s="5"/>
      <c r="F966" s="5"/>
      <c r="G966" s="5"/>
      <c r="H966" s="5"/>
      <c r="I966" s="5"/>
      <c r="J966" s="5"/>
      <c r="K966" s="5"/>
      <c r="L966" s="5"/>
      <c r="M966" s="20"/>
      <c r="N966" s="5"/>
    </row>
    <row r="967" spans="1:14" ht="14.25" customHeight="1" x14ac:dyDescent="0.25">
      <c r="A967" s="5"/>
      <c r="B967" s="5"/>
      <c r="C967" s="5"/>
      <c r="D967" s="5"/>
      <c r="E967" s="5"/>
      <c r="F967" s="5"/>
      <c r="G967" s="5"/>
      <c r="H967" s="5"/>
      <c r="I967" s="5"/>
      <c r="J967" s="5"/>
      <c r="K967" s="5"/>
      <c r="L967" s="5"/>
      <c r="M967" s="20"/>
      <c r="N967" s="5"/>
    </row>
    <row r="968" spans="1:14" ht="14.25" customHeight="1" x14ac:dyDescent="0.25">
      <c r="A968" s="5"/>
      <c r="B968" s="5"/>
      <c r="C968" s="5"/>
      <c r="D968" s="5"/>
      <c r="E968" s="5"/>
      <c r="F968" s="5"/>
      <c r="G968" s="5"/>
      <c r="H968" s="5"/>
      <c r="I968" s="5"/>
      <c r="J968" s="5"/>
      <c r="K968" s="5"/>
      <c r="L968" s="5"/>
      <c r="M968" s="20"/>
      <c r="N968" s="5"/>
    </row>
    <row r="969" spans="1:14" ht="14.25" customHeight="1" x14ac:dyDescent="0.25">
      <c r="A969" s="5"/>
      <c r="B969" s="5"/>
      <c r="C969" s="5"/>
      <c r="D969" s="5"/>
      <c r="E969" s="5"/>
      <c r="F969" s="5"/>
      <c r="G969" s="5"/>
      <c r="H969" s="5"/>
      <c r="I969" s="5"/>
      <c r="J969" s="5"/>
      <c r="K969" s="5"/>
      <c r="L969" s="5"/>
      <c r="M969" s="20"/>
      <c r="N969" s="5"/>
    </row>
    <row r="970" spans="1:14" ht="14.25" customHeight="1" x14ac:dyDescent="0.25">
      <c r="A970" s="5"/>
      <c r="B970" s="5"/>
      <c r="C970" s="5"/>
      <c r="D970" s="5"/>
      <c r="E970" s="5"/>
      <c r="F970" s="5"/>
      <c r="G970" s="5"/>
      <c r="H970" s="5"/>
      <c r="I970" s="5"/>
      <c r="J970" s="5"/>
      <c r="K970" s="5"/>
      <c r="L970" s="5"/>
      <c r="M970" s="20"/>
      <c r="N970" s="5"/>
    </row>
    <row r="971" spans="1:14" ht="14.25" customHeight="1" x14ac:dyDescent="0.25">
      <c r="A971" s="5"/>
      <c r="B971" s="5"/>
      <c r="C971" s="5"/>
      <c r="D971" s="5"/>
      <c r="E971" s="5"/>
      <c r="F971" s="5"/>
      <c r="G971" s="5"/>
      <c r="H971" s="5"/>
      <c r="I971" s="5"/>
      <c r="J971" s="5"/>
      <c r="K971" s="5"/>
      <c r="L971" s="5"/>
      <c r="M971" s="20"/>
      <c r="N971" s="5"/>
    </row>
    <row r="972" spans="1:14" ht="14.25" customHeight="1" x14ac:dyDescent="0.25">
      <c r="A972" s="5"/>
      <c r="B972" s="5"/>
      <c r="C972" s="5"/>
      <c r="D972" s="5"/>
      <c r="E972" s="5"/>
      <c r="F972" s="5"/>
      <c r="G972" s="5"/>
      <c r="H972" s="5"/>
      <c r="I972" s="5"/>
      <c r="J972" s="5"/>
      <c r="K972" s="5"/>
      <c r="L972" s="5"/>
      <c r="M972" s="20"/>
      <c r="N972" s="5"/>
    </row>
    <row r="973" spans="1:14" ht="14.25" customHeight="1" x14ac:dyDescent="0.25">
      <c r="A973" s="5"/>
      <c r="B973" s="5"/>
      <c r="C973" s="5"/>
      <c r="D973" s="5"/>
      <c r="E973" s="5"/>
      <c r="F973" s="5"/>
      <c r="G973" s="5"/>
      <c r="H973" s="5"/>
      <c r="I973" s="5"/>
      <c r="J973" s="5"/>
      <c r="K973" s="5"/>
      <c r="L973" s="5"/>
      <c r="M973" s="20"/>
      <c r="N973" s="5"/>
    </row>
    <row r="974" spans="1:14" ht="14.25" customHeight="1" x14ac:dyDescent="0.25">
      <c r="A974" s="5"/>
      <c r="B974" s="5"/>
      <c r="C974" s="5"/>
      <c r="D974" s="5"/>
      <c r="E974" s="5"/>
      <c r="F974" s="5"/>
      <c r="G974" s="5"/>
      <c r="H974" s="5"/>
      <c r="I974" s="5"/>
      <c r="J974" s="5"/>
      <c r="K974" s="5"/>
      <c r="L974" s="5"/>
      <c r="M974" s="20"/>
      <c r="N974" s="5"/>
    </row>
    <row r="975" spans="1:14" ht="14.25" customHeight="1" x14ac:dyDescent="0.25">
      <c r="A975" s="5"/>
      <c r="B975" s="5"/>
      <c r="C975" s="5"/>
      <c r="D975" s="5"/>
      <c r="E975" s="5"/>
      <c r="F975" s="5"/>
      <c r="G975" s="5"/>
      <c r="H975" s="5"/>
      <c r="I975" s="5"/>
      <c r="J975" s="5"/>
      <c r="K975" s="5"/>
      <c r="L975" s="5"/>
      <c r="M975" s="20"/>
      <c r="N975" s="5"/>
    </row>
    <row r="976" spans="1:14" ht="14.25" customHeight="1" x14ac:dyDescent="0.25">
      <c r="A976" s="5"/>
      <c r="B976" s="5"/>
      <c r="C976" s="5"/>
      <c r="D976" s="5"/>
      <c r="E976" s="5"/>
      <c r="F976" s="5"/>
      <c r="G976" s="5"/>
      <c r="H976" s="5"/>
      <c r="I976" s="5"/>
      <c r="J976" s="5"/>
      <c r="K976" s="5"/>
      <c r="L976" s="5"/>
      <c r="M976" s="20"/>
      <c r="N976" s="5"/>
    </row>
    <row r="977" spans="1:14" ht="14.25" customHeight="1" x14ac:dyDescent="0.25">
      <c r="A977" s="5"/>
      <c r="B977" s="5"/>
      <c r="C977" s="5"/>
      <c r="D977" s="5"/>
      <c r="E977" s="5"/>
      <c r="F977" s="5"/>
      <c r="G977" s="5"/>
      <c r="H977" s="5"/>
      <c r="I977" s="5"/>
      <c r="J977" s="5"/>
      <c r="K977" s="5"/>
      <c r="L977" s="5"/>
      <c r="M977" s="20"/>
      <c r="N977" s="5"/>
    </row>
    <row r="978" spans="1:14" ht="14.25" customHeight="1" x14ac:dyDescent="0.25">
      <c r="A978" s="5"/>
      <c r="B978" s="5"/>
      <c r="C978" s="5"/>
      <c r="D978" s="5"/>
      <c r="E978" s="5"/>
      <c r="F978" s="5"/>
      <c r="G978" s="5"/>
      <c r="H978" s="5"/>
      <c r="I978" s="5"/>
      <c r="J978" s="5"/>
      <c r="K978" s="5"/>
      <c r="L978" s="5"/>
      <c r="M978" s="20"/>
      <c r="N978" s="5"/>
    </row>
    <row r="979" spans="1:14" ht="14.25" customHeight="1" x14ac:dyDescent="0.25">
      <c r="A979" s="5"/>
      <c r="B979" s="5"/>
      <c r="C979" s="5"/>
      <c r="D979" s="5"/>
      <c r="E979" s="5"/>
      <c r="F979" s="5"/>
      <c r="G979" s="5"/>
      <c r="H979" s="5"/>
      <c r="I979" s="5"/>
      <c r="J979" s="5"/>
      <c r="K979" s="5"/>
      <c r="L979" s="5"/>
      <c r="M979" s="20"/>
      <c r="N979" s="5"/>
    </row>
    <row r="980" spans="1:14" ht="14.25" customHeight="1" x14ac:dyDescent="0.25">
      <c r="A980" s="5"/>
      <c r="B980" s="5"/>
      <c r="C980" s="5"/>
      <c r="D980" s="5"/>
      <c r="E980" s="5"/>
      <c r="F980" s="5"/>
      <c r="G980" s="5"/>
      <c r="H980" s="5"/>
      <c r="I980" s="5"/>
      <c r="J980" s="5"/>
      <c r="K980" s="5"/>
      <c r="L980" s="5"/>
      <c r="M980" s="20"/>
      <c r="N980" s="5"/>
    </row>
    <row r="981" spans="1:14" ht="14.25" customHeight="1" x14ac:dyDescent="0.25">
      <c r="A981" s="5"/>
      <c r="B981" s="5"/>
      <c r="C981" s="5"/>
      <c r="D981" s="5"/>
      <c r="E981" s="5"/>
      <c r="F981" s="5"/>
      <c r="G981" s="5"/>
      <c r="H981" s="5"/>
      <c r="I981" s="5"/>
      <c r="J981" s="5"/>
      <c r="K981" s="5"/>
      <c r="L981" s="5"/>
      <c r="M981" s="20"/>
      <c r="N981" s="5"/>
    </row>
    <row r="982" spans="1:14" ht="14.25" customHeight="1" x14ac:dyDescent="0.25">
      <c r="A982" s="5"/>
      <c r="B982" s="5"/>
      <c r="C982" s="5"/>
      <c r="D982" s="5"/>
      <c r="E982" s="5"/>
      <c r="F982" s="5"/>
      <c r="G982" s="5"/>
      <c r="H982" s="5"/>
      <c r="I982" s="5"/>
      <c r="J982" s="5"/>
      <c r="K982" s="5"/>
      <c r="L982" s="5"/>
      <c r="M982" s="20"/>
      <c r="N982" s="5"/>
    </row>
    <row r="983" spans="1:14" ht="14.25" customHeight="1" x14ac:dyDescent="0.25">
      <c r="A983" s="5"/>
      <c r="B983" s="5"/>
      <c r="C983" s="5"/>
      <c r="D983" s="5"/>
      <c r="E983" s="5"/>
      <c r="F983" s="5"/>
      <c r="G983" s="5"/>
      <c r="H983" s="5"/>
      <c r="I983" s="5"/>
      <c r="J983" s="5"/>
      <c r="K983" s="5"/>
      <c r="L983" s="5"/>
      <c r="M983" s="20"/>
      <c r="N983" s="5"/>
    </row>
    <row r="984" spans="1:14" ht="14.25" customHeight="1" x14ac:dyDescent="0.25">
      <c r="A984" s="5"/>
      <c r="B984" s="5"/>
      <c r="C984" s="5"/>
      <c r="D984" s="5"/>
      <c r="E984" s="5"/>
      <c r="F984" s="5"/>
      <c r="G984" s="5"/>
      <c r="H984" s="5"/>
      <c r="I984" s="5"/>
      <c r="J984" s="5"/>
      <c r="K984" s="5"/>
      <c r="L984" s="5"/>
      <c r="M984" s="20"/>
      <c r="N984" s="5"/>
    </row>
    <row r="985" spans="1:14" ht="14.25" customHeight="1" x14ac:dyDescent="0.25">
      <c r="A985" s="5"/>
      <c r="B985" s="5"/>
      <c r="C985" s="5"/>
      <c r="D985" s="5"/>
      <c r="E985" s="5"/>
      <c r="F985" s="5"/>
      <c r="G985" s="5"/>
      <c r="H985" s="5"/>
      <c r="I985" s="5"/>
      <c r="J985" s="5"/>
      <c r="K985" s="5"/>
      <c r="L985" s="5"/>
      <c r="M985" s="20"/>
      <c r="N985" s="5"/>
    </row>
    <row r="986" spans="1:14" ht="14.25" customHeight="1" x14ac:dyDescent="0.25">
      <c r="A986" s="5"/>
      <c r="B986" s="5"/>
      <c r="C986" s="5"/>
      <c r="D986" s="5"/>
      <c r="E986" s="5"/>
      <c r="F986" s="5"/>
      <c r="G986" s="5"/>
      <c r="H986" s="5"/>
      <c r="I986" s="5"/>
      <c r="J986" s="5"/>
      <c r="K986" s="5"/>
      <c r="L986" s="5"/>
      <c r="M986" s="20"/>
      <c r="N986" s="5"/>
    </row>
    <row r="987" spans="1:14" ht="14.25" customHeight="1" x14ac:dyDescent="0.25">
      <c r="A987" s="5"/>
      <c r="B987" s="5"/>
      <c r="C987" s="5"/>
      <c r="D987" s="5"/>
      <c r="E987" s="5"/>
      <c r="F987" s="5"/>
      <c r="G987" s="5"/>
      <c r="H987" s="5"/>
      <c r="I987" s="5"/>
      <c r="J987" s="5"/>
      <c r="K987" s="5"/>
      <c r="L987" s="5"/>
      <c r="M987" s="20"/>
      <c r="N987" s="5"/>
    </row>
    <row r="988" spans="1:14" ht="14.25" customHeight="1" x14ac:dyDescent="0.25">
      <c r="A988" s="5"/>
      <c r="B988" s="5"/>
      <c r="C988" s="5"/>
      <c r="D988" s="5"/>
      <c r="E988" s="5"/>
      <c r="F988" s="5"/>
      <c r="G988" s="5"/>
      <c r="H988" s="5"/>
      <c r="I988" s="5"/>
      <c r="J988" s="5"/>
      <c r="K988" s="5"/>
      <c r="L988" s="5"/>
      <c r="M988" s="20"/>
      <c r="N988" s="5"/>
    </row>
    <row r="989" spans="1:14" ht="14.25" customHeight="1" x14ac:dyDescent="0.25">
      <c r="A989" s="5"/>
      <c r="B989" s="5"/>
      <c r="C989" s="5"/>
      <c r="D989" s="5"/>
      <c r="E989" s="5"/>
      <c r="F989" s="5"/>
      <c r="G989" s="5"/>
      <c r="H989" s="5"/>
      <c r="I989" s="5"/>
      <c r="J989" s="5"/>
      <c r="K989" s="5"/>
      <c r="L989" s="5"/>
      <c r="M989" s="20"/>
      <c r="N989" s="5"/>
    </row>
    <row r="990" spans="1:14" ht="14.25" customHeight="1" x14ac:dyDescent="0.25">
      <c r="A990" s="5"/>
      <c r="B990" s="5"/>
      <c r="C990" s="5"/>
      <c r="D990" s="5"/>
      <c r="E990" s="5"/>
      <c r="F990" s="5"/>
      <c r="G990" s="5"/>
      <c r="H990" s="5"/>
      <c r="I990" s="5"/>
      <c r="J990" s="5"/>
      <c r="K990" s="5"/>
      <c r="L990" s="5"/>
      <c r="M990" s="20"/>
      <c r="N990" s="5"/>
    </row>
    <row r="991" spans="1:14" ht="14.25" customHeight="1" x14ac:dyDescent="0.25">
      <c r="A991" s="5"/>
      <c r="B991" s="5"/>
      <c r="C991" s="5"/>
      <c r="D991" s="5"/>
      <c r="E991" s="5"/>
      <c r="F991" s="5"/>
      <c r="G991" s="5"/>
      <c r="H991" s="5"/>
      <c r="I991" s="5"/>
      <c r="J991" s="5"/>
      <c r="K991" s="5"/>
      <c r="L991" s="5"/>
      <c r="M991" s="20"/>
      <c r="N991" s="5"/>
    </row>
    <row r="992" spans="1:14" ht="14.25" customHeight="1" x14ac:dyDescent="0.25">
      <c r="A992" s="5"/>
      <c r="B992" s="5"/>
      <c r="C992" s="5"/>
      <c r="D992" s="5"/>
      <c r="E992" s="5"/>
      <c r="F992" s="5"/>
      <c r="G992" s="5"/>
      <c r="H992" s="5"/>
      <c r="I992" s="5"/>
      <c r="J992" s="5"/>
      <c r="K992" s="5"/>
      <c r="L992" s="5"/>
      <c r="M992" s="20"/>
      <c r="N992" s="5"/>
    </row>
    <row r="993" spans="1:14" ht="14.25" customHeight="1" x14ac:dyDescent="0.25">
      <c r="A993" s="5"/>
      <c r="B993" s="5"/>
      <c r="C993" s="5"/>
      <c r="D993" s="5"/>
      <c r="E993" s="5"/>
      <c r="F993" s="5"/>
      <c r="G993" s="5"/>
      <c r="H993" s="5"/>
      <c r="I993" s="5"/>
      <c r="J993" s="5"/>
      <c r="K993" s="5"/>
      <c r="L993" s="5"/>
      <c r="M993" s="20"/>
      <c r="N993" s="5"/>
    </row>
    <row r="994" spans="1:14" ht="14.25" customHeight="1" x14ac:dyDescent="0.25">
      <c r="A994" s="5"/>
      <c r="B994" s="5"/>
      <c r="C994" s="5"/>
      <c r="D994" s="5"/>
      <c r="E994" s="5"/>
      <c r="F994" s="5"/>
      <c r="G994" s="5"/>
      <c r="H994" s="5"/>
      <c r="I994" s="5"/>
      <c r="J994" s="5"/>
      <c r="K994" s="5"/>
      <c r="L994" s="5"/>
      <c r="M994" s="20"/>
      <c r="N994" s="5"/>
    </row>
    <row r="995" spans="1:14" ht="14.25" customHeight="1" x14ac:dyDescent="0.25">
      <c r="A995" s="5"/>
      <c r="B995" s="5"/>
      <c r="C995" s="5"/>
      <c r="D995" s="5"/>
      <c r="E995" s="5"/>
      <c r="F995" s="5"/>
      <c r="G995" s="5"/>
      <c r="H995" s="5"/>
      <c r="I995" s="5"/>
      <c r="J995" s="5"/>
      <c r="K995" s="5"/>
      <c r="L995" s="5"/>
      <c r="M995" s="20"/>
      <c r="N995" s="5"/>
    </row>
    <row r="996" spans="1:14" ht="14.25" customHeight="1" x14ac:dyDescent="0.25">
      <c r="A996" s="5"/>
      <c r="B996" s="5"/>
      <c r="C996" s="5"/>
      <c r="D996" s="5"/>
      <c r="E996" s="5"/>
      <c r="F996" s="5"/>
      <c r="G996" s="5"/>
      <c r="H996" s="5"/>
      <c r="I996" s="5"/>
      <c r="J996" s="5"/>
      <c r="K996" s="5"/>
      <c r="L996" s="5"/>
      <c r="M996" s="20"/>
      <c r="N996" s="5"/>
    </row>
    <row r="997" spans="1:14" ht="14.25" customHeight="1" x14ac:dyDescent="0.25">
      <c r="A997" s="5"/>
      <c r="B997" s="5"/>
      <c r="C997" s="5"/>
      <c r="D997" s="5"/>
      <c r="E997" s="5"/>
      <c r="F997" s="5"/>
      <c r="G997" s="5"/>
      <c r="H997" s="5"/>
      <c r="I997" s="5"/>
      <c r="J997" s="5"/>
      <c r="K997" s="5"/>
      <c r="L997" s="5"/>
      <c r="M997" s="20"/>
      <c r="N997" s="5"/>
    </row>
    <row r="998" spans="1:14" ht="14.25" customHeight="1" x14ac:dyDescent="0.25">
      <c r="A998" s="5"/>
      <c r="B998" s="5"/>
      <c r="C998" s="5"/>
      <c r="D998" s="5"/>
      <c r="E998" s="5"/>
      <c r="F998" s="5"/>
      <c r="G998" s="5"/>
      <c r="H998" s="5"/>
      <c r="I998" s="5"/>
      <c r="J998" s="5"/>
      <c r="K998" s="5"/>
      <c r="L998" s="5"/>
      <c r="M998" s="20"/>
      <c r="N998" s="5"/>
    </row>
    <row r="999" spans="1:14" ht="14.25" customHeight="1" x14ac:dyDescent="0.25">
      <c r="A999" s="5"/>
      <c r="B999" s="5"/>
      <c r="C999" s="5"/>
      <c r="D999" s="5"/>
      <c r="E999" s="5"/>
      <c r="F999" s="5"/>
      <c r="G999" s="5"/>
      <c r="H999" s="5"/>
      <c r="I999" s="5"/>
      <c r="J999" s="5"/>
      <c r="K999" s="5"/>
      <c r="L999" s="5"/>
      <c r="M999" s="20"/>
      <c r="N999" s="5"/>
    </row>
    <row r="1000" spans="1:14" ht="14.25" customHeight="1" x14ac:dyDescent="0.25">
      <c r="A1000" s="5"/>
      <c r="B1000" s="5"/>
      <c r="C1000" s="5"/>
      <c r="D1000" s="5"/>
      <c r="E1000" s="5"/>
      <c r="F1000" s="5"/>
      <c r="G1000" s="5"/>
      <c r="H1000" s="5"/>
      <c r="I1000" s="5"/>
      <c r="J1000" s="5"/>
      <c r="K1000" s="5"/>
      <c r="L1000" s="5"/>
      <c r="M1000" s="20"/>
      <c r="N1000" s="5"/>
    </row>
    <row r="1001" spans="1:14" ht="14.25" customHeight="1" x14ac:dyDescent="0.25">
      <c r="A1001" s="5"/>
      <c r="B1001" s="5"/>
      <c r="C1001" s="5"/>
      <c r="D1001" s="5"/>
      <c r="E1001" s="5"/>
      <c r="F1001" s="5"/>
      <c r="G1001" s="5"/>
      <c r="H1001" s="5"/>
      <c r="I1001" s="5"/>
      <c r="J1001" s="5"/>
      <c r="K1001" s="5"/>
      <c r="L1001" s="5"/>
      <c r="M1001" s="20"/>
      <c r="N1001" s="5"/>
    </row>
    <row r="1002" spans="1:14" ht="14.25" customHeight="1" x14ac:dyDescent="0.25">
      <c r="A1002" s="5"/>
      <c r="B1002" s="5"/>
      <c r="C1002" s="5"/>
      <c r="D1002" s="5"/>
      <c r="E1002" s="5"/>
      <c r="F1002" s="5"/>
      <c r="G1002" s="5"/>
      <c r="H1002" s="5"/>
      <c r="I1002" s="5"/>
      <c r="J1002" s="5"/>
      <c r="K1002" s="5"/>
      <c r="L1002" s="5"/>
      <c r="M1002" s="20"/>
      <c r="N1002" s="5"/>
    </row>
    <row r="1003" spans="1:14" ht="14.25" customHeight="1" x14ac:dyDescent="0.25">
      <c r="A1003" s="5"/>
      <c r="B1003" s="5"/>
      <c r="C1003" s="5"/>
      <c r="D1003" s="5"/>
      <c r="E1003" s="5"/>
      <c r="F1003" s="5"/>
      <c r="G1003" s="5"/>
      <c r="H1003" s="5"/>
      <c r="I1003" s="5"/>
      <c r="J1003" s="5"/>
      <c r="K1003" s="5"/>
      <c r="L1003" s="5"/>
      <c r="M1003" s="20"/>
      <c r="N1003" s="5"/>
    </row>
    <row r="1004" spans="1:14" ht="14.25" customHeight="1" x14ac:dyDescent="0.25">
      <c r="A1004" s="5"/>
      <c r="B1004" s="5"/>
      <c r="C1004" s="5"/>
      <c r="D1004" s="5"/>
      <c r="E1004" s="5"/>
      <c r="F1004" s="5"/>
      <c r="G1004" s="5"/>
      <c r="H1004" s="5"/>
      <c r="I1004" s="5"/>
      <c r="J1004" s="5"/>
      <c r="K1004" s="5"/>
      <c r="L1004" s="5"/>
      <c r="M1004" s="20"/>
      <c r="N1004" s="5"/>
    </row>
    <row r="1005" spans="1:14" ht="14.25" customHeight="1" x14ac:dyDescent="0.25">
      <c r="A1005" s="5"/>
      <c r="B1005" s="5"/>
      <c r="C1005" s="5"/>
      <c r="D1005" s="5"/>
      <c r="E1005" s="5"/>
      <c r="F1005" s="5"/>
      <c r="G1005" s="5"/>
      <c r="H1005" s="5"/>
      <c r="I1005" s="5"/>
      <c r="J1005" s="5"/>
      <c r="K1005" s="5"/>
      <c r="L1005" s="5"/>
      <c r="M1005" s="20"/>
      <c r="N1005" s="5"/>
    </row>
    <row r="1006" spans="1:14" ht="14.25" customHeight="1" x14ac:dyDescent="0.25">
      <c r="A1006" s="5"/>
      <c r="B1006" s="5"/>
      <c r="C1006" s="5"/>
      <c r="D1006" s="5"/>
      <c r="E1006" s="5"/>
      <c r="F1006" s="5"/>
      <c r="G1006" s="5"/>
      <c r="H1006" s="5"/>
      <c r="I1006" s="5"/>
      <c r="J1006" s="5"/>
      <c r="K1006" s="5"/>
      <c r="L1006" s="5"/>
      <c r="M1006" s="20"/>
      <c r="N1006" s="5"/>
    </row>
    <row r="1007" spans="1:14" ht="14.25" customHeight="1" x14ac:dyDescent="0.25">
      <c r="A1007" s="5"/>
      <c r="B1007" s="5"/>
      <c r="C1007" s="5"/>
      <c r="D1007" s="5"/>
      <c r="E1007" s="5"/>
      <c r="F1007" s="5"/>
      <c r="G1007" s="5"/>
      <c r="H1007" s="5"/>
      <c r="I1007" s="5"/>
      <c r="J1007" s="5"/>
      <c r="K1007" s="5"/>
      <c r="L1007" s="5"/>
      <c r="M1007" s="20"/>
      <c r="N1007" s="5"/>
    </row>
    <row r="1008" spans="1:14" ht="14.25" customHeight="1" x14ac:dyDescent="0.25">
      <c r="A1008" s="5"/>
      <c r="B1008" s="5"/>
      <c r="C1008" s="5"/>
      <c r="D1008" s="5"/>
      <c r="E1008" s="5"/>
      <c r="F1008" s="5"/>
      <c r="G1008" s="5"/>
      <c r="H1008" s="5"/>
      <c r="I1008" s="5"/>
      <c r="J1008" s="5"/>
      <c r="K1008" s="5"/>
      <c r="L1008" s="5"/>
      <c r="M1008" s="20"/>
      <c r="N1008" s="5"/>
    </row>
    <row r="1009" spans="1:14" ht="14.25" customHeight="1" x14ac:dyDescent="0.25">
      <c r="A1009" s="5"/>
      <c r="B1009" s="5"/>
      <c r="C1009" s="5"/>
      <c r="D1009" s="5"/>
      <c r="E1009" s="5"/>
      <c r="F1009" s="5"/>
      <c r="G1009" s="5"/>
      <c r="H1009" s="5"/>
      <c r="I1009" s="5"/>
      <c r="J1009" s="5"/>
      <c r="K1009" s="5"/>
      <c r="L1009" s="5"/>
      <c r="M1009" s="20"/>
      <c r="N1009" s="5"/>
    </row>
    <row r="1010" spans="1:14" ht="14.25" customHeight="1" x14ac:dyDescent="0.25">
      <c r="A1010" s="5"/>
      <c r="B1010" s="5"/>
      <c r="C1010" s="5"/>
      <c r="D1010" s="5"/>
      <c r="E1010" s="5"/>
      <c r="F1010" s="5"/>
      <c r="G1010" s="5"/>
      <c r="H1010" s="5"/>
      <c r="I1010" s="5"/>
      <c r="J1010" s="5"/>
      <c r="K1010" s="5"/>
      <c r="L1010" s="5"/>
      <c r="M1010" s="20"/>
      <c r="N1010" s="5"/>
    </row>
    <row r="1011" spans="1:14" ht="14.25" customHeight="1" x14ac:dyDescent="0.25">
      <c r="A1011" s="5"/>
      <c r="B1011" s="5"/>
      <c r="C1011" s="5"/>
      <c r="D1011" s="5"/>
      <c r="E1011" s="5"/>
      <c r="F1011" s="5"/>
      <c r="G1011" s="5"/>
      <c r="H1011" s="5"/>
      <c r="I1011" s="5"/>
      <c r="J1011" s="5"/>
      <c r="K1011" s="5"/>
      <c r="L1011" s="5"/>
      <c r="M1011" s="20"/>
      <c r="N1011" s="5"/>
    </row>
    <row r="1012" spans="1:14" ht="14.25" customHeight="1" x14ac:dyDescent="0.25">
      <c r="A1012" s="5"/>
      <c r="B1012" s="5"/>
      <c r="C1012" s="5"/>
      <c r="D1012" s="5"/>
      <c r="E1012" s="5"/>
      <c r="F1012" s="5"/>
      <c r="G1012" s="5"/>
      <c r="H1012" s="5"/>
      <c r="I1012" s="5"/>
      <c r="J1012" s="5"/>
      <c r="K1012" s="5"/>
      <c r="L1012" s="5"/>
      <c r="M1012" s="20"/>
      <c r="N1012" s="5"/>
    </row>
    <row r="1013" spans="1:14" ht="14.25" customHeight="1" x14ac:dyDescent="0.25">
      <c r="A1013" s="5"/>
      <c r="B1013" s="5"/>
      <c r="C1013" s="5"/>
      <c r="D1013" s="5"/>
      <c r="E1013" s="5"/>
      <c r="F1013" s="5"/>
      <c r="G1013" s="5"/>
      <c r="H1013" s="5"/>
      <c r="I1013" s="5"/>
      <c r="J1013" s="5"/>
      <c r="K1013" s="5"/>
      <c r="L1013" s="5"/>
      <c r="M1013" s="20"/>
      <c r="N1013" s="5"/>
    </row>
    <row r="1014" spans="1:14" ht="14.25" customHeight="1" x14ac:dyDescent="0.25">
      <c r="A1014" s="5"/>
      <c r="B1014" s="5"/>
      <c r="C1014" s="5"/>
      <c r="D1014" s="5"/>
      <c r="E1014" s="5"/>
      <c r="F1014" s="5"/>
      <c r="G1014" s="5"/>
      <c r="H1014" s="5"/>
      <c r="I1014" s="5"/>
      <c r="J1014" s="5"/>
      <c r="K1014" s="5"/>
      <c r="L1014" s="5"/>
      <c r="M1014" s="20"/>
      <c r="N1014" s="5"/>
    </row>
    <row r="1015" spans="1:14" ht="14.25" customHeight="1" x14ac:dyDescent="0.25">
      <c r="A1015" s="5"/>
      <c r="B1015" s="5"/>
      <c r="C1015" s="5"/>
      <c r="D1015" s="5"/>
      <c r="E1015" s="5"/>
      <c r="F1015" s="5"/>
      <c r="G1015" s="5"/>
      <c r="H1015" s="5"/>
      <c r="I1015" s="5"/>
      <c r="J1015" s="5"/>
      <c r="K1015" s="5"/>
      <c r="L1015" s="5"/>
      <c r="M1015" s="20"/>
      <c r="N1015" s="5"/>
    </row>
    <row r="1016" spans="1:14" ht="14.25" customHeight="1" x14ac:dyDescent="0.25">
      <c r="A1016" s="5"/>
      <c r="B1016" s="5"/>
      <c r="C1016" s="5"/>
      <c r="D1016" s="5"/>
      <c r="E1016" s="5"/>
      <c r="F1016" s="5"/>
      <c r="G1016" s="5"/>
      <c r="H1016" s="5"/>
      <c r="I1016" s="5"/>
      <c r="J1016" s="5"/>
      <c r="K1016" s="5"/>
      <c r="L1016" s="5"/>
      <c r="M1016" s="20"/>
      <c r="N1016" s="5"/>
    </row>
    <row r="1017" spans="1:14" ht="14.25" customHeight="1" x14ac:dyDescent="0.25">
      <c r="A1017" s="5"/>
      <c r="B1017" s="5"/>
      <c r="C1017" s="5"/>
      <c r="D1017" s="5"/>
      <c r="E1017" s="5"/>
      <c r="F1017" s="5"/>
      <c r="G1017" s="5"/>
      <c r="H1017" s="5"/>
      <c r="I1017" s="5"/>
      <c r="J1017" s="5"/>
      <c r="K1017" s="5"/>
      <c r="L1017" s="5"/>
      <c r="M1017" s="20"/>
      <c r="N1017" s="5"/>
    </row>
    <row r="1018" spans="1:14" ht="14.25" customHeight="1" x14ac:dyDescent="0.25">
      <c r="A1018" s="5"/>
      <c r="B1018" s="5"/>
      <c r="C1018" s="5"/>
      <c r="D1018" s="5"/>
      <c r="E1018" s="5"/>
      <c r="F1018" s="5"/>
      <c r="G1018" s="5"/>
      <c r="H1018" s="5"/>
      <c r="I1018" s="5"/>
      <c r="J1018" s="5"/>
      <c r="K1018" s="5"/>
      <c r="L1018" s="5"/>
      <c r="M1018" s="20"/>
      <c r="N1018" s="5"/>
    </row>
    <row r="1019" spans="1:14" ht="14.25" customHeight="1" x14ac:dyDescent="0.25">
      <c r="A1019" s="5"/>
      <c r="B1019" s="5"/>
      <c r="C1019" s="5"/>
      <c r="D1019" s="5"/>
      <c r="E1019" s="5"/>
      <c r="F1019" s="5"/>
      <c r="G1019" s="5"/>
      <c r="H1019" s="5"/>
      <c r="I1019" s="5"/>
      <c r="J1019" s="5"/>
      <c r="K1019" s="5"/>
      <c r="L1019" s="5"/>
      <c r="M1019" s="20"/>
      <c r="N1019" s="5"/>
    </row>
    <row r="1020" spans="1:14" ht="14.25" customHeight="1" x14ac:dyDescent="0.25">
      <c r="A1020" s="5"/>
      <c r="B1020" s="5"/>
      <c r="C1020" s="5"/>
      <c r="D1020" s="5"/>
      <c r="E1020" s="5"/>
      <c r="F1020" s="5"/>
      <c r="G1020" s="5"/>
      <c r="H1020" s="5"/>
      <c r="I1020" s="5"/>
      <c r="J1020" s="5"/>
      <c r="K1020" s="5"/>
      <c r="L1020" s="5"/>
      <c r="M1020" s="20"/>
      <c r="N1020" s="5"/>
    </row>
    <row r="1021" spans="1:14" ht="14.25" customHeight="1" x14ac:dyDescent="0.25">
      <c r="A1021" s="5"/>
      <c r="B1021" s="5"/>
      <c r="C1021" s="5"/>
      <c r="D1021" s="5"/>
      <c r="E1021" s="5"/>
      <c r="F1021" s="5"/>
      <c r="G1021" s="5"/>
      <c r="H1021" s="5"/>
      <c r="I1021" s="5"/>
      <c r="J1021" s="5"/>
      <c r="K1021" s="5"/>
      <c r="L1021" s="5"/>
      <c r="M1021" s="20"/>
      <c r="N1021" s="5"/>
    </row>
    <row r="1022" spans="1:14" ht="14.25" customHeight="1" x14ac:dyDescent="0.25">
      <c r="A1022" s="5"/>
      <c r="B1022" s="5"/>
      <c r="C1022" s="5"/>
      <c r="D1022" s="5"/>
      <c r="E1022" s="5"/>
      <c r="F1022" s="5"/>
      <c r="G1022" s="5"/>
      <c r="H1022" s="5"/>
      <c r="I1022" s="5"/>
      <c r="J1022" s="5"/>
      <c r="K1022" s="5"/>
      <c r="L1022" s="5"/>
      <c r="M1022" s="20"/>
      <c r="N1022" s="5"/>
    </row>
    <row r="1023" spans="1:14" ht="14.25" customHeight="1" x14ac:dyDescent="0.25">
      <c r="A1023" s="5"/>
      <c r="B1023" s="5"/>
      <c r="C1023" s="5"/>
      <c r="D1023" s="5"/>
      <c r="E1023" s="5"/>
      <c r="F1023" s="5"/>
      <c r="G1023" s="5"/>
      <c r="H1023" s="5"/>
      <c r="I1023" s="5"/>
      <c r="J1023" s="5"/>
      <c r="K1023" s="5"/>
      <c r="L1023" s="5"/>
      <c r="M1023" s="20"/>
      <c r="N1023" s="5"/>
    </row>
    <row r="1024" spans="1:14" ht="14.25" customHeight="1" x14ac:dyDescent="0.25">
      <c r="A1024" s="5"/>
      <c r="B1024" s="5"/>
      <c r="C1024" s="5"/>
      <c r="D1024" s="5"/>
      <c r="E1024" s="5"/>
      <c r="F1024" s="5"/>
      <c r="G1024" s="5"/>
      <c r="H1024" s="5"/>
      <c r="I1024" s="5"/>
      <c r="J1024" s="5"/>
      <c r="K1024" s="5"/>
      <c r="L1024" s="5"/>
      <c r="M1024" s="20"/>
      <c r="N1024" s="5"/>
    </row>
    <row r="1025" spans="1:14" ht="14.25" customHeight="1" x14ac:dyDescent="0.25">
      <c r="A1025" s="5"/>
      <c r="B1025" s="5"/>
      <c r="C1025" s="5"/>
      <c r="D1025" s="5"/>
      <c r="E1025" s="5"/>
      <c r="F1025" s="5"/>
      <c r="G1025" s="5"/>
      <c r="H1025" s="5"/>
      <c r="I1025" s="5"/>
      <c r="J1025" s="5"/>
      <c r="K1025" s="5"/>
      <c r="L1025" s="5"/>
      <c r="M1025" s="20"/>
      <c r="N1025" s="5"/>
    </row>
    <row r="1026" spans="1:14" ht="14.25" customHeight="1" x14ac:dyDescent="0.25">
      <c r="A1026" s="5"/>
      <c r="B1026" s="5"/>
      <c r="C1026" s="5"/>
      <c r="D1026" s="5"/>
      <c r="E1026" s="5"/>
      <c r="F1026" s="5"/>
      <c r="G1026" s="5"/>
      <c r="H1026" s="5"/>
      <c r="I1026" s="5"/>
      <c r="J1026" s="5"/>
      <c r="K1026" s="5"/>
      <c r="L1026" s="5"/>
      <c r="M1026" s="20"/>
      <c r="N1026" s="5"/>
    </row>
    <row r="1027" spans="1:14" ht="14.25" customHeight="1" x14ac:dyDescent="0.25">
      <c r="A1027" s="5"/>
      <c r="B1027" s="5"/>
      <c r="C1027" s="5"/>
      <c r="D1027" s="5"/>
      <c r="E1027" s="5"/>
      <c r="F1027" s="5"/>
      <c r="G1027" s="5"/>
      <c r="H1027" s="5"/>
      <c r="I1027" s="5"/>
      <c r="J1027" s="5"/>
      <c r="K1027" s="5"/>
      <c r="L1027" s="5"/>
      <c r="M1027" s="20"/>
      <c r="N1027" s="5"/>
    </row>
    <row r="1028" spans="1:14" ht="14.25" customHeight="1" x14ac:dyDescent="0.25">
      <c r="A1028" s="5"/>
      <c r="B1028" s="5"/>
      <c r="C1028" s="5"/>
      <c r="D1028" s="5"/>
      <c r="E1028" s="5"/>
      <c r="F1028" s="5"/>
      <c r="G1028" s="5"/>
      <c r="H1028" s="5"/>
      <c r="I1028" s="5"/>
      <c r="J1028" s="5"/>
      <c r="K1028" s="5"/>
      <c r="L1028" s="5"/>
      <c r="M1028" s="20"/>
      <c r="N1028" s="5"/>
    </row>
    <row r="1029" spans="1:14" ht="14.25" customHeight="1" x14ac:dyDescent="0.25">
      <c r="A1029" s="5"/>
      <c r="B1029" s="5"/>
      <c r="C1029" s="5"/>
      <c r="D1029" s="5"/>
      <c r="E1029" s="5"/>
      <c r="F1029" s="5"/>
      <c r="G1029" s="5"/>
      <c r="H1029" s="5"/>
      <c r="I1029" s="5"/>
      <c r="J1029" s="5"/>
      <c r="K1029" s="5"/>
      <c r="L1029" s="5"/>
      <c r="M1029" s="20"/>
      <c r="N1029" s="5"/>
    </row>
    <row r="1030" spans="1:14" ht="14.25" customHeight="1" x14ac:dyDescent="0.25">
      <c r="A1030" s="5"/>
      <c r="B1030" s="5"/>
      <c r="C1030" s="5"/>
      <c r="D1030" s="5"/>
      <c r="E1030" s="5"/>
      <c r="F1030" s="5"/>
      <c r="G1030" s="5"/>
      <c r="H1030" s="5"/>
      <c r="I1030" s="5"/>
      <c r="J1030" s="5"/>
      <c r="K1030" s="5"/>
      <c r="L1030" s="5"/>
      <c r="M1030" s="20"/>
      <c r="N1030" s="5"/>
    </row>
    <row r="1031" spans="1:14" ht="14.25" customHeight="1" x14ac:dyDescent="0.25">
      <c r="A1031" s="5"/>
      <c r="B1031" s="5"/>
      <c r="C1031" s="5"/>
      <c r="D1031" s="5"/>
      <c r="E1031" s="5"/>
      <c r="F1031" s="5"/>
      <c r="G1031" s="5"/>
      <c r="H1031" s="5"/>
      <c r="I1031" s="5"/>
      <c r="J1031" s="5"/>
      <c r="K1031" s="5"/>
      <c r="L1031" s="5"/>
      <c r="M1031" s="20"/>
      <c r="N1031" s="5"/>
    </row>
    <row r="1032" spans="1:14" ht="14.25" customHeight="1" x14ac:dyDescent="0.25">
      <c r="A1032" s="5"/>
      <c r="B1032" s="5"/>
      <c r="C1032" s="5"/>
      <c r="D1032" s="5"/>
      <c r="E1032" s="5"/>
      <c r="F1032" s="5"/>
      <c r="G1032" s="5"/>
      <c r="H1032" s="5"/>
      <c r="I1032" s="5"/>
      <c r="J1032" s="5"/>
      <c r="K1032" s="5"/>
      <c r="L1032" s="5"/>
      <c r="M1032" s="20"/>
      <c r="N1032" s="5"/>
    </row>
    <row r="1033" spans="1:14" ht="14.25" customHeight="1" x14ac:dyDescent="0.25">
      <c r="A1033" s="5"/>
      <c r="B1033" s="5"/>
      <c r="C1033" s="5"/>
      <c r="D1033" s="5"/>
      <c r="E1033" s="5"/>
      <c r="F1033" s="5"/>
      <c r="G1033" s="5"/>
      <c r="H1033" s="5"/>
      <c r="I1033" s="5"/>
      <c r="J1033" s="5"/>
      <c r="K1033" s="5"/>
      <c r="L1033" s="5"/>
      <c r="M1033" s="20"/>
      <c r="N1033" s="5"/>
    </row>
    <row r="1034" spans="1:14" ht="14.25" customHeight="1" x14ac:dyDescent="0.25">
      <c r="A1034" s="5"/>
      <c r="B1034" s="5"/>
      <c r="C1034" s="5"/>
      <c r="D1034" s="5"/>
      <c r="E1034" s="5"/>
      <c r="F1034" s="5"/>
      <c r="G1034" s="5"/>
      <c r="H1034" s="5"/>
      <c r="I1034" s="5"/>
      <c r="J1034" s="5"/>
      <c r="K1034" s="5"/>
      <c r="L1034" s="5"/>
      <c r="M1034" s="20"/>
      <c r="N1034" s="5"/>
    </row>
    <row r="1035" spans="1:14" ht="14.25" customHeight="1" x14ac:dyDescent="0.25">
      <c r="A1035" s="5"/>
      <c r="B1035" s="5"/>
      <c r="C1035" s="5"/>
      <c r="D1035" s="5"/>
      <c r="E1035" s="5"/>
      <c r="F1035" s="5"/>
      <c r="G1035" s="5"/>
      <c r="H1035" s="5"/>
      <c r="I1035" s="5"/>
      <c r="J1035" s="5"/>
      <c r="K1035" s="5"/>
      <c r="L1035" s="5"/>
      <c r="M1035" s="20"/>
      <c r="N1035" s="5"/>
    </row>
  </sheetData>
  <phoneticPr fontId="1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57"/>
  <sheetViews>
    <sheetView showGridLines="0" workbookViewId="0">
      <pane xSplit="2" ySplit="3" topLeftCell="R33" activePane="bottomRight" state="frozen"/>
      <selection pane="topRight"/>
      <selection pane="bottomLeft"/>
      <selection pane="bottomRight" activeCell="AE24" sqref="AE24"/>
    </sheetView>
  </sheetViews>
  <sheetFormatPr defaultRowHeight="15" x14ac:dyDescent="0.25"/>
  <cols>
    <col min="1" max="1" width="10" customWidth="1"/>
    <col min="2" max="2" width="18" customWidth="1"/>
    <col min="3" max="3" width="9" customWidth="1"/>
    <col min="4" max="5" width="14" customWidth="1"/>
    <col min="6" max="6" width="18" customWidth="1"/>
    <col min="7" max="7" width="28" customWidth="1"/>
    <col min="8" max="8" width="16" customWidth="1"/>
    <col min="9" max="10" width="12" customWidth="1"/>
    <col min="11" max="15" width="16" customWidth="1"/>
    <col min="16" max="16" width="30" customWidth="1"/>
    <col min="17" max="22" width="16" customWidth="1"/>
    <col min="23" max="23" width="30" customWidth="1"/>
    <col min="24" max="30" width="16" customWidth="1"/>
    <col min="31" max="31" width="30" customWidth="1"/>
  </cols>
  <sheetData>
    <row r="1" spans="1:31" x14ac:dyDescent="0.25">
      <c r="A1" s="47" t="s">
        <v>493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c r="AE1" s="21"/>
    </row>
    <row r="2" spans="1:31" x14ac:dyDescent="0.25">
      <c r="A2" s="43" t="s">
        <v>494</v>
      </c>
      <c r="B2" s="44"/>
      <c r="C2" s="44"/>
      <c r="D2" s="44"/>
      <c r="E2" s="44"/>
      <c r="F2" s="44"/>
      <c r="G2" s="44"/>
      <c r="H2" s="44"/>
      <c r="I2" s="44"/>
      <c r="J2" s="44"/>
      <c r="K2" s="44"/>
      <c r="L2" s="44"/>
      <c r="M2" s="44"/>
      <c r="N2" s="44"/>
      <c r="O2" s="44"/>
      <c r="P2" s="44"/>
      <c r="Q2" s="44"/>
      <c r="R2" s="44"/>
      <c r="S2" s="44"/>
      <c r="T2" s="44"/>
      <c r="U2" s="45"/>
      <c r="V2" s="44"/>
      <c r="W2" s="45"/>
      <c r="X2" s="21"/>
      <c r="Y2" s="21"/>
      <c r="Z2" s="21"/>
      <c r="AA2" s="21"/>
      <c r="AB2" s="21"/>
      <c r="AC2" s="21"/>
      <c r="AD2" s="21"/>
      <c r="AE2" s="21"/>
    </row>
    <row r="3" spans="1:31" ht="25.5" x14ac:dyDescent="0.25">
      <c r="A3" s="46" t="s">
        <v>495</v>
      </c>
      <c r="B3" s="46" t="s">
        <v>51</v>
      </c>
      <c r="C3" s="46" t="s">
        <v>52</v>
      </c>
      <c r="D3" s="46" t="s">
        <v>53</v>
      </c>
      <c r="E3" s="46" t="s">
        <v>54</v>
      </c>
      <c r="F3" s="46" t="s">
        <v>55</v>
      </c>
      <c r="G3" s="46" t="s">
        <v>496</v>
      </c>
      <c r="H3" s="46" t="s">
        <v>154</v>
      </c>
      <c r="I3" s="46" t="s">
        <v>155</v>
      </c>
      <c r="J3" s="46" t="s">
        <v>497</v>
      </c>
      <c r="K3" s="46" t="s">
        <v>158</v>
      </c>
      <c r="L3" s="46" t="s">
        <v>159</v>
      </c>
      <c r="M3" s="46" t="s">
        <v>498</v>
      </c>
      <c r="N3" s="46" t="s">
        <v>499</v>
      </c>
      <c r="O3" s="46" t="s">
        <v>500</v>
      </c>
      <c r="P3" s="46" t="s">
        <v>501</v>
      </c>
      <c r="Q3" s="46" t="s">
        <v>502</v>
      </c>
      <c r="R3" s="46" t="s">
        <v>503</v>
      </c>
      <c r="S3" s="46" t="s">
        <v>504</v>
      </c>
      <c r="T3" s="46" t="s">
        <v>505</v>
      </c>
      <c r="U3" s="46" t="s">
        <v>506</v>
      </c>
      <c r="V3" s="46" t="s">
        <v>56</v>
      </c>
      <c r="W3" s="46" t="s">
        <v>3</v>
      </c>
      <c r="X3" s="21"/>
      <c r="Y3" s="21"/>
      <c r="Z3" s="21"/>
      <c r="AA3" s="21"/>
      <c r="AB3" s="21"/>
      <c r="AC3" s="21"/>
      <c r="AD3" s="21"/>
      <c r="AE3" s="21"/>
    </row>
    <row r="4" spans="1:31" x14ac:dyDescent="0.25">
      <c r="A4" s="27">
        <f>ROW(Cost!A9)</f>
        <v>9</v>
      </c>
      <c r="B4" s="27" t="str">
        <f>Cost!A9</f>
        <v>Lee and Kim</v>
      </c>
      <c r="C4" s="27">
        <f>Cost!B9</f>
        <v>2026</v>
      </c>
      <c r="D4" s="27" t="str">
        <f>Cost!C9</f>
        <v>South Korea</v>
      </c>
      <c r="E4" s="27" t="str">
        <f>Cost!D9</f>
        <v>Asia</v>
      </c>
      <c r="F4" s="27" t="str">
        <f>Cost!E9</f>
        <v>Intracity</v>
      </c>
      <c r="G4" s="27" t="str">
        <f>Cost!F9</f>
        <v>957.55-1,224.81</v>
      </c>
      <c r="H4" s="27" t="str">
        <f>Cost!G9</f>
        <v>KRW/km</v>
      </c>
      <c r="I4" s="28">
        <f>Cost!H9</f>
        <v>1524.5</v>
      </c>
      <c r="J4" s="28">
        <f>Cost!I9</f>
        <v>1</v>
      </c>
      <c r="K4" s="28">
        <v>50000</v>
      </c>
      <c r="L4" s="28">
        <v>100000</v>
      </c>
      <c r="M4" s="28">
        <v>13</v>
      </c>
      <c r="N4" s="28">
        <v>20</v>
      </c>
      <c r="O4" s="28">
        <v>241</v>
      </c>
      <c r="P4" s="28">
        <f>K4/(M4/60*241)</f>
        <v>957.54867539099905</v>
      </c>
      <c r="Q4" s="28">
        <f>L4/(N4/60*O4)</f>
        <v>1244.8132780082988</v>
      </c>
      <c r="R4" s="28">
        <v>957.55</v>
      </c>
      <c r="S4" s="28">
        <v>1224.81</v>
      </c>
      <c r="T4" s="28">
        <f t="shared" ref="T4:T16" si="0">R4/I4*J4</f>
        <v>0.62810757625450964</v>
      </c>
      <c r="U4" s="28">
        <f t="shared" ref="U4:U16" si="1">S4/I4*J4</f>
        <v>0.80341751393899641</v>
      </c>
      <c r="V4" s="28">
        <f t="shared" ref="V4:V16" si="2">AVERAGE(T4)</f>
        <v>0.62810757625450964</v>
      </c>
      <c r="W4" s="27" t="str">
        <f>IF(Cost!N9="","",Cost!N9)</f>
        <v/>
      </c>
      <c r="X4" s="21"/>
      <c r="Y4" s="21"/>
      <c r="Z4" s="21"/>
      <c r="AA4" s="21"/>
      <c r="AB4" s="21"/>
      <c r="AC4" s="21"/>
      <c r="AD4" s="21"/>
      <c r="AE4" s="21"/>
    </row>
    <row r="5" spans="1:31" x14ac:dyDescent="0.25">
      <c r="A5" s="27">
        <f>ROW(Cost!A10)</f>
        <v>10</v>
      </c>
      <c r="B5" s="27" t="str">
        <f>Cost!A10</f>
        <v>Lee and Kim</v>
      </c>
      <c r="C5" s="27">
        <f>Cost!B10</f>
        <v>2026</v>
      </c>
      <c r="D5" s="27" t="str">
        <f>Cost!C10</f>
        <v>South Korea</v>
      </c>
      <c r="E5" s="27" t="str">
        <f>Cost!D10</f>
        <v>Asia</v>
      </c>
      <c r="F5" s="27" t="str">
        <f>Cost!E10</f>
        <v>Airport shuttle</v>
      </c>
      <c r="G5" s="27" t="str">
        <f>Cost!F10</f>
        <v>1,244.81-1,422.64</v>
      </c>
      <c r="H5" s="27" t="str">
        <f>Cost!G10</f>
        <v>KRW/km</v>
      </c>
      <c r="I5" s="28">
        <f>Cost!H10</f>
        <v>1524.5</v>
      </c>
      <c r="J5" s="28">
        <f>Cost!I10</f>
        <v>1</v>
      </c>
      <c r="K5" s="28">
        <v>100000</v>
      </c>
      <c r="L5" s="28">
        <v>200000</v>
      </c>
      <c r="M5" s="28">
        <v>20</v>
      </c>
      <c r="N5" s="28">
        <v>35</v>
      </c>
      <c r="O5" s="28">
        <v>241</v>
      </c>
      <c r="P5" s="28">
        <f>K5/(M5/60*O5)</f>
        <v>1244.8132780082988</v>
      </c>
      <c r="Q5" s="28">
        <f>L5/(N5/60*O5)</f>
        <v>1422.6437462951985</v>
      </c>
      <c r="R5" s="28">
        <v>1244.81</v>
      </c>
      <c r="S5" s="28">
        <v>1422.64</v>
      </c>
      <c r="T5" s="28">
        <f t="shared" si="0"/>
        <v>0.81653656936700558</v>
      </c>
      <c r="U5" s="28">
        <f t="shared" si="1"/>
        <v>0.93318465070514933</v>
      </c>
      <c r="V5" s="28">
        <f t="shared" si="2"/>
        <v>0.81653656936700558</v>
      </c>
      <c r="W5" s="27" t="str">
        <f>IF(Cost!N10="","",Cost!N10)</f>
        <v/>
      </c>
      <c r="X5" s="21"/>
      <c r="Y5" s="21"/>
      <c r="Z5" s="21"/>
      <c r="AA5" s="21"/>
      <c r="AB5" s="21"/>
      <c r="AC5" s="21"/>
      <c r="AD5" s="21"/>
      <c r="AE5" s="21"/>
    </row>
    <row r="6" spans="1:31" x14ac:dyDescent="0.25">
      <c r="A6" s="27">
        <f>ROW(Cost!A12)</f>
        <v>12</v>
      </c>
      <c r="B6" s="27" t="str">
        <f>Cost!A12</f>
        <v>Nazari</v>
      </c>
      <c r="C6" s="27">
        <f>Cost!B12</f>
        <v>2026</v>
      </c>
      <c r="D6" s="27" t="str">
        <f>Cost!C12</f>
        <v>US</v>
      </c>
      <c r="E6" s="27" t="str">
        <f>Cost!D12</f>
        <v>US</v>
      </c>
      <c r="F6" s="27" t="str">
        <f>Cost!E12</f>
        <v>Airport shuttle</v>
      </c>
      <c r="G6" s="27" t="str">
        <f>Cost!F12</f>
        <v>75-125</v>
      </c>
      <c r="H6" s="27" t="str">
        <f>Cost!G12</f>
        <v>USD/journey</v>
      </c>
      <c r="I6" s="28">
        <f>Cost!H12</f>
        <v>1</v>
      </c>
      <c r="J6" s="28">
        <f>Cost!I12</f>
        <v>1</v>
      </c>
      <c r="K6" s="28">
        <v>75</v>
      </c>
      <c r="L6" s="28">
        <v>125</v>
      </c>
      <c r="M6" s="28">
        <v>15</v>
      </c>
      <c r="N6" s="28">
        <v>25</v>
      </c>
      <c r="O6" s="28">
        <f>(241+322)/2</f>
        <v>281.5</v>
      </c>
      <c r="P6" s="28">
        <f t="shared" ref="P6:P12" si="3">K6/(O6*N6/60)</f>
        <v>0.63943161634103018</v>
      </c>
      <c r="Q6" s="28">
        <f>L6/(O6*M6/60)</f>
        <v>1.7761989342806395</v>
      </c>
      <c r="R6" s="28">
        <f>ROUND(P6,2)</f>
        <v>0.64</v>
      </c>
      <c r="S6" s="28">
        <f>ROUND(Q6,2)</f>
        <v>1.78</v>
      </c>
      <c r="T6" s="28">
        <f t="shared" si="0"/>
        <v>0.64</v>
      </c>
      <c r="U6" s="28">
        <f t="shared" si="1"/>
        <v>1.78</v>
      </c>
      <c r="V6" s="28">
        <f t="shared" si="2"/>
        <v>0.64</v>
      </c>
      <c r="W6" s="27" t="str">
        <f>IF(Cost!N12="","",Cost!N12)</f>
        <v/>
      </c>
      <c r="X6" s="21"/>
      <c r="Y6" s="21"/>
      <c r="Z6" s="21"/>
      <c r="AA6" s="21"/>
      <c r="AB6" s="21"/>
      <c r="AC6" s="21"/>
      <c r="AD6" s="21"/>
      <c r="AE6" s="21"/>
    </row>
    <row r="7" spans="1:31" x14ac:dyDescent="0.25">
      <c r="A7" s="27">
        <f>ROW(Cost!A18)</f>
        <v>18</v>
      </c>
      <c r="B7" s="27" t="str">
        <f>Cost!A18</f>
        <v>Belgiawan</v>
      </c>
      <c r="C7" s="27">
        <f>Cost!B18</f>
        <v>2025</v>
      </c>
      <c r="D7" s="27" t="str">
        <f>Cost!C18</f>
        <v>Indonesia</v>
      </c>
      <c r="E7" s="27" t="str">
        <f>Cost!D18</f>
        <v>Asia</v>
      </c>
      <c r="F7" s="27" t="str">
        <f>Cost!E18</f>
        <v>Airport shuttle</v>
      </c>
      <c r="G7" s="27" t="str">
        <f>Cost!F18</f>
        <v>62-187</v>
      </c>
      <c r="H7" s="27" t="str">
        <f>Cost!G18</f>
        <v>USD/journey</v>
      </c>
      <c r="I7" s="28">
        <f>Cost!H18</f>
        <v>1</v>
      </c>
      <c r="J7" s="28">
        <f>Cost!I18</f>
        <v>1.0289412059190517</v>
      </c>
      <c r="K7" s="28">
        <v>20</v>
      </c>
      <c r="L7" s="28">
        <v>60</v>
      </c>
      <c r="M7" s="28">
        <v>12</v>
      </c>
      <c r="N7" s="28">
        <v>18</v>
      </c>
      <c r="O7" s="28">
        <v>120</v>
      </c>
      <c r="P7" s="28">
        <f t="shared" si="3"/>
        <v>0.55555555555555558</v>
      </c>
      <c r="Q7" s="28">
        <f>L7/(120*M7/60)</f>
        <v>2.5</v>
      </c>
      <c r="R7" s="28">
        <v>2.4900000000000002</v>
      </c>
      <c r="S7" s="28">
        <v>7.47</v>
      </c>
      <c r="T7" s="28">
        <f t="shared" si="0"/>
        <v>2.5620636027384389</v>
      </c>
      <c r="U7" s="28">
        <f t="shared" si="1"/>
        <v>7.6861908082153159</v>
      </c>
      <c r="V7" s="28">
        <f t="shared" si="2"/>
        <v>2.5620636027384389</v>
      </c>
      <c r="W7" s="27" t="str">
        <f>IF(Cost!N18="","",Cost!N18)</f>
        <v/>
      </c>
      <c r="X7" s="21"/>
      <c r="Y7" s="21"/>
      <c r="Z7" s="21"/>
      <c r="AA7" s="21"/>
      <c r="AB7" s="21"/>
      <c r="AC7" s="21"/>
      <c r="AD7" s="21"/>
      <c r="AE7" s="21"/>
    </row>
    <row r="8" spans="1:31" x14ac:dyDescent="0.25">
      <c r="A8" s="27">
        <f>ROW(Cost!A27)</f>
        <v>27</v>
      </c>
      <c r="B8" s="27" t="str">
        <f>Cost!A27</f>
        <v>Sunitivon</v>
      </c>
      <c r="C8" s="27">
        <f>Cost!B27</f>
        <v>2025</v>
      </c>
      <c r="D8" s="27" t="str">
        <f>Cost!C27</f>
        <v>Indonesia</v>
      </c>
      <c r="E8" s="27" t="str">
        <f>Cost!D27</f>
        <v>Asia</v>
      </c>
      <c r="F8" s="27" t="str">
        <f>Cost!E27</f>
        <v>Airport shuttle</v>
      </c>
      <c r="G8" s="27" t="str">
        <f>Cost!F27</f>
        <v>300-900</v>
      </c>
      <c r="H8" s="27" t="str">
        <f>Cost!G27</f>
        <v>IDR/journey</v>
      </c>
      <c r="I8" s="28">
        <f>Cost!H27</f>
        <v>16649.990000000002</v>
      </c>
      <c r="J8" s="28">
        <f>Cost!I27</f>
        <v>1.0289412059190517</v>
      </c>
      <c r="K8" s="28">
        <v>300</v>
      </c>
      <c r="L8" s="28">
        <v>900</v>
      </c>
      <c r="M8" s="28">
        <v>5</v>
      </c>
      <c r="N8" s="28">
        <v>15</v>
      </c>
      <c r="O8" s="28">
        <v>241</v>
      </c>
      <c r="P8" s="28">
        <f t="shared" si="3"/>
        <v>4.9792531120331951</v>
      </c>
      <c r="Q8" s="28">
        <f>L8/(O8*M8/60)</f>
        <v>44.813278008298759</v>
      </c>
      <c r="R8" s="28">
        <f t="shared" ref="R8:S12" si="4">P8</f>
        <v>4.9792531120331951</v>
      </c>
      <c r="S8" s="28">
        <f t="shared" si="4"/>
        <v>44.813278008298759</v>
      </c>
      <c r="T8" s="28">
        <f t="shared" si="0"/>
        <v>3.0770941614208935E-4</v>
      </c>
      <c r="U8" s="28">
        <f t="shared" si="1"/>
        <v>2.7693847452788046E-3</v>
      </c>
      <c r="V8" s="28">
        <f t="shared" si="2"/>
        <v>3.0770941614208935E-4</v>
      </c>
      <c r="W8" s="27" t="str">
        <f>IF(Cost!N27="","",Cost!N27)</f>
        <v/>
      </c>
      <c r="X8" s="21"/>
      <c r="Y8" s="21"/>
      <c r="Z8" s="21"/>
      <c r="AA8" s="21"/>
      <c r="AB8" s="21"/>
      <c r="AC8" s="21"/>
      <c r="AD8" s="21"/>
      <c r="AE8" s="21"/>
    </row>
    <row r="9" spans="1:31" x14ac:dyDescent="0.25">
      <c r="A9" s="27">
        <f>ROW(Cost!A44)</f>
        <v>44</v>
      </c>
      <c r="B9" s="27" t="str">
        <f>Cost!A44</f>
        <v>Coppola (b)</v>
      </c>
      <c r="C9" s="27">
        <f>Cost!B44</f>
        <v>2024</v>
      </c>
      <c r="D9" s="27" t="str">
        <f>Cost!C44</f>
        <v>Italy</v>
      </c>
      <c r="E9" s="27" t="str">
        <f>Cost!D44</f>
        <v>Europe</v>
      </c>
      <c r="F9" s="27" t="str">
        <f>Cost!E44</f>
        <v>Airport shuttle</v>
      </c>
      <c r="G9" s="27" t="str">
        <f>Cost!F44</f>
        <v>40-80</v>
      </c>
      <c r="H9" s="27" t="str">
        <f>Cost!G44</f>
        <v>EUR/journey</v>
      </c>
      <c r="I9" s="28">
        <f>Cost!H44</f>
        <v>0.89300000000000002</v>
      </c>
      <c r="J9" s="28">
        <f>Cost!I44</f>
        <v>1.0560465766190312</v>
      </c>
      <c r="K9" s="28">
        <v>40</v>
      </c>
      <c r="L9" s="28">
        <v>80</v>
      </c>
      <c r="M9" s="28">
        <v>10</v>
      </c>
      <c r="N9" s="28">
        <v>20</v>
      </c>
      <c r="O9" s="28">
        <v>241</v>
      </c>
      <c r="P9" s="28">
        <f t="shared" si="3"/>
        <v>0.49792531120331951</v>
      </c>
      <c r="Q9" s="28">
        <f>L9/(O9*M9/60)</f>
        <v>1.991701244813278</v>
      </c>
      <c r="R9" s="28">
        <f t="shared" si="4"/>
        <v>0.49792531120331951</v>
      </c>
      <c r="S9" s="28">
        <f t="shared" si="4"/>
        <v>1.991701244813278</v>
      </c>
      <c r="T9" s="28">
        <f t="shared" si="0"/>
        <v>0.58883798466767223</v>
      </c>
      <c r="U9" s="28">
        <f t="shared" si="1"/>
        <v>2.3553519386706889</v>
      </c>
      <c r="V9" s="28">
        <f t="shared" si="2"/>
        <v>0.58883798466767223</v>
      </c>
      <c r="W9" s="27" t="str">
        <f>IF(Cost!N44="","",Cost!N44)</f>
        <v>travel with a party and travel under 60 mins</v>
      </c>
      <c r="X9" s="21"/>
      <c r="Y9" s="21"/>
      <c r="Z9" s="21"/>
      <c r="AA9" s="21"/>
      <c r="AB9" s="21"/>
      <c r="AC9" s="21"/>
      <c r="AD9" s="21"/>
      <c r="AE9" s="21"/>
    </row>
    <row r="10" spans="1:31" x14ac:dyDescent="0.25">
      <c r="A10" s="27">
        <f>ROW(Cost!A45)</f>
        <v>45</v>
      </c>
      <c r="B10" s="27" t="str">
        <f>Cost!A45</f>
        <v>Coppola (b)</v>
      </c>
      <c r="C10" s="27">
        <f>Cost!B45</f>
        <v>2024</v>
      </c>
      <c r="D10" s="27" t="str">
        <f>Cost!C45</f>
        <v>Italy</v>
      </c>
      <c r="E10" s="27" t="str">
        <f>Cost!D45</f>
        <v>Europe</v>
      </c>
      <c r="F10" s="27" t="str">
        <f>Cost!E45</f>
        <v>Airport shuttle</v>
      </c>
      <c r="G10" s="27" t="str">
        <f>Cost!F45</f>
        <v>75-125</v>
      </c>
      <c r="H10" s="27" t="str">
        <f>Cost!G45</f>
        <v>EUR/journey</v>
      </c>
      <c r="I10" s="28">
        <f>Cost!H45</f>
        <v>0.89300000000000002</v>
      </c>
      <c r="J10" s="28">
        <f>Cost!I45</f>
        <v>1.0560465766190312</v>
      </c>
      <c r="K10" s="28">
        <v>75</v>
      </c>
      <c r="L10" s="28">
        <v>125</v>
      </c>
      <c r="M10" s="28">
        <v>20</v>
      </c>
      <c r="N10" s="28">
        <v>30</v>
      </c>
      <c r="O10" s="28">
        <v>241</v>
      </c>
      <c r="P10" s="28">
        <f t="shared" si="3"/>
        <v>0.62240663900414939</v>
      </c>
      <c r="Q10" s="28">
        <f>L10/(O10*M10/60)</f>
        <v>1.5560165975103735</v>
      </c>
      <c r="R10" s="28">
        <f t="shared" si="4"/>
        <v>0.62240663900414939</v>
      </c>
      <c r="S10" s="28">
        <f t="shared" si="4"/>
        <v>1.5560165975103735</v>
      </c>
      <c r="T10" s="28">
        <f t="shared" si="0"/>
        <v>0.73604748083459037</v>
      </c>
      <c r="U10" s="28">
        <f t="shared" si="1"/>
        <v>1.8401187020864758</v>
      </c>
      <c r="V10" s="28">
        <f t="shared" si="2"/>
        <v>0.73604748083459037</v>
      </c>
      <c r="W10" s="27" t="str">
        <f>IF(Cost!N45="","",Cost!N45)</f>
        <v>travel with a party and travel over 60 mins</v>
      </c>
      <c r="X10" s="21"/>
      <c r="Y10" s="21"/>
      <c r="Z10" s="21"/>
      <c r="AA10" s="21"/>
      <c r="AB10" s="21"/>
      <c r="AC10" s="21"/>
      <c r="AD10" s="21"/>
      <c r="AE10" s="21"/>
    </row>
    <row r="11" spans="1:31" x14ac:dyDescent="0.25">
      <c r="A11" s="27">
        <f>ROW(Cost!A46)</f>
        <v>46</v>
      </c>
      <c r="B11" s="27" t="str">
        <f>Cost!A46</f>
        <v>Coppola (b)</v>
      </c>
      <c r="C11" s="27">
        <f>Cost!B46</f>
        <v>2024</v>
      </c>
      <c r="D11" s="27" t="str">
        <f>Cost!C46</f>
        <v>Italy</v>
      </c>
      <c r="E11" s="27" t="str">
        <f>Cost!D46</f>
        <v>Europe</v>
      </c>
      <c r="F11" s="27" t="str">
        <f>Cost!E46</f>
        <v>Airport shuttle</v>
      </c>
      <c r="G11" s="27" t="str">
        <f>Cost!F46</f>
        <v>90-150</v>
      </c>
      <c r="H11" s="27" t="str">
        <f>Cost!G46</f>
        <v>EUR/journey</v>
      </c>
      <c r="I11" s="28">
        <f>Cost!H46</f>
        <v>0.89300000000000002</v>
      </c>
      <c r="J11" s="28">
        <f>Cost!I46</f>
        <v>1.0560465766190312</v>
      </c>
      <c r="K11" s="28">
        <v>90</v>
      </c>
      <c r="L11" s="28">
        <v>150</v>
      </c>
      <c r="M11" s="28">
        <v>10</v>
      </c>
      <c r="N11" s="28">
        <v>20</v>
      </c>
      <c r="O11" s="28">
        <v>241</v>
      </c>
      <c r="P11" s="28">
        <f t="shared" si="3"/>
        <v>1.1203319502074689</v>
      </c>
      <c r="Q11" s="28">
        <f>L11/(O11*M11/60)</f>
        <v>3.7344398340248963</v>
      </c>
      <c r="R11" s="28">
        <f t="shared" si="4"/>
        <v>1.1203319502074689</v>
      </c>
      <c r="S11" s="28">
        <f t="shared" si="4"/>
        <v>3.7344398340248963</v>
      </c>
      <c r="T11" s="28">
        <f t="shared" si="0"/>
        <v>1.3248854655022626</v>
      </c>
      <c r="U11" s="28">
        <f t="shared" si="1"/>
        <v>4.416284885007542</v>
      </c>
      <c r="V11" s="28">
        <f t="shared" si="2"/>
        <v>1.3248854655022626</v>
      </c>
      <c r="W11" s="27" t="str">
        <f>IF(Cost!N46="","",Cost!N46)</f>
        <v>travel alone and travel under 60 mins</v>
      </c>
      <c r="X11" s="21"/>
      <c r="Y11" s="21"/>
      <c r="Z11" s="21"/>
      <c r="AA11" s="21"/>
      <c r="AB11" s="21"/>
      <c r="AC11" s="21"/>
      <c r="AD11" s="21"/>
      <c r="AE11" s="21"/>
    </row>
    <row r="12" spans="1:31" x14ac:dyDescent="0.25">
      <c r="A12" s="27">
        <f>ROW(Cost!A47)</f>
        <v>47</v>
      </c>
      <c r="B12" s="27" t="str">
        <f>Cost!A47</f>
        <v>Coppola (b)</v>
      </c>
      <c r="C12" s="27">
        <f>Cost!B47</f>
        <v>2024</v>
      </c>
      <c r="D12" s="27" t="str">
        <f>Cost!C47</f>
        <v>Italy</v>
      </c>
      <c r="E12" s="27" t="str">
        <f>Cost!D47</f>
        <v>Europe</v>
      </c>
      <c r="F12" s="27" t="str">
        <f>Cost!E47</f>
        <v>Airport shuttle</v>
      </c>
      <c r="G12" s="27" t="str">
        <f>Cost!F47</f>
        <v>150-250</v>
      </c>
      <c r="H12" s="27" t="str">
        <f>Cost!G47</f>
        <v>EUR/journey</v>
      </c>
      <c r="I12" s="28">
        <f>Cost!H47</f>
        <v>0.89300000000000002</v>
      </c>
      <c r="J12" s="28">
        <f>Cost!I47</f>
        <v>1.0560465766190312</v>
      </c>
      <c r="K12" s="28">
        <v>150</v>
      </c>
      <c r="L12" s="28">
        <v>250</v>
      </c>
      <c r="M12" s="28">
        <v>20</v>
      </c>
      <c r="N12" s="28">
        <v>30</v>
      </c>
      <c r="O12" s="28">
        <v>241</v>
      </c>
      <c r="P12" s="28">
        <f t="shared" si="3"/>
        <v>1.2448132780082988</v>
      </c>
      <c r="Q12" s="28">
        <f>L12/(O12*M12/60)</f>
        <v>3.1120331950207469</v>
      </c>
      <c r="R12" s="28">
        <f t="shared" si="4"/>
        <v>1.2448132780082988</v>
      </c>
      <c r="S12" s="28">
        <f t="shared" si="4"/>
        <v>3.1120331950207469</v>
      </c>
      <c r="T12" s="28">
        <f t="shared" si="0"/>
        <v>1.4720949616691807</v>
      </c>
      <c r="U12" s="28">
        <f t="shared" si="1"/>
        <v>3.6802374041729515</v>
      </c>
      <c r="V12" s="28">
        <f t="shared" si="2"/>
        <v>1.4720949616691807</v>
      </c>
      <c r="W12" s="27" t="str">
        <f>IF(Cost!N47="","",Cost!N47)</f>
        <v>travel alone and travel over 60 mins</v>
      </c>
      <c r="X12" s="21"/>
      <c r="Y12" s="21"/>
      <c r="Z12" s="21"/>
      <c r="AA12" s="21"/>
      <c r="AB12" s="21"/>
      <c r="AC12" s="21"/>
      <c r="AD12" s="21"/>
      <c r="AE12" s="21"/>
    </row>
    <row r="13" spans="1:31" x14ac:dyDescent="0.25">
      <c r="A13" s="27">
        <f>ROW(Cost!A80)</f>
        <v>80</v>
      </c>
      <c r="B13" s="27" t="str">
        <f>Cost!A80</f>
        <v>Leonard</v>
      </c>
      <c r="C13" s="27">
        <f>Cost!B80</f>
        <v>2021</v>
      </c>
      <c r="D13" s="27" t="str">
        <f>Cost!C80</f>
        <v>US</v>
      </c>
      <c r="E13" s="27" t="str">
        <f>Cost!D80</f>
        <v>US</v>
      </c>
      <c r="F13" s="27" t="str">
        <f>Cost!E80</f>
        <v>Intracity</v>
      </c>
      <c r="G13" s="27" t="str">
        <f>Cost!F80</f>
        <v>50-125</v>
      </c>
      <c r="H13" s="27" t="str">
        <f>Cost!G80</f>
        <v>USD/journey</v>
      </c>
      <c r="I13" s="28">
        <f>Cost!H80</f>
        <v>1</v>
      </c>
      <c r="J13" s="28">
        <f>Cost!I80</f>
        <v>1.2225548877642043</v>
      </c>
      <c r="K13" s="28">
        <v>241</v>
      </c>
      <c r="L13" s="28">
        <f>15-10</f>
        <v>5</v>
      </c>
      <c r="M13" s="28">
        <f>25-5</f>
        <v>20</v>
      </c>
      <c r="N13" s="28">
        <v>50</v>
      </c>
      <c r="O13" s="28">
        <v>125</v>
      </c>
      <c r="P13" s="28">
        <f>N13/(K13*M13/60)</f>
        <v>0.62240663900414939</v>
      </c>
      <c r="Q13" s="28">
        <f>O13/(K13*L13/60)</f>
        <v>6.2240663900414939</v>
      </c>
      <c r="R13" s="28">
        <f t="shared" ref="R13:S16" si="5">ROUND(P13,2)</f>
        <v>0.62</v>
      </c>
      <c r="S13" s="28">
        <f t="shared" si="5"/>
        <v>6.22</v>
      </c>
      <c r="T13" s="28">
        <f t="shared" si="0"/>
        <v>0.75798403041380669</v>
      </c>
      <c r="U13" s="28">
        <f t="shared" si="1"/>
        <v>7.6042914018933505</v>
      </c>
      <c r="V13" s="28">
        <f t="shared" si="2"/>
        <v>0.75798403041380669</v>
      </c>
      <c r="W13" s="27" t="str">
        <f>IF(Cost!N80="","",Cost!N80)</f>
        <v>less than10 miles</v>
      </c>
      <c r="X13" s="21"/>
      <c r="Y13" s="21"/>
      <c r="Z13" s="21"/>
      <c r="AA13" s="21"/>
      <c r="AB13" s="21"/>
      <c r="AC13" s="21"/>
      <c r="AD13" s="21"/>
      <c r="AE13" s="21"/>
    </row>
    <row r="14" spans="1:31" x14ac:dyDescent="0.25">
      <c r="A14" s="27">
        <f>ROW(Cost!A81)</f>
        <v>81</v>
      </c>
      <c r="B14" s="27" t="str">
        <f>Cost!A81</f>
        <v>Leonard</v>
      </c>
      <c r="C14" s="27">
        <f>Cost!B81</f>
        <v>2021</v>
      </c>
      <c r="D14" s="27" t="str">
        <f>Cost!C81</f>
        <v>US</v>
      </c>
      <c r="E14" s="27" t="str">
        <f>Cost!D81</f>
        <v>US</v>
      </c>
      <c r="F14" s="27" t="str">
        <f>Cost!E81</f>
        <v>Intracity</v>
      </c>
      <c r="G14" s="27" t="str">
        <f>Cost!F81</f>
        <v>50-125</v>
      </c>
      <c r="H14" s="27" t="str">
        <f>Cost!G81</f>
        <v>USD/journey</v>
      </c>
      <c r="I14" s="28">
        <f>Cost!H81</f>
        <v>1</v>
      </c>
      <c r="J14" s="28">
        <f>Cost!I81</f>
        <v>1.2225548877642043</v>
      </c>
      <c r="K14" s="28">
        <v>241</v>
      </c>
      <c r="L14" s="28">
        <f>15-10</f>
        <v>5</v>
      </c>
      <c r="M14" s="28">
        <f>30-5</f>
        <v>25</v>
      </c>
      <c r="N14" s="28">
        <v>50</v>
      </c>
      <c r="O14" s="28">
        <v>125</v>
      </c>
      <c r="P14" s="28">
        <f>N14/(K14*M14/60)</f>
        <v>0.49792531120331945</v>
      </c>
      <c r="Q14" s="28">
        <f>O14/(K14*L14/60)</f>
        <v>6.2240663900414939</v>
      </c>
      <c r="R14" s="28">
        <f t="shared" si="5"/>
        <v>0.5</v>
      </c>
      <c r="S14" s="28">
        <f t="shared" si="5"/>
        <v>6.22</v>
      </c>
      <c r="T14" s="28">
        <f t="shared" si="0"/>
        <v>0.61127744388210214</v>
      </c>
      <c r="U14" s="28">
        <f t="shared" si="1"/>
        <v>7.6042914018933505</v>
      </c>
      <c r="V14" s="28">
        <f t="shared" si="2"/>
        <v>0.61127744388210214</v>
      </c>
      <c r="W14" s="27" t="str">
        <f>IF(Cost!N81="","",Cost!N81)</f>
        <v>11-20 miles</v>
      </c>
      <c r="X14" s="21"/>
      <c r="Y14" s="21"/>
      <c r="Z14" s="21"/>
      <c r="AA14" s="21"/>
      <c r="AB14" s="21"/>
      <c r="AC14" s="21"/>
      <c r="AD14" s="21"/>
      <c r="AE14" s="21"/>
    </row>
    <row r="15" spans="1:31" x14ac:dyDescent="0.25">
      <c r="A15" s="27">
        <f>ROW(Cost!A82)</f>
        <v>82</v>
      </c>
      <c r="B15" s="27" t="str">
        <f>Cost!A82</f>
        <v>Leonard</v>
      </c>
      <c r="C15" s="27">
        <f>Cost!B82</f>
        <v>2021</v>
      </c>
      <c r="D15" s="27" t="str">
        <f>Cost!C82</f>
        <v>US</v>
      </c>
      <c r="E15" s="27" t="str">
        <f>Cost!D82</f>
        <v>US</v>
      </c>
      <c r="F15" s="27" t="str">
        <f>Cost!E82</f>
        <v>Intracity</v>
      </c>
      <c r="G15" s="27" t="str">
        <f>Cost!F82</f>
        <v>75-150</v>
      </c>
      <c r="H15" s="27" t="str">
        <f>Cost!G82</f>
        <v>USD/journey</v>
      </c>
      <c r="I15" s="28">
        <f>Cost!H82</f>
        <v>1</v>
      </c>
      <c r="J15" s="28">
        <f>Cost!I82</f>
        <v>1.2225548877642043</v>
      </c>
      <c r="K15" s="28">
        <v>241</v>
      </c>
      <c r="L15" s="28">
        <f>20-10</f>
        <v>10</v>
      </c>
      <c r="M15" s="28">
        <f>35-5</f>
        <v>30</v>
      </c>
      <c r="N15" s="28">
        <v>75</v>
      </c>
      <c r="O15" s="28">
        <v>150</v>
      </c>
      <c r="P15" s="28">
        <f>N15/(K15*M15/60)</f>
        <v>0.62240663900414939</v>
      </c>
      <c r="Q15" s="28">
        <f>O15/(K15*L15/60)</f>
        <v>3.7344398340248963</v>
      </c>
      <c r="R15" s="28">
        <f t="shared" si="5"/>
        <v>0.62</v>
      </c>
      <c r="S15" s="28">
        <f t="shared" si="5"/>
        <v>3.73</v>
      </c>
      <c r="T15" s="28">
        <f t="shared" si="0"/>
        <v>0.75798403041380669</v>
      </c>
      <c r="U15" s="28">
        <f t="shared" si="1"/>
        <v>4.5601297313604823</v>
      </c>
      <c r="V15" s="28">
        <f t="shared" si="2"/>
        <v>0.75798403041380669</v>
      </c>
      <c r="W15" s="27" t="str">
        <f>IF(Cost!N82="","",Cost!N82)</f>
        <v>21-40 miles</v>
      </c>
      <c r="X15" s="21"/>
      <c r="Y15" s="21"/>
      <c r="Z15" s="21"/>
      <c r="AA15" s="21"/>
      <c r="AB15" s="21"/>
      <c r="AC15" s="21"/>
      <c r="AD15" s="21"/>
      <c r="AE15" s="21"/>
    </row>
    <row r="16" spans="1:31" x14ac:dyDescent="0.25">
      <c r="A16" s="27">
        <f>ROW(Cost!A83)</f>
        <v>83</v>
      </c>
      <c r="B16" s="27" t="str">
        <f>Cost!A83</f>
        <v>Leonard</v>
      </c>
      <c r="C16" s="27">
        <f>Cost!B83</f>
        <v>2021</v>
      </c>
      <c r="D16" s="27" t="str">
        <f>Cost!C83</f>
        <v>US</v>
      </c>
      <c r="E16" s="27" t="str">
        <f>Cost!D83</f>
        <v>US</v>
      </c>
      <c r="F16" s="27" t="str">
        <f>Cost!E83</f>
        <v>Intracity</v>
      </c>
      <c r="G16" s="27" t="str">
        <f>Cost!F83</f>
        <v>75-150</v>
      </c>
      <c r="H16" s="27" t="str">
        <f>Cost!G83</f>
        <v>USD/journey</v>
      </c>
      <c r="I16" s="28">
        <f>Cost!H83</f>
        <v>1</v>
      </c>
      <c r="J16" s="28">
        <f>Cost!I83</f>
        <v>1.2225548877642043</v>
      </c>
      <c r="K16" s="28">
        <v>241</v>
      </c>
      <c r="L16" s="28">
        <f>25-10</f>
        <v>15</v>
      </c>
      <c r="M16" s="28">
        <f>40-5</f>
        <v>35</v>
      </c>
      <c r="N16" s="28">
        <v>75</v>
      </c>
      <c r="O16" s="28">
        <v>150</v>
      </c>
      <c r="P16" s="28">
        <f>N16/(K16*M16/60)</f>
        <v>0.53349140486069946</v>
      </c>
      <c r="Q16" s="28">
        <f>O16/(K16*L16/60)</f>
        <v>2.4896265560165975</v>
      </c>
      <c r="R16" s="28">
        <f t="shared" si="5"/>
        <v>0.53</v>
      </c>
      <c r="S16" s="28">
        <f t="shared" si="5"/>
        <v>2.4900000000000002</v>
      </c>
      <c r="T16" s="28">
        <f t="shared" si="0"/>
        <v>0.64795409051502828</v>
      </c>
      <c r="U16" s="28">
        <f t="shared" si="1"/>
        <v>3.0441616705328691</v>
      </c>
      <c r="V16" s="28">
        <f t="shared" si="2"/>
        <v>0.64795409051502828</v>
      </c>
      <c r="W16" s="27" t="str">
        <f>IF(Cost!N83="","",Cost!N83)</f>
        <v>41+ miles</v>
      </c>
      <c r="X16" s="21"/>
      <c r="Y16" s="21"/>
      <c r="Z16" s="21"/>
      <c r="AA16" s="21"/>
      <c r="AB16" s="21"/>
      <c r="AC16" s="21"/>
      <c r="AD16" s="21"/>
      <c r="AE16" s="21"/>
    </row>
    <row r="17" spans="1:31" x14ac:dyDescent="0.25">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row>
    <row r="18" spans="1:31" x14ac:dyDescent="0.25">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row>
    <row r="19" spans="1:31" x14ac:dyDescent="0.25">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row>
    <row r="20" spans="1:31" x14ac:dyDescent="0.25">
      <c r="A20" s="43" t="s">
        <v>507</v>
      </c>
      <c r="B20" s="44"/>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5"/>
    </row>
    <row r="21" spans="1:31" ht="25.5" x14ac:dyDescent="0.25">
      <c r="A21" s="46" t="s">
        <v>495</v>
      </c>
      <c r="B21" s="46" t="s">
        <v>51</v>
      </c>
      <c r="C21" s="46" t="s">
        <v>52</v>
      </c>
      <c r="D21" s="46" t="s">
        <v>53</v>
      </c>
      <c r="E21" s="46" t="s">
        <v>54</v>
      </c>
      <c r="F21" s="46" t="s">
        <v>55</v>
      </c>
      <c r="G21" s="46" t="s">
        <v>496</v>
      </c>
      <c r="H21" s="46" t="s">
        <v>154</v>
      </c>
      <c r="I21" s="46" t="s">
        <v>155</v>
      </c>
      <c r="J21" s="46" t="s">
        <v>497</v>
      </c>
      <c r="K21" s="46" t="s">
        <v>508</v>
      </c>
      <c r="L21" s="46" t="s">
        <v>509</v>
      </c>
      <c r="M21" s="46" t="s">
        <v>510</v>
      </c>
      <c r="N21" s="46" t="s">
        <v>511</v>
      </c>
      <c r="O21" s="46" t="s">
        <v>512</v>
      </c>
      <c r="P21" s="46" t="s">
        <v>513</v>
      </c>
      <c r="Q21" s="46" t="s">
        <v>514</v>
      </c>
      <c r="R21" s="46" t="s">
        <v>515</v>
      </c>
      <c r="S21" s="46" t="s">
        <v>516</v>
      </c>
      <c r="T21" s="46" t="s">
        <v>517</v>
      </c>
      <c r="U21" s="46" t="s">
        <v>518</v>
      </c>
      <c r="V21" s="46" t="s">
        <v>519</v>
      </c>
      <c r="W21" s="46" t="s">
        <v>520</v>
      </c>
      <c r="X21" s="46" t="s">
        <v>521</v>
      </c>
      <c r="Y21" s="46" t="s">
        <v>522</v>
      </c>
      <c r="Z21" s="46" t="s">
        <v>503</v>
      </c>
      <c r="AA21" s="46" t="s">
        <v>504</v>
      </c>
      <c r="AB21" s="46" t="s">
        <v>505</v>
      </c>
      <c r="AC21" s="46" t="s">
        <v>506</v>
      </c>
      <c r="AD21" s="46" t="s">
        <v>56</v>
      </c>
      <c r="AE21" s="46" t="s">
        <v>3</v>
      </c>
    </row>
    <row r="22" spans="1:31" x14ac:dyDescent="0.25">
      <c r="A22" s="27">
        <f>ROW(Cost!A19)</f>
        <v>19</v>
      </c>
      <c r="B22" s="27" t="str">
        <f>Cost!A19</f>
        <v>Bi</v>
      </c>
      <c r="C22" s="27">
        <f>Cost!B19</f>
        <v>2025</v>
      </c>
      <c r="D22" s="27" t="str">
        <f>Cost!C19</f>
        <v>China</v>
      </c>
      <c r="E22" s="27" t="str">
        <f>Cost!D19</f>
        <v>Asia</v>
      </c>
      <c r="F22" s="27" t="str">
        <f>Cost!E19</f>
        <v>Intracity</v>
      </c>
      <c r="G22" s="27" t="str">
        <f>Cost!F19</f>
        <v>10 base + 1/km</v>
      </c>
      <c r="H22" s="27" t="str">
        <f>Cost!G19</f>
        <v>CNY</v>
      </c>
      <c r="I22" s="28">
        <f>Cost!H19</f>
        <v>7.1189999999999998</v>
      </c>
      <c r="J22" s="28">
        <f>Cost!I19</f>
        <v>1.0289412059190517</v>
      </c>
      <c r="K22" s="28">
        <f>10+0</f>
        <v>10</v>
      </c>
      <c r="L22" s="28">
        <f>10+0</f>
        <v>10</v>
      </c>
      <c r="M22" s="28">
        <f>(0+1)/1</f>
        <v>1</v>
      </c>
      <c r="N22" s="28">
        <f>(0+1)/1</f>
        <v>1</v>
      </c>
      <c r="O22" s="28">
        <v>10</v>
      </c>
      <c r="P22" s="28">
        <f t="shared" ref="P22:P42" si="6">((K22+M22*O22)+(L22+N22*O22))/O22/2</f>
        <v>2</v>
      </c>
      <c r="Q22" s="28">
        <v>50</v>
      </c>
      <c r="R22" s="28">
        <f t="shared" ref="R22:R42" si="7">((K22+M22*Q22)+(L22+N22*Q22))/Q22/2</f>
        <v>1.2</v>
      </c>
      <c r="S22" s="28">
        <v>100</v>
      </c>
      <c r="T22" s="28">
        <f t="shared" ref="T22:T42" si="8">((K22+M22*S22)+(L22+N22*S22))/S22/2</f>
        <v>1.1000000000000001</v>
      </c>
      <c r="U22" s="28">
        <v>150</v>
      </c>
      <c r="V22" s="28">
        <f t="shared" ref="V22:V42" si="9">((K22+M22*U22)+(L22+N22*U22))/U22/2</f>
        <v>1.0666666666666667</v>
      </c>
      <c r="W22" s="28">
        <v>200</v>
      </c>
      <c r="X22" s="28">
        <f t="shared" ref="X22:X42" si="10">((K22+M22*W22)+(L22+N22*W22))/W22/2</f>
        <v>1.05</v>
      </c>
      <c r="Y22" s="28">
        <f t="shared" ref="Y22:Y42" si="11">AVERAGE(P22,R22,T22,V22,X22)</f>
        <v>1.2833333333333334</v>
      </c>
      <c r="Z22" s="28">
        <f t="shared" ref="Z22:Z42" si="12">Y22</f>
        <v>1.2833333333333334</v>
      </c>
      <c r="AA22" s="28">
        <f t="shared" ref="AA22:AA42" si="13">Y22</f>
        <v>1.2833333333333334</v>
      </c>
      <c r="AB22" s="28">
        <f t="shared" ref="AB22:AB42" si="14">Z22/I22*J22</f>
        <v>0.18548595976908505</v>
      </c>
      <c r="AC22" s="28">
        <f t="shared" ref="AC22:AC42" si="15">AA22/I22*J22</f>
        <v>0.18548595976908505</v>
      </c>
      <c r="AD22" s="28">
        <f t="shared" ref="AD22:AD42" si="16">AVERAGE(AB22)</f>
        <v>0.18548595976908505</v>
      </c>
      <c r="AE22" s="28" t="str">
        <f>IF(Cost!N19="","",Cost!N19)</f>
        <v>base fare: 1.43 USD, unit fare: 0.14 USD/km</v>
      </c>
    </row>
    <row r="23" spans="1:31" x14ac:dyDescent="0.25">
      <c r="A23" s="27">
        <f>ROW(Cost!A72)</f>
        <v>72</v>
      </c>
      <c r="B23" s="27" t="str">
        <f>Cost!A72</f>
        <v>Rothfeld</v>
      </c>
      <c r="C23" s="27">
        <f>Cost!B72</f>
        <v>2022</v>
      </c>
      <c r="D23" s="27" t="str">
        <f>Cost!C72</f>
        <v>France</v>
      </c>
      <c r="E23" s="27" t="str">
        <f>Cost!D72</f>
        <v>Europe</v>
      </c>
      <c r="F23" s="27" t="str">
        <f>Cost!E72</f>
        <v>Intercity</v>
      </c>
      <c r="G23" s="27" t="str">
        <f>Cost!F72</f>
        <v>0-200 base + 0-9/km</v>
      </c>
      <c r="H23" s="27" t="str">
        <f>Cost!G72</f>
        <v>EUR</v>
      </c>
      <c r="I23" s="28">
        <f>Cost!H72</f>
        <v>0.93600000000000005</v>
      </c>
      <c r="J23" s="28">
        <f>Cost!I72</f>
        <v>1.132091486386082</v>
      </c>
      <c r="K23" s="28">
        <f>0+0</f>
        <v>0</v>
      </c>
      <c r="L23" s="28">
        <f>200+0</f>
        <v>200</v>
      </c>
      <c r="M23" s="28">
        <f>(0+0)/1</f>
        <v>0</v>
      </c>
      <c r="N23" s="28">
        <f>(0+9)/1</f>
        <v>9</v>
      </c>
      <c r="O23" s="28">
        <v>10</v>
      </c>
      <c r="P23" s="28">
        <f t="shared" si="6"/>
        <v>14.5</v>
      </c>
      <c r="Q23" s="28">
        <v>50</v>
      </c>
      <c r="R23" s="28">
        <f t="shared" si="7"/>
        <v>6.5</v>
      </c>
      <c r="S23" s="28">
        <v>100</v>
      </c>
      <c r="T23" s="28">
        <f t="shared" si="8"/>
        <v>5.5</v>
      </c>
      <c r="U23" s="28">
        <v>150</v>
      </c>
      <c r="V23" s="28">
        <f t="shared" si="9"/>
        <v>5.166666666666667</v>
      </c>
      <c r="W23" s="28">
        <v>200</v>
      </c>
      <c r="X23" s="28">
        <f t="shared" si="10"/>
        <v>5</v>
      </c>
      <c r="Y23" s="28">
        <f t="shared" si="11"/>
        <v>7.3333333333333339</v>
      </c>
      <c r="Z23" s="28">
        <f t="shared" si="12"/>
        <v>7.3333333333333339</v>
      </c>
      <c r="AA23" s="28">
        <f t="shared" si="13"/>
        <v>7.3333333333333339</v>
      </c>
      <c r="AB23" s="28">
        <f t="shared" si="14"/>
        <v>8.8696626426259986</v>
      </c>
      <c r="AC23" s="28">
        <f t="shared" si="15"/>
        <v>8.8696626426259986</v>
      </c>
      <c r="AD23" s="28">
        <f t="shared" si="16"/>
        <v>8.8696626426259986</v>
      </c>
      <c r="AE23" s="28" t="str">
        <f>IF(Cost!N72="","",Cost!N72)</f>
        <v>base fare, 0-216 USD, unit fare, 0-9.72 USD/km</v>
      </c>
    </row>
    <row r="24" spans="1:31" x14ac:dyDescent="0.25">
      <c r="A24" s="27">
        <f>ROW(Cost!A73)</f>
        <v>73</v>
      </c>
      <c r="B24" s="27" t="str">
        <f>Cost!A73</f>
        <v>Rothfeld</v>
      </c>
      <c r="C24" s="27">
        <f>Cost!B73</f>
        <v>2022</v>
      </c>
      <c r="D24" s="27" t="str">
        <f>Cost!C73</f>
        <v>France</v>
      </c>
      <c r="E24" s="27" t="str">
        <f>Cost!D73</f>
        <v>Europe</v>
      </c>
      <c r="F24" s="27" t="str">
        <f>Cost!E73</f>
        <v>Airport shuttle</v>
      </c>
      <c r="G24" s="27" t="str">
        <f>Cost!F73</f>
        <v>0-200 base + 0-9/km</v>
      </c>
      <c r="H24" s="27" t="str">
        <f>Cost!G73</f>
        <v>EUR</v>
      </c>
      <c r="I24" s="28">
        <f>Cost!H73</f>
        <v>0.93600000000000005</v>
      </c>
      <c r="J24" s="28">
        <f>Cost!I73</f>
        <v>1.132091486386082</v>
      </c>
      <c r="K24" s="28">
        <f>0+0</f>
        <v>0</v>
      </c>
      <c r="L24" s="28">
        <f>200+0</f>
        <v>200</v>
      </c>
      <c r="M24" s="28">
        <f>(0+0)/1</f>
        <v>0</v>
      </c>
      <c r="N24" s="28">
        <f>(0+9)/1</f>
        <v>9</v>
      </c>
      <c r="O24" s="28">
        <v>10</v>
      </c>
      <c r="P24" s="28">
        <f t="shared" si="6"/>
        <v>14.5</v>
      </c>
      <c r="Q24" s="28">
        <v>50</v>
      </c>
      <c r="R24" s="28">
        <f t="shared" si="7"/>
        <v>6.5</v>
      </c>
      <c r="S24" s="28">
        <v>100</v>
      </c>
      <c r="T24" s="28">
        <f t="shared" si="8"/>
        <v>5.5</v>
      </c>
      <c r="U24" s="28">
        <v>150</v>
      </c>
      <c r="V24" s="28">
        <f t="shared" si="9"/>
        <v>5.166666666666667</v>
      </c>
      <c r="W24" s="28">
        <v>200</v>
      </c>
      <c r="X24" s="28">
        <f t="shared" si="10"/>
        <v>5</v>
      </c>
      <c r="Y24" s="28">
        <f t="shared" si="11"/>
        <v>7.3333333333333339</v>
      </c>
      <c r="Z24" s="28">
        <f t="shared" si="12"/>
        <v>7.3333333333333339</v>
      </c>
      <c r="AA24" s="28">
        <f t="shared" si="13"/>
        <v>7.3333333333333339</v>
      </c>
      <c r="AB24" s="28">
        <f t="shared" si="14"/>
        <v>8.8696626426259986</v>
      </c>
      <c r="AC24" s="28">
        <f t="shared" si="15"/>
        <v>8.8696626426259986</v>
      </c>
      <c r="AD24" s="28">
        <f t="shared" si="16"/>
        <v>8.8696626426259986</v>
      </c>
      <c r="AE24" s="28" t="str">
        <f>IF(Cost!N73="","",Cost!N73)</f>
        <v/>
      </c>
    </row>
    <row r="25" spans="1:31" x14ac:dyDescent="0.25">
      <c r="A25" s="27">
        <f>ROW(Cost!A84)</f>
        <v>84</v>
      </c>
      <c r="B25" s="27" t="str">
        <f>Cost!A84</f>
        <v>Pukhova</v>
      </c>
      <c r="C25" s="27">
        <f>Cost!B84</f>
        <v>2021</v>
      </c>
      <c r="D25" s="27" t="str">
        <f>Cost!C84</f>
        <v>Germany</v>
      </c>
      <c r="E25" s="27" t="str">
        <f>Cost!D84</f>
        <v>Europe</v>
      </c>
      <c r="F25" s="27" t="str">
        <f>Cost!E84</f>
        <v>Intercity</v>
      </c>
      <c r="G25" s="27" t="str">
        <f>Cost!F84</f>
        <v>5 base + 1-7/km</v>
      </c>
      <c r="H25" s="27" t="str">
        <f>Cost!G84</f>
        <v>EUR</v>
      </c>
      <c r="I25" s="28">
        <f>Cost!H84</f>
        <v>0.88200000000000001</v>
      </c>
      <c r="J25" s="28">
        <f>Cost!I84</f>
        <v>1.2225548877642043</v>
      </c>
      <c r="K25" s="28">
        <f>5+0</f>
        <v>5</v>
      </c>
      <c r="L25" s="28">
        <f>5+0</f>
        <v>5</v>
      </c>
      <c r="M25" s="28">
        <f>(0+1)/1</f>
        <v>1</v>
      </c>
      <c r="N25" s="28">
        <f>(0+7)/1</f>
        <v>7</v>
      </c>
      <c r="O25" s="28">
        <v>10</v>
      </c>
      <c r="P25" s="28">
        <f t="shared" si="6"/>
        <v>4.5</v>
      </c>
      <c r="Q25" s="28">
        <v>50</v>
      </c>
      <c r="R25" s="28">
        <f t="shared" si="7"/>
        <v>4.0999999999999996</v>
      </c>
      <c r="S25" s="28">
        <v>100</v>
      </c>
      <c r="T25" s="28">
        <f t="shared" si="8"/>
        <v>4.05</v>
      </c>
      <c r="U25" s="28">
        <v>150</v>
      </c>
      <c r="V25" s="28">
        <f t="shared" si="9"/>
        <v>4.0333333333333332</v>
      </c>
      <c r="W25" s="28">
        <v>200</v>
      </c>
      <c r="X25" s="28">
        <f t="shared" si="10"/>
        <v>4.0250000000000004</v>
      </c>
      <c r="Y25" s="28">
        <f t="shared" si="11"/>
        <v>4.1416666666666657</v>
      </c>
      <c r="Z25" s="28">
        <f t="shared" si="12"/>
        <v>4.1416666666666657</v>
      </c>
      <c r="AA25" s="28">
        <f t="shared" si="13"/>
        <v>4.1416666666666657</v>
      </c>
      <c r="AB25" s="28">
        <f t="shared" si="14"/>
        <v>5.7408331369879946</v>
      </c>
      <c r="AC25" s="28">
        <f t="shared" si="15"/>
        <v>5.7408331369879946</v>
      </c>
      <c r="AD25" s="28">
        <f t="shared" si="16"/>
        <v>5.7408331369879946</v>
      </c>
      <c r="AE25" s="28" t="str">
        <f>IF(Cost!N84="","",Cost!N84)</f>
        <v>base fare, 5.3 USD, unit fare, 1.09-7.61 USD/km</v>
      </c>
    </row>
    <row r="26" spans="1:31" x14ac:dyDescent="0.25">
      <c r="A26" s="27">
        <f>ROW(Cost!A85)</f>
        <v>85</v>
      </c>
      <c r="B26" s="27" t="str">
        <f>Cost!A85</f>
        <v>Rimjha (a)</v>
      </c>
      <c r="C26" s="27">
        <f>Cost!B85</f>
        <v>2021</v>
      </c>
      <c r="D26" s="27" t="str">
        <f>Cost!C85</f>
        <v>US</v>
      </c>
      <c r="E26" s="27" t="str">
        <f>Cost!D85</f>
        <v>US</v>
      </c>
      <c r="F26" s="27" t="str">
        <f>Cost!E85</f>
        <v>Intercity</v>
      </c>
      <c r="G26" s="27" t="str">
        <f>Cost!F85</f>
        <v>2.2 base + 1-3/mile</v>
      </c>
      <c r="H26" s="27" t="str">
        <f>Cost!G85</f>
        <v>USD</v>
      </c>
      <c r="I26" s="28">
        <f>Cost!H85</f>
        <v>1</v>
      </c>
      <c r="J26" s="28">
        <f>Cost!I85</f>
        <v>1.2225548877642043</v>
      </c>
      <c r="K26" s="28">
        <f>2.2+0</f>
        <v>2.2000000000000002</v>
      </c>
      <c r="L26" s="28">
        <f>2.2+0</f>
        <v>2.2000000000000002</v>
      </c>
      <c r="M26" s="28">
        <f>(0+1)/1.609344</f>
        <v>0.62137119223733395</v>
      </c>
      <c r="N26" s="28">
        <f>(0+3)/1.609344</f>
        <v>1.8641135767120018</v>
      </c>
      <c r="O26" s="28">
        <v>10</v>
      </c>
      <c r="P26" s="28">
        <f t="shared" si="6"/>
        <v>1.4627423844746681</v>
      </c>
      <c r="Q26" s="28">
        <v>50</v>
      </c>
      <c r="R26" s="28">
        <f t="shared" si="7"/>
        <v>1.2867423844746679</v>
      </c>
      <c r="S26" s="28">
        <v>100</v>
      </c>
      <c r="T26" s="28">
        <f t="shared" si="8"/>
        <v>1.2647423844746679</v>
      </c>
      <c r="U26" s="28">
        <v>150</v>
      </c>
      <c r="V26" s="28">
        <f t="shared" si="9"/>
        <v>1.2574090511413345</v>
      </c>
      <c r="W26" s="28">
        <v>200</v>
      </c>
      <c r="X26" s="28">
        <f t="shared" si="10"/>
        <v>1.253742384474668</v>
      </c>
      <c r="Y26" s="28">
        <f t="shared" si="11"/>
        <v>1.3050757178080015</v>
      </c>
      <c r="Z26" s="28">
        <f t="shared" si="12"/>
        <v>1.3050757178080015</v>
      </c>
      <c r="AA26" s="28">
        <f t="shared" si="13"/>
        <v>1.3050757178080015</v>
      </c>
      <c r="AB26" s="28">
        <f t="shared" si="14"/>
        <v>1.5955266977085496</v>
      </c>
      <c r="AC26" s="28">
        <f t="shared" si="15"/>
        <v>1.5955266977085496</v>
      </c>
      <c r="AD26" s="28">
        <f t="shared" si="16"/>
        <v>1.5955266977085496</v>
      </c>
      <c r="AE26" s="28" t="str">
        <f>IF(Cost!N85="","",Cost!N85)</f>
        <v>base fare, 2.2 USD, unit fare, 0.62-1.86 USD/km</v>
      </c>
    </row>
    <row r="27" spans="1:31" x14ac:dyDescent="0.25">
      <c r="A27" s="27">
        <f>ROW(Cost!A86)</f>
        <v>86</v>
      </c>
      <c r="B27" s="27" t="str">
        <f>Cost!A86</f>
        <v>Rimjha (b)</v>
      </c>
      <c r="C27" s="27">
        <f>Cost!B86</f>
        <v>2021</v>
      </c>
      <c r="D27" s="27" t="str">
        <f>Cost!C86</f>
        <v>US</v>
      </c>
      <c r="E27" s="27" t="str">
        <f>Cost!D86</f>
        <v>US</v>
      </c>
      <c r="F27" s="27" t="str">
        <f>Cost!E86</f>
        <v>Airport shuttle</v>
      </c>
      <c r="G27" s="27" t="str">
        <f>Cost!F86</f>
        <v>15 base + 10-20 landing + 2.4-4/mile</v>
      </c>
      <c r="H27" s="27" t="str">
        <f>Cost!G86</f>
        <v>USD</v>
      </c>
      <c r="I27" s="28">
        <f>Cost!H86</f>
        <v>1</v>
      </c>
      <c r="J27" s="28">
        <f>Cost!I86</f>
        <v>1.2225548877642043</v>
      </c>
      <c r="K27" s="28">
        <f>15+10</f>
        <v>25</v>
      </c>
      <c r="L27" s="28">
        <f>15+20</f>
        <v>35</v>
      </c>
      <c r="M27" s="28">
        <f>(0+2.4)/1.609344</f>
        <v>1.4912908613696014</v>
      </c>
      <c r="N27" s="28">
        <f>(0+4)/1.609344</f>
        <v>2.4854847689493358</v>
      </c>
      <c r="O27" s="28">
        <v>10</v>
      </c>
      <c r="P27" s="28">
        <f t="shared" si="6"/>
        <v>4.9883878151594683</v>
      </c>
      <c r="Q27" s="28">
        <v>50</v>
      </c>
      <c r="R27" s="28">
        <f t="shared" si="7"/>
        <v>2.5883878151594684</v>
      </c>
      <c r="S27" s="28">
        <v>100</v>
      </c>
      <c r="T27" s="28">
        <f t="shared" si="8"/>
        <v>2.2883878151594685</v>
      </c>
      <c r="U27" s="28">
        <v>150</v>
      </c>
      <c r="V27" s="28">
        <f t="shared" si="9"/>
        <v>2.1883878151594689</v>
      </c>
      <c r="W27" s="28">
        <v>200</v>
      </c>
      <c r="X27" s="28">
        <f t="shared" si="10"/>
        <v>2.1383878151594686</v>
      </c>
      <c r="Y27" s="28">
        <f t="shared" si="11"/>
        <v>2.8383878151594688</v>
      </c>
      <c r="Z27" s="28">
        <f t="shared" si="12"/>
        <v>2.8383878151594688</v>
      </c>
      <c r="AA27" s="28">
        <f t="shared" si="13"/>
        <v>2.8383878151594688</v>
      </c>
      <c r="AB27" s="28">
        <f t="shared" si="14"/>
        <v>3.4700848967935696</v>
      </c>
      <c r="AC27" s="28">
        <f t="shared" si="15"/>
        <v>3.4700848967935696</v>
      </c>
      <c r="AD27" s="28">
        <f t="shared" si="16"/>
        <v>3.4700848967935696</v>
      </c>
      <c r="AE27" s="28" t="str">
        <f>IF(Cost!N86="","",Cost!N86)</f>
        <v>base fare, 15 USD, landing cost, 10-20 USD, unit fare, 1.24-2.48 USD/km</v>
      </c>
    </row>
    <row r="28" spans="1:31" x14ac:dyDescent="0.25">
      <c r="A28" s="27">
        <f>ROW(Cost!A87)</f>
        <v>87</v>
      </c>
      <c r="B28" s="27" t="str">
        <f>Cost!A87</f>
        <v>Rimjha (c)</v>
      </c>
      <c r="C28" s="27">
        <f>Cost!B87</f>
        <v>2021</v>
      </c>
      <c r="D28" s="27" t="str">
        <f>Cost!C87</f>
        <v>US</v>
      </c>
      <c r="E28" s="27" t="str">
        <f>Cost!D87</f>
        <v>US</v>
      </c>
      <c r="F28" s="27" t="str">
        <f>Cost!E87</f>
        <v>Airport shuttle</v>
      </c>
      <c r="G28" s="27" t="str">
        <f>Cost!F87</f>
        <v>15 base + 20 landing + 1.4-3/mile</v>
      </c>
      <c r="H28" s="27" t="str">
        <f>Cost!G87</f>
        <v>USD</v>
      </c>
      <c r="I28" s="28">
        <f>Cost!H87</f>
        <v>1</v>
      </c>
      <c r="J28" s="28">
        <f>Cost!I87</f>
        <v>1.2225548877642043</v>
      </c>
      <c r="K28" s="28">
        <f>15+20</f>
        <v>35</v>
      </c>
      <c r="L28" s="28">
        <f>15+20</f>
        <v>35</v>
      </c>
      <c r="M28" s="28">
        <f>(0+1.4)/1.609344</f>
        <v>0.86991966913226748</v>
      </c>
      <c r="N28" s="28">
        <f>(0+3)/1.609344</f>
        <v>1.8641135767120018</v>
      </c>
      <c r="O28" s="28">
        <v>10</v>
      </c>
      <c r="P28" s="28">
        <f t="shared" si="6"/>
        <v>4.8670166229221348</v>
      </c>
      <c r="Q28" s="28">
        <v>68</v>
      </c>
      <c r="R28" s="28">
        <f t="shared" si="7"/>
        <v>1.8817225052750759</v>
      </c>
      <c r="S28" s="28">
        <v>126</v>
      </c>
      <c r="T28" s="28">
        <f t="shared" si="8"/>
        <v>1.6447944006999122</v>
      </c>
      <c r="U28" s="28">
        <v>183</v>
      </c>
      <c r="V28" s="28">
        <f t="shared" si="9"/>
        <v>1.5582734535232274</v>
      </c>
      <c r="W28" s="28">
        <v>241</v>
      </c>
      <c r="X28" s="28">
        <f t="shared" si="10"/>
        <v>1.5122448386897696</v>
      </c>
      <c r="Y28" s="28">
        <f t="shared" si="11"/>
        <v>2.2928103642220239</v>
      </c>
      <c r="Z28" s="28">
        <f t="shared" si="12"/>
        <v>2.2928103642220239</v>
      </c>
      <c r="AA28" s="28">
        <f t="shared" si="13"/>
        <v>2.2928103642220239</v>
      </c>
      <c r="AB28" s="28">
        <f t="shared" si="14"/>
        <v>2.8030865174960606</v>
      </c>
      <c r="AC28" s="28">
        <f t="shared" si="15"/>
        <v>2.8030865174960606</v>
      </c>
      <c r="AD28" s="28">
        <f t="shared" si="16"/>
        <v>2.8030865174960606</v>
      </c>
      <c r="AE28" s="28" t="str">
        <f>IF(Cost!N87="","",Cost!N87)</f>
        <v>base fare, 15 USD, landing cost, 20 USD, unit fare, 0.87-1.86 USD/km</v>
      </c>
    </row>
    <row r="29" spans="1:31" x14ac:dyDescent="0.25">
      <c r="A29" s="27">
        <f>ROW(Cost!A92)</f>
        <v>92</v>
      </c>
      <c r="B29" s="27" t="str">
        <f>Cost!A92</f>
        <v>Al Haddad (b)</v>
      </c>
      <c r="C29" s="27">
        <f>Cost!B92</f>
        <v>2020</v>
      </c>
      <c r="D29" s="27" t="str">
        <f>Cost!C92</f>
        <v>Germany</v>
      </c>
      <c r="E29" s="27" t="str">
        <f>Cost!D92</f>
        <v>Europe</v>
      </c>
      <c r="F29" s="27" t="str">
        <f>Cost!E92</f>
        <v>Not specified</v>
      </c>
      <c r="G29" s="27" t="str">
        <f>Cost!F92</f>
        <v>0-10 base + 1-5/km</v>
      </c>
      <c r="H29" s="27" t="str">
        <f>Cost!G92</f>
        <v>EUR</v>
      </c>
      <c r="I29" s="28">
        <f>Cost!H92</f>
        <v>0.81499999999999995</v>
      </c>
      <c r="J29" s="28">
        <f>Cost!I92</f>
        <v>1.2797856528201519</v>
      </c>
      <c r="K29" s="28">
        <f t="shared" ref="K29:K35" si="17">0+0</f>
        <v>0</v>
      </c>
      <c r="L29" s="28">
        <f t="shared" ref="L29:L35" si="18">10+0</f>
        <v>10</v>
      </c>
      <c r="M29" s="28">
        <f t="shared" ref="M29:M35" si="19">(0+1)/1</f>
        <v>1</v>
      </c>
      <c r="N29" s="28">
        <f t="shared" ref="N29:N35" si="20">(0+5)/1</f>
        <v>5</v>
      </c>
      <c r="O29" s="28">
        <v>10</v>
      </c>
      <c r="P29" s="28">
        <f t="shared" si="6"/>
        <v>3.5</v>
      </c>
      <c r="Q29" s="28">
        <v>50</v>
      </c>
      <c r="R29" s="28">
        <f t="shared" si="7"/>
        <v>3.1</v>
      </c>
      <c r="S29" s="28">
        <v>100</v>
      </c>
      <c r="T29" s="28">
        <f t="shared" si="8"/>
        <v>3.05</v>
      </c>
      <c r="U29" s="28">
        <v>150</v>
      </c>
      <c r="V29" s="28">
        <f t="shared" si="9"/>
        <v>3.0333333333333332</v>
      </c>
      <c r="W29" s="28">
        <v>200</v>
      </c>
      <c r="X29" s="28">
        <f t="shared" si="10"/>
        <v>3.0249999999999999</v>
      </c>
      <c r="Y29" s="28">
        <f t="shared" si="11"/>
        <v>3.1416666666666666</v>
      </c>
      <c r="Z29" s="28">
        <f t="shared" si="12"/>
        <v>3.1416666666666666</v>
      </c>
      <c r="AA29" s="28">
        <f t="shared" si="13"/>
        <v>3.1416666666666666</v>
      </c>
      <c r="AB29" s="28">
        <f t="shared" si="14"/>
        <v>4.9333250625071301</v>
      </c>
      <c r="AC29" s="28">
        <f t="shared" si="15"/>
        <v>4.9333250625071301</v>
      </c>
      <c r="AD29" s="28">
        <f t="shared" si="16"/>
        <v>4.9333250625071301</v>
      </c>
      <c r="AE29" s="28" t="str">
        <f>IF(Cost!N92="","",Cost!N92)</f>
        <v>base fare, 0-10.8 USD, unit fare, 1.08-5.4 USD/km</v>
      </c>
    </row>
    <row r="30" spans="1:31" x14ac:dyDescent="0.25">
      <c r="A30" s="27">
        <f>ROW(Cost!A93)</f>
        <v>93</v>
      </c>
      <c r="B30" s="27" t="str">
        <f>Cost!A93</f>
        <v>Fu</v>
      </c>
      <c r="C30" s="27">
        <f>Cost!B93</f>
        <v>2020</v>
      </c>
      <c r="D30" s="27" t="str">
        <f>Cost!C93</f>
        <v>Germany</v>
      </c>
      <c r="E30" s="27" t="str">
        <f>Cost!D93</f>
        <v>Europe</v>
      </c>
      <c r="F30" s="27" t="str">
        <f>Cost!E93</f>
        <v>Intracity</v>
      </c>
      <c r="G30" s="27" t="str">
        <f>Cost!F93</f>
        <v>0-10 base + 1-5/km</v>
      </c>
      <c r="H30" s="27" t="str">
        <f>Cost!G93</f>
        <v>EUR</v>
      </c>
      <c r="I30" s="28">
        <f>Cost!H93</f>
        <v>0.91400000000000003</v>
      </c>
      <c r="J30" s="28">
        <f>Cost!I93</f>
        <v>1.2797856528201519</v>
      </c>
      <c r="K30" s="28">
        <f t="shared" si="17"/>
        <v>0</v>
      </c>
      <c r="L30" s="28">
        <f t="shared" si="18"/>
        <v>10</v>
      </c>
      <c r="M30" s="28">
        <f t="shared" si="19"/>
        <v>1</v>
      </c>
      <c r="N30" s="28">
        <f t="shared" si="20"/>
        <v>5</v>
      </c>
      <c r="O30" s="28">
        <v>10</v>
      </c>
      <c r="P30" s="28">
        <f t="shared" si="6"/>
        <v>3.5</v>
      </c>
      <c r="Q30" s="28">
        <v>50</v>
      </c>
      <c r="R30" s="28">
        <f t="shared" si="7"/>
        <v>3.1</v>
      </c>
      <c r="S30" s="28">
        <v>100</v>
      </c>
      <c r="T30" s="28">
        <f t="shared" si="8"/>
        <v>3.05</v>
      </c>
      <c r="U30" s="28">
        <v>150</v>
      </c>
      <c r="V30" s="28">
        <f t="shared" si="9"/>
        <v>3.0333333333333332</v>
      </c>
      <c r="W30" s="28">
        <v>200</v>
      </c>
      <c r="X30" s="28">
        <f t="shared" si="10"/>
        <v>3.0249999999999999</v>
      </c>
      <c r="Y30" s="28">
        <f t="shared" si="11"/>
        <v>3.1416666666666666</v>
      </c>
      <c r="Z30" s="28">
        <f t="shared" si="12"/>
        <v>3.1416666666666666</v>
      </c>
      <c r="AA30" s="28">
        <f t="shared" si="13"/>
        <v>3.1416666666666666</v>
      </c>
      <c r="AB30" s="28">
        <f t="shared" si="14"/>
        <v>4.3989714725856786</v>
      </c>
      <c r="AC30" s="28">
        <f t="shared" si="15"/>
        <v>4.3989714725856786</v>
      </c>
      <c r="AD30" s="28">
        <f t="shared" si="16"/>
        <v>4.3989714725856786</v>
      </c>
      <c r="AE30" s="28" t="str">
        <f>IF(Cost!N93="","",Cost!N93)</f>
        <v>base fare, 0-10.8 USD, unit fare, 1.08-5.4 USD/km</v>
      </c>
    </row>
    <row r="31" spans="1:31" x14ac:dyDescent="0.25">
      <c r="A31" s="27">
        <f>ROW(Cost!A94)</f>
        <v>94</v>
      </c>
      <c r="B31" s="27" t="str">
        <f>Cost!A94</f>
        <v>Fu</v>
      </c>
      <c r="C31" s="27">
        <f>Cost!B94</f>
        <v>2020</v>
      </c>
      <c r="D31" s="27" t="str">
        <f>Cost!C94</f>
        <v>Germany</v>
      </c>
      <c r="E31" s="27" t="str">
        <f>Cost!D94</f>
        <v>Europe</v>
      </c>
      <c r="F31" s="27" t="str">
        <f>Cost!E94</f>
        <v>Intercity</v>
      </c>
      <c r="G31" s="27" t="str">
        <f>Cost!F94</f>
        <v>0-10 base + 1-5/km</v>
      </c>
      <c r="H31" s="27" t="str">
        <f>Cost!G94</f>
        <v>EUR</v>
      </c>
      <c r="I31" s="28">
        <f>Cost!H94</f>
        <v>0.91400000000000003</v>
      </c>
      <c r="J31" s="28">
        <f>Cost!I94</f>
        <v>1.2797856528201519</v>
      </c>
      <c r="K31" s="28">
        <f t="shared" si="17"/>
        <v>0</v>
      </c>
      <c r="L31" s="28">
        <f t="shared" si="18"/>
        <v>10</v>
      </c>
      <c r="M31" s="28">
        <f t="shared" si="19"/>
        <v>1</v>
      </c>
      <c r="N31" s="28">
        <f t="shared" si="20"/>
        <v>5</v>
      </c>
      <c r="O31" s="28">
        <v>10</v>
      </c>
      <c r="P31" s="28">
        <f t="shared" si="6"/>
        <v>3.5</v>
      </c>
      <c r="Q31" s="28">
        <v>50</v>
      </c>
      <c r="R31" s="28">
        <f t="shared" si="7"/>
        <v>3.1</v>
      </c>
      <c r="S31" s="28">
        <v>100</v>
      </c>
      <c r="T31" s="28">
        <f t="shared" si="8"/>
        <v>3.05</v>
      </c>
      <c r="U31" s="28">
        <v>150</v>
      </c>
      <c r="V31" s="28">
        <f t="shared" si="9"/>
        <v>3.0333333333333332</v>
      </c>
      <c r="W31" s="28">
        <v>200</v>
      </c>
      <c r="X31" s="28">
        <f t="shared" si="10"/>
        <v>3.0249999999999999</v>
      </c>
      <c r="Y31" s="28">
        <f t="shared" si="11"/>
        <v>3.1416666666666666</v>
      </c>
      <c r="Z31" s="28">
        <f t="shared" si="12"/>
        <v>3.1416666666666666</v>
      </c>
      <c r="AA31" s="28">
        <f t="shared" si="13"/>
        <v>3.1416666666666666</v>
      </c>
      <c r="AB31" s="28">
        <f t="shared" si="14"/>
        <v>4.3989714725856786</v>
      </c>
      <c r="AC31" s="28">
        <f t="shared" si="15"/>
        <v>4.3989714725856786</v>
      </c>
      <c r="AD31" s="28">
        <f t="shared" si="16"/>
        <v>4.3989714725856786</v>
      </c>
      <c r="AE31" s="28" t="str">
        <f>IF(Cost!N94="","",Cost!N94)</f>
        <v/>
      </c>
    </row>
    <row r="32" spans="1:31" x14ac:dyDescent="0.25">
      <c r="A32" s="27">
        <f>ROW(Cost!A95)</f>
        <v>95</v>
      </c>
      <c r="B32" s="27" t="str">
        <f>Cost!A95</f>
        <v>Fu</v>
      </c>
      <c r="C32" s="27">
        <f>Cost!B95</f>
        <v>2020</v>
      </c>
      <c r="D32" s="27" t="str">
        <f>Cost!C95</f>
        <v>Germany</v>
      </c>
      <c r="E32" s="27" t="str">
        <f>Cost!D95</f>
        <v>Europe</v>
      </c>
      <c r="F32" s="27" t="str">
        <f>Cost!E95</f>
        <v>Airport shuttle</v>
      </c>
      <c r="G32" s="27" t="str">
        <f>Cost!F95</f>
        <v>0-10 base + 1-5/km</v>
      </c>
      <c r="H32" s="27" t="str">
        <f>Cost!G95</f>
        <v>EUR</v>
      </c>
      <c r="I32" s="28">
        <f>Cost!H95</f>
        <v>0.91400000000000003</v>
      </c>
      <c r="J32" s="28">
        <f>Cost!I95</f>
        <v>1.2797856528201519</v>
      </c>
      <c r="K32" s="28">
        <f t="shared" si="17"/>
        <v>0</v>
      </c>
      <c r="L32" s="28">
        <f t="shared" si="18"/>
        <v>10</v>
      </c>
      <c r="M32" s="28">
        <f t="shared" si="19"/>
        <v>1</v>
      </c>
      <c r="N32" s="28">
        <f t="shared" si="20"/>
        <v>5</v>
      </c>
      <c r="O32" s="28">
        <v>10</v>
      </c>
      <c r="P32" s="28">
        <f t="shared" si="6"/>
        <v>3.5</v>
      </c>
      <c r="Q32" s="28">
        <v>50</v>
      </c>
      <c r="R32" s="28">
        <f t="shared" si="7"/>
        <v>3.1</v>
      </c>
      <c r="S32" s="28">
        <v>100</v>
      </c>
      <c r="T32" s="28">
        <f t="shared" si="8"/>
        <v>3.05</v>
      </c>
      <c r="U32" s="28">
        <v>150</v>
      </c>
      <c r="V32" s="28">
        <f t="shared" si="9"/>
        <v>3.0333333333333332</v>
      </c>
      <c r="W32" s="28">
        <v>200</v>
      </c>
      <c r="X32" s="28">
        <f t="shared" si="10"/>
        <v>3.0249999999999999</v>
      </c>
      <c r="Y32" s="28">
        <f t="shared" si="11"/>
        <v>3.1416666666666666</v>
      </c>
      <c r="Z32" s="28">
        <f t="shared" si="12"/>
        <v>3.1416666666666666</v>
      </c>
      <c r="AA32" s="28">
        <f t="shared" si="13"/>
        <v>3.1416666666666666</v>
      </c>
      <c r="AB32" s="28">
        <f t="shared" si="14"/>
        <v>4.3989714725856786</v>
      </c>
      <c r="AC32" s="28">
        <f t="shared" si="15"/>
        <v>4.3989714725856786</v>
      </c>
      <c r="AD32" s="28">
        <f t="shared" si="16"/>
        <v>4.3989714725856786</v>
      </c>
      <c r="AE32" s="28" t="str">
        <f>IF(Cost!N95="","",Cost!N95)</f>
        <v/>
      </c>
    </row>
    <row r="33" spans="1:31" x14ac:dyDescent="0.25">
      <c r="A33" s="27">
        <f>ROW(Cost!A97)</f>
        <v>97</v>
      </c>
      <c r="B33" s="27" t="str">
        <f>Cost!A97</f>
        <v>Ploetner</v>
      </c>
      <c r="C33" s="27">
        <f>Cost!B97</f>
        <v>2020</v>
      </c>
      <c r="D33" s="27" t="str">
        <f>Cost!C97</f>
        <v>Germany</v>
      </c>
      <c r="E33" s="27" t="str">
        <f>Cost!D97</f>
        <v>Europe</v>
      </c>
      <c r="F33" s="27" t="str">
        <f>Cost!E97</f>
        <v>Intracity</v>
      </c>
      <c r="G33" s="27" t="str">
        <f>Cost!F97</f>
        <v>0-10 base + 1-5/km</v>
      </c>
      <c r="H33" s="27" t="str">
        <f>Cost!G97</f>
        <v>EUR</v>
      </c>
      <c r="I33" s="28">
        <f>Cost!H97</f>
        <v>0.89300000000000002</v>
      </c>
      <c r="J33" s="28">
        <f>Cost!I97</f>
        <v>1.2797856528201519</v>
      </c>
      <c r="K33" s="28">
        <f t="shared" si="17"/>
        <v>0</v>
      </c>
      <c r="L33" s="28">
        <f t="shared" si="18"/>
        <v>10</v>
      </c>
      <c r="M33" s="28">
        <f t="shared" si="19"/>
        <v>1</v>
      </c>
      <c r="N33" s="28">
        <f t="shared" si="20"/>
        <v>5</v>
      </c>
      <c r="O33" s="28">
        <v>10</v>
      </c>
      <c r="P33" s="28">
        <f t="shared" si="6"/>
        <v>3.5</v>
      </c>
      <c r="Q33" s="28">
        <v>50</v>
      </c>
      <c r="R33" s="28">
        <f t="shared" si="7"/>
        <v>3.1</v>
      </c>
      <c r="S33" s="28">
        <v>100</v>
      </c>
      <c r="T33" s="28">
        <f t="shared" si="8"/>
        <v>3.05</v>
      </c>
      <c r="U33" s="28">
        <v>150</v>
      </c>
      <c r="V33" s="28">
        <f t="shared" si="9"/>
        <v>3.0333333333333332</v>
      </c>
      <c r="W33" s="28">
        <v>200</v>
      </c>
      <c r="X33" s="28">
        <f t="shared" si="10"/>
        <v>3.0249999999999999</v>
      </c>
      <c r="Y33" s="28">
        <f t="shared" si="11"/>
        <v>3.1416666666666666</v>
      </c>
      <c r="Z33" s="28">
        <f t="shared" si="12"/>
        <v>3.1416666666666666</v>
      </c>
      <c r="AA33" s="28">
        <f t="shared" si="13"/>
        <v>3.1416666666666666</v>
      </c>
      <c r="AB33" s="28">
        <f t="shared" si="14"/>
        <v>4.5024187300596985</v>
      </c>
      <c r="AC33" s="28">
        <f t="shared" si="15"/>
        <v>4.5024187300596985</v>
      </c>
      <c r="AD33" s="28">
        <f t="shared" si="16"/>
        <v>4.5024187300596985</v>
      </c>
      <c r="AE33" s="28" t="str">
        <f>IF(Cost!N97="","",Cost!N97)</f>
        <v>base fare, 0-10.8 USD, unit fare, 1.08-5.4 USD/km</v>
      </c>
    </row>
    <row r="34" spans="1:31" x14ac:dyDescent="0.25">
      <c r="A34" s="27">
        <f>ROW(Cost!A98)</f>
        <v>98</v>
      </c>
      <c r="B34" s="27" t="str">
        <f>Cost!A98</f>
        <v>Ploetner</v>
      </c>
      <c r="C34" s="27">
        <f>Cost!B98</f>
        <v>2020</v>
      </c>
      <c r="D34" s="27" t="str">
        <f>Cost!C98</f>
        <v>Germany</v>
      </c>
      <c r="E34" s="27" t="str">
        <f>Cost!D98</f>
        <v>Europe</v>
      </c>
      <c r="F34" s="27" t="str">
        <f>Cost!E98</f>
        <v>Intercity</v>
      </c>
      <c r="G34" s="27" t="str">
        <f>Cost!F98</f>
        <v>0-10 base + 1-5/km</v>
      </c>
      <c r="H34" s="27" t="str">
        <f>Cost!G98</f>
        <v>EUR</v>
      </c>
      <c r="I34" s="28">
        <f>Cost!H98</f>
        <v>0.89300000000000002</v>
      </c>
      <c r="J34" s="28">
        <f>Cost!I98</f>
        <v>1.2797856528201519</v>
      </c>
      <c r="K34" s="28">
        <f t="shared" si="17"/>
        <v>0</v>
      </c>
      <c r="L34" s="28">
        <f t="shared" si="18"/>
        <v>10</v>
      </c>
      <c r="M34" s="28">
        <f t="shared" si="19"/>
        <v>1</v>
      </c>
      <c r="N34" s="28">
        <f t="shared" si="20"/>
        <v>5</v>
      </c>
      <c r="O34" s="28">
        <v>10</v>
      </c>
      <c r="P34" s="28">
        <f t="shared" si="6"/>
        <v>3.5</v>
      </c>
      <c r="Q34" s="28">
        <v>50</v>
      </c>
      <c r="R34" s="28">
        <f t="shared" si="7"/>
        <v>3.1</v>
      </c>
      <c r="S34" s="28">
        <v>100</v>
      </c>
      <c r="T34" s="28">
        <f t="shared" si="8"/>
        <v>3.05</v>
      </c>
      <c r="U34" s="28">
        <v>150</v>
      </c>
      <c r="V34" s="28">
        <f t="shared" si="9"/>
        <v>3.0333333333333332</v>
      </c>
      <c r="W34" s="28">
        <v>200</v>
      </c>
      <c r="X34" s="28">
        <f t="shared" si="10"/>
        <v>3.0249999999999999</v>
      </c>
      <c r="Y34" s="28">
        <f t="shared" si="11"/>
        <v>3.1416666666666666</v>
      </c>
      <c r="Z34" s="28">
        <f t="shared" si="12"/>
        <v>3.1416666666666666</v>
      </c>
      <c r="AA34" s="28">
        <f t="shared" si="13"/>
        <v>3.1416666666666666</v>
      </c>
      <c r="AB34" s="28">
        <f t="shared" si="14"/>
        <v>4.5024187300596985</v>
      </c>
      <c r="AC34" s="28">
        <f t="shared" si="15"/>
        <v>4.5024187300596985</v>
      </c>
      <c r="AD34" s="28">
        <f t="shared" si="16"/>
        <v>4.5024187300596985</v>
      </c>
      <c r="AE34" s="28" t="str">
        <f>IF(Cost!N98="","",Cost!N98)</f>
        <v/>
      </c>
    </row>
    <row r="35" spans="1:31" x14ac:dyDescent="0.25">
      <c r="A35" s="27">
        <f>ROW(Cost!A99)</f>
        <v>99</v>
      </c>
      <c r="B35" s="27" t="str">
        <f>Cost!A99</f>
        <v>Ploetner</v>
      </c>
      <c r="C35" s="27">
        <f>Cost!B99</f>
        <v>2020</v>
      </c>
      <c r="D35" s="27" t="str">
        <f>Cost!C99</f>
        <v>Germany</v>
      </c>
      <c r="E35" s="27" t="str">
        <f>Cost!D99</f>
        <v>Europe</v>
      </c>
      <c r="F35" s="27" t="str">
        <f>Cost!E99</f>
        <v>Airport shuttle</v>
      </c>
      <c r="G35" s="27" t="str">
        <f>Cost!F99</f>
        <v>0-10 base + 1-5/km</v>
      </c>
      <c r="H35" s="27" t="str">
        <f>Cost!G99</f>
        <v>EUR</v>
      </c>
      <c r="I35" s="28">
        <f>Cost!H99</f>
        <v>0.89300000000000002</v>
      </c>
      <c r="J35" s="28">
        <f>Cost!I99</f>
        <v>1.2797856528201519</v>
      </c>
      <c r="K35" s="28">
        <f t="shared" si="17"/>
        <v>0</v>
      </c>
      <c r="L35" s="28">
        <f t="shared" si="18"/>
        <v>10</v>
      </c>
      <c r="M35" s="28">
        <f t="shared" si="19"/>
        <v>1</v>
      </c>
      <c r="N35" s="28">
        <f t="shared" si="20"/>
        <v>5</v>
      </c>
      <c r="O35" s="28">
        <v>10</v>
      </c>
      <c r="P35" s="28">
        <f t="shared" si="6"/>
        <v>3.5</v>
      </c>
      <c r="Q35" s="28">
        <v>50</v>
      </c>
      <c r="R35" s="28">
        <f t="shared" si="7"/>
        <v>3.1</v>
      </c>
      <c r="S35" s="28">
        <v>100</v>
      </c>
      <c r="T35" s="28">
        <f t="shared" si="8"/>
        <v>3.05</v>
      </c>
      <c r="U35" s="28">
        <v>150</v>
      </c>
      <c r="V35" s="28">
        <f t="shared" si="9"/>
        <v>3.0333333333333332</v>
      </c>
      <c r="W35" s="28">
        <v>200</v>
      </c>
      <c r="X35" s="28">
        <f t="shared" si="10"/>
        <v>3.0249999999999999</v>
      </c>
      <c r="Y35" s="28">
        <f t="shared" si="11"/>
        <v>3.1416666666666666</v>
      </c>
      <c r="Z35" s="28">
        <f t="shared" si="12"/>
        <v>3.1416666666666666</v>
      </c>
      <c r="AA35" s="28">
        <f t="shared" si="13"/>
        <v>3.1416666666666666</v>
      </c>
      <c r="AB35" s="28">
        <f t="shared" si="14"/>
        <v>4.5024187300596985</v>
      </c>
      <c r="AC35" s="28">
        <f t="shared" si="15"/>
        <v>4.5024187300596985</v>
      </c>
      <c r="AD35" s="28">
        <f t="shared" si="16"/>
        <v>4.5024187300596985</v>
      </c>
      <c r="AE35" s="28" t="str">
        <f>IF(Cost!N99="","",Cost!N99)</f>
        <v/>
      </c>
    </row>
    <row r="36" spans="1:31" x14ac:dyDescent="0.25">
      <c r="A36" s="27">
        <f>ROW(Cost!A100)</f>
        <v>100</v>
      </c>
      <c r="B36" s="27" t="str">
        <f>Cost!A100</f>
        <v>Balac (a)</v>
      </c>
      <c r="C36" s="27">
        <f>Cost!B100</f>
        <v>2019</v>
      </c>
      <c r="D36" s="27" t="str">
        <f>Cost!C100</f>
        <v>Switzerland</v>
      </c>
      <c r="E36" s="27" t="str">
        <f>Cost!D100</f>
        <v>Europe</v>
      </c>
      <c r="F36" s="27" t="str">
        <f>Cost!E100</f>
        <v>Intracity</v>
      </c>
      <c r="G36" s="27" t="str">
        <f>Cost!F100</f>
        <v>3-60 base + 0.6-4.2/km</v>
      </c>
      <c r="H36" s="27" t="str">
        <f>Cost!G100</f>
        <v>CHF</v>
      </c>
      <c r="I36" s="28">
        <f>Cost!H100</f>
        <v>0.73</v>
      </c>
      <c r="J36" s="28">
        <f>Cost!I100</f>
        <v>1.2958205650832804</v>
      </c>
      <c r="K36" s="28">
        <f>3+0</f>
        <v>3</v>
      </c>
      <c r="L36" s="28">
        <f>60+0</f>
        <v>60</v>
      </c>
      <c r="M36" s="28">
        <f>(0+0.6)/1</f>
        <v>0.6</v>
      </c>
      <c r="N36" s="28">
        <f>(0+4.2)/1</f>
        <v>4.2</v>
      </c>
      <c r="O36" s="28">
        <v>10</v>
      </c>
      <c r="P36" s="28">
        <f t="shared" si="6"/>
        <v>5.55</v>
      </c>
      <c r="Q36" s="28">
        <v>50</v>
      </c>
      <c r="R36" s="28">
        <f t="shared" si="7"/>
        <v>3.03</v>
      </c>
      <c r="S36" s="28">
        <v>100</v>
      </c>
      <c r="T36" s="28">
        <f t="shared" si="8"/>
        <v>2.7149999999999999</v>
      </c>
      <c r="U36" s="28">
        <v>150</v>
      </c>
      <c r="V36" s="28">
        <f t="shared" si="9"/>
        <v>2.61</v>
      </c>
      <c r="W36" s="28">
        <v>200</v>
      </c>
      <c r="X36" s="28">
        <f t="shared" si="10"/>
        <v>2.5575000000000001</v>
      </c>
      <c r="Y36" s="28">
        <f t="shared" si="11"/>
        <v>3.2924999999999995</v>
      </c>
      <c r="Z36" s="28">
        <f t="shared" si="12"/>
        <v>3.2924999999999995</v>
      </c>
      <c r="AA36" s="28">
        <f t="shared" si="13"/>
        <v>3.2924999999999995</v>
      </c>
      <c r="AB36" s="28">
        <f t="shared" si="14"/>
        <v>5.844505767858494</v>
      </c>
      <c r="AC36" s="28">
        <f t="shared" si="15"/>
        <v>5.844505767858494</v>
      </c>
      <c r="AD36" s="28">
        <f t="shared" si="16"/>
        <v>5.844505767858494</v>
      </c>
      <c r="AE36" s="28" t="str">
        <f>IF(Cost!N100="","",Cost!N100)</f>
        <v>base fare, 3.4-67.96 USD, unit fare, 0.68-4.75 USD/km</v>
      </c>
    </row>
    <row r="37" spans="1:31" x14ac:dyDescent="0.25">
      <c r="A37" s="27">
        <f>ROW(Cost!A101)</f>
        <v>101</v>
      </c>
      <c r="B37" s="27" t="str">
        <f>Cost!A101</f>
        <v>Balac (a)</v>
      </c>
      <c r="C37" s="27">
        <f>Cost!B101</f>
        <v>2019</v>
      </c>
      <c r="D37" s="27" t="str">
        <f>Cost!C101</f>
        <v>Switzerland</v>
      </c>
      <c r="E37" s="27" t="str">
        <f>Cost!D101</f>
        <v>Europe</v>
      </c>
      <c r="F37" s="27" t="str">
        <f>Cost!E101</f>
        <v>Intercity</v>
      </c>
      <c r="G37" s="27" t="str">
        <f>Cost!F101</f>
        <v>3-60 base + 0.6-4.2/km</v>
      </c>
      <c r="H37" s="27" t="str">
        <f>Cost!G101</f>
        <v>CHF</v>
      </c>
      <c r="I37" s="28">
        <f>Cost!H101</f>
        <v>0.73</v>
      </c>
      <c r="J37" s="28">
        <f>Cost!I101</f>
        <v>1.2958205650832804</v>
      </c>
      <c r="K37" s="28">
        <f>3+0</f>
        <v>3</v>
      </c>
      <c r="L37" s="28">
        <f>60+0</f>
        <v>60</v>
      </c>
      <c r="M37" s="28">
        <f>(0+0.6)/1</f>
        <v>0.6</v>
      </c>
      <c r="N37" s="28">
        <f>(0+4.2)/1</f>
        <v>4.2</v>
      </c>
      <c r="O37" s="28">
        <v>10</v>
      </c>
      <c r="P37" s="28">
        <f t="shared" si="6"/>
        <v>5.55</v>
      </c>
      <c r="Q37" s="28">
        <v>50</v>
      </c>
      <c r="R37" s="28">
        <f t="shared" si="7"/>
        <v>3.03</v>
      </c>
      <c r="S37" s="28">
        <v>100</v>
      </c>
      <c r="T37" s="28">
        <f t="shared" si="8"/>
        <v>2.7149999999999999</v>
      </c>
      <c r="U37" s="28">
        <v>150</v>
      </c>
      <c r="V37" s="28">
        <f t="shared" si="9"/>
        <v>2.61</v>
      </c>
      <c r="W37" s="28">
        <v>200</v>
      </c>
      <c r="X37" s="28">
        <f t="shared" si="10"/>
        <v>2.5575000000000001</v>
      </c>
      <c r="Y37" s="28">
        <f t="shared" si="11"/>
        <v>3.2924999999999995</v>
      </c>
      <c r="Z37" s="28">
        <f t="shared" si="12"/>
        <v>3.2924999999999995</v>
      </c>
      <c r="AA37" s="28">
        <f t="shared" si="13"/>
        <v>3.2924999999999995</v>
      </c>
      <c r="AB37" s="28">
        <f t="shared" si="14"/>
        <v>5.844505767858494</v>
      </c>
      <c r="AC37" s="28">
        <f t="shared" si="15"/>
        <v>5.844505767858494</v>
      </c>
      <c r="AD37" s="28">
        <f t="shared" si="16"/>
        <v>5.844505767858494</v>
      </c>
      <c r="AE37" s="28" t="str">
        <f>IF(Cost!N101="","",Cost!N101)</f>
        <v/>
      </c>
    </row>
    <row r="38" spans="1:31" x14ac:dyDescent="0.25">
      <c r="A38" s="27">
        <f>ROW(Cost!A102)</f>
        <v>102</v>
      </c>
      <c r="B38" s="27" t="str">
        <f>Cost!A102</f>
        <v>Balac (a)</v>
      </c>
      <c r="C38" s="27">
        <f>Cost!B102</f>
        <v>2019</v>
      </c>
      <c r="D38" s="27" t="str">
        <f>Cost!C102</f>
        <v>Switzerland</v>
      </c>
      <c r="E38" s="27" t="str">
        <f>Cost!D102</f>
        <v>Europe</v>
      </c>
      <c r="F38" s="27" t="str">
        <f>Cost!E102</f>
        <v>Airport shuttle</v>
      </c>
      <c r="G38" s="27" t="str">
        <f>Cost!F102</f>
        <v>3-60 base + 0.6-4.2/km</v>
      </c>
      <c r="H38" s="27" t="str">
        <f>Cost!G102</f>
        <v>CHF</v>
      </c>
      <c r="I38" s="28">
        <f>Cost!H102</f>
        <v>0.73</v>
      </c>
      <c r="J38" s="28">
        <f>Cost!I102</f>
        <v>1.2958205650832804</v>
      </c>
      <c r="K38" s="28">
        <f>3+0</f>
        <v>3</v>
      </c>
      <c r="L38" s="28">
        <f>60+0</f>
        <v>60</v>
      </c>
      <c r="M38" s="28">
        <f>(0+0.6)/1</f>
        <v>0.6</v>
      </c>
      <c r="N38" s="28">
        <f>(0+4.2)/1</f>
        <v>4.2</v>
      </c>
      <c r="O38" s="28">
        <v>10</v>
      </c>
      <c r="P38" s="28">
        <f t="shared" si="6"/>
        <v>5.55</v>
      </c>
      <c r="Q38" s="28">
        <v>50</v>
      </c>
      <c r="R38" s="28">
        <f t="shared" si="7"/>
        <v>3.03</v>
      </c>
      <c r="S38" s="28">
        <v>100</v>
      </c>
      <c r="T38" s="28">
        <f t="shared" si="8"/>
        <v>2.7149999999999999</v>
      </c>
      <c r="U38" s="28">
        <v>150</v>
      </c>
      <c r="V38" s="28">
        <f t="shared" si="9"/>
        <v>2.61</v>
      </c>
      <c r="W38" s="28">
        <v>200</v>
      </c>
      <c r="X38" s="28">
        <f t="shared" si="10"/>
        <v>2.5575000000000001</v>
      </c>
      <c r="Y38" s="28">
        <f t="shared" si="11"/>
        <v>3.2924999999999995</v>
      </c>
      <c r="Z38" s="28">
        <f t="shared" si="12"/>
        <v>3.2924999999999995</v>
      </c>
      <c r="AA38" s="28">
        <f t="shared" si="13"/>
        <v>3.2924999999999995</v>
      </c>
      <c r="AB38" s="28">
        <f t="shared" si="14"/>
        <v>5.844505767858494</v>
      </c>
      <c r="AC38" s="28">
        <f t="shared" si="15"/>
        <v>5.844505767858494</v>
      </c>
      <c r="AD38" s="28">
        <f t="shared" si="16"/>
        <v>5.844505767858494</v>
      </c>
      <c r="AE38" s="28" t="str">
        <f>IF(Cost!N102="","",Cost!N102)</f>
        <v/>
      </c>
    </row>
    <row r="39" spans="1:31" x14ac:dyDescent="0.25">
      <c r="A39" s="27">
        <f>ROW(Cost!A103)</f>
        <v>103</v>
      </c>
      <c r="B39" s="27" t="str">
        <f>Cost!A103</f>
        <v>Balac (b)</v>
      </c>
      <c r="C39" s="27">
        <f>Cost!B103</f>
        <v>2019</v>
      </c>
      <c r="D39" s="27" t="str">
        <f>Cost!C103</f>
        <v>Switzerland</v>
      </c>
      <c r="E39" s="27" t="str">
        <f>Cost!D103</f>
        <v>Europe</v>
      </c>
      <c r="F39" s="27" t="str">
        <f>Cost!E103</f>
        <v>Intracity</v>
      </c>
      <c r="G39" s="27" t="str">
        <f>Cost!F103</f>
        <v>4 base + 2-4/km</v>
      </c>
      <c r="H39" s="27" t="str">
        <f>Cost!G103</f>
        <v>CHF</v>
      </c>
      <c r="I39" s="28">
        <f>Cost!H103</f>
        <v>0.96599999999999997</v>
      </c>
      <c r="J39" s="28">
        <f>Cost!I103</f>
        <v>1.2958205650832804</v>
      </c>
      <c r="K39" s="28">
        <f>4+0</f>
        <v>4</v>
      </c>
      <c r="L39" s="28">
        <f>4+0</f>
        <v>4</v>
      </c>
      <c r="M39" s="28">
        <f>(0+2)/1</f>
        <v>2</v>
      </c>
      <c r="N39" s="28">
        <f>(0+4)/1</f>
        <v>4</v>
      </c>
      <c r="O39" s="28">
        <v>10</v>
      </c>
      <c r="P39" s="28">
        <f t="shared" si="6"/>
        <v>3.4</v>
      </c>
      <c r="Q39" s="28">
        <v>50</v>
      </c>
      <c r="R39" s="28">
        <f t="shared" si="7"/>
        <v>3.08</v>
      </c>
      <c r="S39" s="28">
        <v>100</v>
      </c>
      <c r="T39" s="28">
        <f t="shared" si="8"/>
        <v>3.04</v>
      </c>
      <c r="U39" s="28">
        <v>150</v>
      </c>
      <c r="V39" s="28">
        <f t="shared" si="9"/>
        <v>3.0266666666666668</v>
      </c>
      <c r="W39" s="28">
        <v>200</v>
      </c>
      <c r="X39" s="28">
        <f t="shared" si="10"/>
        <v>3.02</v>
      </c>
      <c r="Y39" s="28">
        <f t="shared" si="11"/>
        <v>3.1133333333333333</v>
      </c>
      <c r="Z39" s="28">
        <f t="shared" si="12"/>
        <v>3.1133333333333333</v>
      </c>
      <c r="AA39" s="28">
        <f t="shared" si="13"/>
        <v>3.1133333333333333</v>
      </c>
      <c r="AB39" s="28">
        <f t="shared" si="14"/>
        <v>4.1763161069281711</v>
      </c>
      <c r="AC39" s="28">
        <f t="shared" si="15"/>
        <v>4.1763161069281711</v>
      </c>
      <c r="AD39" s="28">
        <f t="shared" si="16"/>
        <v>4.1763161069281711</v>
      </c>
      <c r="AE39" s="28" t="str">
        <f>IF(Cost!N103="","",Cost!N103)</f>
        <v>base fare, 4.52 USD, unit fare, 2.27-4.52 USD/km</v>
      </c>
    </row>
    <row r="40" spans="1:31" x14ac:dyDescent="0.25">
      <c r="A40" s="27">
        <f>ROW(Cost!A104)</f>
        <v>104</v>
      </c>
      <c r="B40" s="27" t="str">
        <f>Cost!A104</f>
        <v>Balac (b)</v>
      </c>
      <c r="C40" s="27">
        <f>Cost!B104</f>
        <v>2019</v>
      </c>
      <c r="D40" s="27" t="str">
        <f>Cost!C104</f>
        <v>Switzerland</v>
      </c>
      <c r="E40" s="27" t="str">
        <f>Cost!D104</f>
        <v>Europe</v>
      </c>
      <c r="F40" s="27" t="str">
        <f>Cost!E104</f>
        <v>Intercity</v>
      </c>
      <c r="G40" s="27" t="str">
        <f>Cost!F104</f>
        <v>4 base + 2-4/km</v>
      </c>
      <c r="H40" s="27" t="str">
        <f>Cost!G104</f>
        <v>CHF</v>
      </c>
      <c r="I40" s="28">
        <f>Cost!H104</f>
        <v>0.96599999999999997</v>
      </c>
      <c r="J40" s="28">
        <f>Cost!I104</f>
        <v>1.2958205650832804</v>
      </c>
      <c r="K40" s="28">
        <f>4+0</f>
        <v>4</v>
      </c>
      <c r="L40" s="28">
        <f>4+0</f>
        <v>4</v>
      </c>
      <c r="M40" s="28">
        <f>(0+2)/1</f>
        <v>2</v>
      </c>
      <c r="N40" s="28">
        <f>(0+4)/1</f>
        <v>4</v>
      </c>
      <c r="O40" s="28">
        <v>10</v>
      </c>
      <c r="P40" s="28">
        <f t="shared" si="6"/>
        <v>3.4</v>
      </c>
      <c r="Q40" s="28">
        <v>50</v>
      </c>
      <c r="R40" s="28">
        <f t="shared" si="7"/>
        <v>3.08</v>
      </c>
      <c r="S40" s="28">
        <v>100</v>
      </c>
      <c r="T40" s="28">
        <f t="shared" si="8"/>
        <v>3.04</v>
      </c>
      <c r="U40" s="28">
        <v>150</v>
      </c>
      <c r="V40" s="28">
        <f t="shared" si="9"/>
        <v>3.0266666666666668</v>
      </c>
      <c r="W40" s="28">
        <v>200</v>
      </c>
      <c r="X40" s="28">
        <f t="shared" si="10"/>
        <v>3.02</v>
      </c>
      <c r="Y40" s="28">
        <f t="shared" si="11"/>
        <v>3.1133333333333333</v>
      </c>
      <c r="Z40" s="28">
        <f t="shared" si="12"/>
        <v>3.1133333333333333</v>
      </c>
      <c r="AA40" s="28">
        <f t="shared" si="13"/>
        <v>3.1133333333333333</v>
      </c>
      <c r="AB40" s="28">
        <f t="shared" si="14"/>
        <v>4.1763161069281711</v>
      </c>
      <c r="AC40" s="28">
        <f t="shared" si="15"/>
        <v>4.1763161069281711</v>
      </c>
      <c r="AD40" s="28">
        <f t="shared" si="16"/>
        <v>4.1763161069281711</v>
      </c>
      <c r="AE40" s="28" t="str">
        <f>IF(Cost!N104="","",Cost!N104)</f>
        <v/>
      </c>
    </row>
    <row r="41" spans="1:31" x14ac:dyDescent="0.25">
      <c r="A41" s="27">
        <f>ROW(Cost!A119)</f>
        <v>119</v>
      </c>
      <c r="B41" s="27" t="str">
        <f>Cost!A119</f>
        <v>Syed (a)</v>
      </c>
      <c r="C41" s="27">
        <f>Cost!B119</f>
        <v>2017</v>
      </c>
      <c r="D41" s="27" t="str">
        <f>Cost!C119</f>
        <v>US</v>
      </c>
      <c r="E41" s="27" t="str">
        <f>Cost!D119</f>
        <v>US</v>
      </c>
      <c r="F41" s="27" t="str">
        <f>Cost!E119</f>
        <v>Intercity</v>
      </c>
      <c r="G41" s="27" t="str">
        <f>Cost!F119</f>
        <v>15 base + 0.15/mile landing + 0.75-1.63/mile</v>
      </c>
      <c r="H41" s="27" t="str">
        <f>Cost!G119</f>
        <v>USD</v>
      </c>
      <c r="I41" s="28">
        <f>Cost!H119</f>
        <v>1</v>
      </c>
      <c r="J41" s="28">
        <f>Cost!I119</f>
        <v>1.3514952819219894</v>
      </c>
      <c r="K41" s="28">
        <f>15+0</f>
        <v>15</v>
      </c>
      <c r="L41" s="28">
        <f>15+0</f>
        <v>15</v>
      </c>
      <c r="M41" s="28">
        <f>(0.15+0.75)/1.609344</f>
        <v>0.55923407301360051</v>
      </c>
      <c r="N41" s="28">
        <f>(0.15+1.63)/1.609344</f>
        <v>1.1060407221824542</v>
      </c>
      <c r="O41" s="28">
        <v>10</v>
      </c>
      <c r="P41" s="28">
        <f t="shared" si="6"/>
        <v>2.3326373975980275</v>
      </c>
      <c r="Q41" s="28">
        <v>50</v>
      </c>
      <c r="R41" s="28">
        <f t="shared" si="7"/>
        <v>1.1326373975980273</v>
      </c>
      <c r="S41" s="28">
        <v>100</v>
      </c>
      <c r="T41" s="28">
        <f t="shared" si="8"/>
        <v>0.98263739759802737</v>
      </c>
      <c r="U41" s="28">
        <v>150</v>
      </c>
      <c r="V41" s="28">
        <f t="shared" si="9"/>
        <v>0.93263739759802733</v>
      </c>
      <c r="W41" s="28">
        <v>200</v>
      </c>
      <c r="X41" s="28">
        <f t="shared" si="10"/>
        <v>0.90763739759802731</v>
      </c>
      <c r="Y41" s="28">
        <f t="shared" si="11"/>
        <v>1.2576373975980273</v>
      </c>
      <c r="Z41" s="28">
        <f t="shared" si="12"/>
        <v>1.2576373975980273</v>
      </c>
      <c r="AA41" s="28">
        <f t="shared" si="13"/>
        <v>1.2576373975980273</v>
      </c>
      <c r="AB41" s="28">
        <f t="shared" si="14"/>
        <v>1.6996910092223829</v>
      </c>
      <c r="AC41" s="28">
        <f t="shared" si="15"/>
        <v>1.6996910092223829</v>
      </c>
      <c r="AD41" s="28">
        <f t="shared" si="16"/>
        <v>1.6996910092223829</v>
      </c>
      <c r="AE41" s="28" t="str">
        <f>IF(Cost!N119="","",Cost!N119)</f>
        <v>base fare, 15 USD, landing fare, 0.09 USD/km unit fare, 0.47-1.01 USD/km</v>
      </c>
    </row>
    <row r="42" spans="1:31" x14ac:dyDescent="0.25">
      <c r="A42" s="27">
        <f>ROW(Cost!A120)</f>
        <v>120</v>
      </c>
      <c r="B42" s="27" t="str">
        <f>Cost!A120</f>
        <v>Syed (b)</v>
      </c>
      <c r="C42" s="27">
        <f>Cost!B120</f>
        <v>2017</v>
      </c>
      <c r="D42" s="27" t="str">
        <f>Cost!C120</f>
        <v>US</v>
      </c>
      <c r="E42" s="27" t="str">
        <f>Cost!D120</f>
        <v>US</v>
      </c>
      <c r="F42" s="27" t="str">
        <f>Cost!E120</f>
        <v>Intercity</v>
      </c>
      <c r="G42" s="27" t="str">
        <f>Cost!F120</f>
        <v>15 base + 0.15/mile landing + 0.75-1.63/mile</v>
      </c>
      <c r="H42" s="27" t="str">
        <f>Cost!G120</f>
        <v>USD</v>
      </c>
      <c r="I42" s="28">
        <f>Cost!H120</f>
        <v>1</v>
      </c>
      <c r="J42" s="28">
        <f>Cost!I120</f>
        <v>1.3514952819219894</v>
      </c>
      <c r="K42" s="28">
        <f>15+0</f>
        <v>15</v>
      </c>
      <c r="L42" s="28">
        <f>15+0</f>
        <v>15</v>
      </c>
      <c r="M42" s="28">
        <f>(0.15+0.75)/1.609344</f>
        <v>0.55923407301360051</v>
      </c>
      <c r="N42" s="28">
        <f>(0.15+1.63)/1.609344</f>
        <v>1.1060407221824542</v>
      </c>
      <c r="O42" s="28">
        <v>10</v>
      </c>
      <c r="P42" s="28">
        <f t="shared" si="6"/>
        <v>2.3326373975980275</v>
      </c>
      <c r="Q42" s="28">
        <v>50</v>
      </c>
      <c r="R42" s="28">
        <f t="shared" si="7"/>
        <v>1.1326373975980273</v>
      </c>
      <c r="S42" s="28">
        <v>100</v>
      </c>
      <c r="T42" s="28">
        <f t="shared" si="8"/>
        <v>0.98263739759802737</v>
      </c>
      <c r="U42" s="28">
        <v>150</v>
      </c>
      <c r="V42" s="28">
        <f t="shared" si="9"/>
        <v>0.93263739759802733</v>
      </c>
      <c r="W42" s="28">
        <v>200</v>
      </c>
      <c r="X42" s="28">
        <f t="shared" si="10"/>
        <v>0.90763739759802731</v>
      </c>
      <c r="Y42" s="28">
        <f t="shared" si="11"/>
        <v>1.2576373975980273</v>
      </c>
      <c r="Z42" s="28">
        <f t="shared" si="12"/>
        <v>1.2576373975980273</v>
      </c>
      <c r="AA42" s="28">
        <f t="shared" si="13"/>
        <v>1.2576373975980273</v>
      </c>
      <c r="AB42" s="28">
        <f t="shared" si="14"/>
        <v>1.6996910092223829</v>
      </c>
      <c r="AC42" s="28">
        <f t="shared" si="15"/>
        <v>1.6996910092223829</v>
      </c>
      <c r="AD42" s="28">
        <f t="shared" si="16"/>
        <v>1.6996910092223829</v>
      </c>
      <c r="AE42" s="28" t="str">
        <f>IF(Cost!N120="","",Cost!N120)</f>
        <v>base fare, 15 USD, landing fare, 0.09 USD/km unit fare, 0.47-1.01 USD/km</v>
      </c>
    </row>
    <row r="43" spans="1:31" x14ac:dyDescent="0.25">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row>
    <row r="44" spans="1:31" x14ac:dyDescent="0.25">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row>
    <row r="45" spans="1:31" x14ac:dyDescent="0.25">
      <c r="A45" s="43" t="s">
        <v>523</v>
      </c>
      <c r="B45" s="44"/>
      <c r="C45" s="44"/>
      <c r="D45" s="44"/>
      <c r="E45" s="44"/>
      <c r="F45" s="44"/>
      <c r="G45" s="44"/>
      <c r="H45" s="44"/>
      <c r="I45" s="44"/>
      <c r="J45" s="44"/>
      <c r="K45" s="44"/>
      <c r="L45" s="44"/>
      <c r="M45" s="44"/>
      <c r="N45" s="44"/>
      <c r="O45" s="44"/>
      <c r="P45" s="45"/>
      <c r="Q45" s="21"/>
      <c r="R45" s="21"/>
      <c r="S45" s="21"/>
      <c r="T45" s="21"/>
      <c r="U45" s="21"/>
      <c r="V45" s="21"/>
      <c r="W45" s="21"/>
      <c r="X45" s="21"/>
      <c r="Y45" s="21"/>
      <c r="Z45" s="21"/>
      <c r="AA45" s="21"/>
      <c r="AB45" s="21"/>
      <c r="AC45" s="21"/>
      <c r="AD45" s="21"/>
      <c r="AE45" s="21"/>
    </row>
    <row r="46" spans="1:31" ht="25.5" x14ac:dyDescent="0.25">
      <c r="A46" s="46" t="s">
        <v>495</v>
      </c>
      <c r="B46" s="46" t="s">
        <v>51</v>
      </c>
      <c r="C46" s="46" t="s">
        <v>52</v>
      </c>
      <c r="D46" s="46" t="s">
        <v>53</v>
      </c>
      <c r="E46" s="46" t="s">
        <v>54</v>
      </c>
      <c r="F46" s="46" t="s">
        <v>55</v>
      </c>
      <c r="G46" s="46" t="s">
        <v>496</v>
      </c>
      <c r="H46" s="46" t="s">
        <v>154</v>
      </c>
      <c r="I46" s="46" t="s">
        <v>155</v>
      </c>
      <c r="J46" s="46" t="s">
        <v>497</v>
      </c>
      <c r="K46" s="46" t="s">
        <v>503</v>
      </c>
      <c r="L46" s="46" t="s">
        <v>504</v>
      </c>
      <c r="M46" s="46" t="s">
        <v>505</v>
      </c>
      <c r="N46" s="46" t="s">
        <v>506</v>
      </c>
      <c r="O46" s="46" t="s">
        <v>56</v>
      </c>
      <c r="P46" s="46" t="s">
        <v>3</v>
      </c>
      <c r="Q46" s="21"/>
      <c r="R46" s="21"/>
      <c r="S46" s="21"/>
      <c r="T46" s="21"/>
      <c r="U46" s="21"/>
      <c r="V46" s="21"/>
      <c r="W46" s="21"/>
      <c r="X46" s="21"/>
      <c r="Y46" s="21"/>
      <c r="Z46" s="21"/>
      <c r="AA46" s="21"/>
      <c r="AB46" s="21"/>
      <c r="AC46" s="21"/>
      <c r="AD46" s="21"/>
      <c r="AE46" s="21"/>
    </row>
    <row r="47" spans="1:31" x14ac:dyDescent="0.25">
      <c r="A47" s="27">
        <f>ROW(Cost!A36)</f>
        <v>36</v>
      </c>
      <c r="B47" s="27" t="str">
        <f>Cost!A36</f>
        <v>Chae</v>
      </c>
      <c r="C47" s="27">
        <f>Cost!B36</f>
        <v>2024</v>
      </c>
      <c r="D47" s="27" t="str">
        <f>Cost!C36</f>
        <v>South Korea</v>
      </c>
      <c r="E47" s="27" t="str">
        <f>Cost!D36</f>
        <v>Asia</v>
      </c>
      <c r="F47" s="27" t="str">
        <f>Cost!E36</f>
        <v>Intracity</v>
      </c>
      <c r="G47" s="27" t="str">
        <f>Cost!F36</f>
        <v>39.5-71.1</v>
      </c>
      <c r="H47" s="27" t="str">
        <f>Cost!G36</f>
        <v>USD/journey</v>
      </c>
      <c r="I47" s="28">
        <f>Cost!H36</f>
        <v>1</v>
      </c>
      <c r="J47" s="28">
        <f>Cost!I36</f>
        <v>1.0560465766190312</v>
      </c>
      <c r="K47" s="28">
        <v>0.33</v>
      </c>
      <c r="L47" s="28">
        <v>1.77</v>
      </c>
      <c r="M47" s="28">
        <f t="shared" ref="M47:M57" si="21">K47/I47*J47</f>
        <v>0.34849537028428035</v>
      </c>
      <c r="N47" s="28">
        <f t="shared" ref="N47:N57" si="22">L47/I47*J47</f>
        <v>1.8692024406156853</v>
      </c>
      <c r="O47" s="28">
        <f t="shared" ref="O47:O57" si="23">AVERAGE(M47)</f>
        <v>0.34849537028428035</v>
      </c>
      <c r="P47" s="27" t="str">
        <f>IF(Cost!N36="","",Cost!N36)</f>
        <v/>
      </c>
      <c r="Q47" s="21"/>
      <c r="R47" s="21"/>
      <c r="S47" s="21"/>
      <c r="T47" s="21"/>
      <c r="U47" s="21"/>
      <c r="V47" s="21"/>
      <c r="W47" s="21"/>
      <c r="X47" s="21"/>
      <c r="Y47" s="21"/>
      <c r="Z47" s="21"/>
      <c r="AA47" s="21"/>
      <c r="AB47" s="21"/>
      <c r="AC47" s="21"/>
      <c r="AD47" s="21"/>
      <c r="AE47" s="21"/>
    </row>
    <row r="48" spans="1:31" x14ac:dyDescent="0.25">
      <c r="A48" s="27">
        <f>ROW(Cost!A37)</f>
        <v>37</v>
      </c>
      <c r="B48" s="27" t="str">
        <f>Cost!A37</f>
        <v>Chae</v>
      </c>
      <c r="C48" s="27">
        <f>Cost!B37</f>
        <v>2024</v>
      </c>
      <c r="D48" s="27" t="str">
        <f>Cost!C37</f>
        <v>South Korea</v>
      </c>
      <c r="E48" s="27" t="str">
        <f>Cost!D37</f>
        <v>Asia</v>
      </c>
      <c r="F48" s="27" t="str">
        <f>Cost!E37</f>
        <v>Airport shuttle</v>
      </c>
      <c r="G48" s="27" t="str">
        <f>Cost!F37</f>
        <v>39.5-55.3</v>
      </c>
      <c r="H48" s="27" t="str">
        <f>Cost!G37</f>
        <v>USD/journey</v>
      </c>
      <c r="I48" s="28">
        <f>Cost!H37</f>
        <v>1</v>
      </c>
      <c r="J48" s="28">
        <f>Cost!I37</f>
        <v>1.0560465766190312</v>
      </c>
      <c r="K48" s="28">
        <v>0.5</v>
      </c>
      <c r="L48" s="28">
        <v>1.38</v>
      </c>
      <c r="M48" s="28">
        <f t="shared" si="21"/>
        <v>0.52802328830951561</v>
      </c>
      <c r="N48" s="28">
        <f t="shared" si="22"/>
        <v>1.457344275734263</v>
      </c>
      <c r="O48" s="28">
        <f t="shared" si="23"/>
        <v>0.52802328830951561</v>
      </c>
      <c r="P48" s="27" t="str">
        <f>IF(Cost!N37="","",Cost!N37)</f>
        <v/>
      </c>
      <c r="Q48" s="21"/>
      <c r="R48" s="21"/>
      <c r="S48" s="21"/>
      <c r="T48" s="21"/>
      <c r="U48" s="21"/>
      <c r="V48" s="21"/>
      <c r="W48" s="21"/>
      <c r="X48" s="21"/>
      <c r="Y48" s="21"/>
      <c r="Z48" s="21"/>
      <c r="AA48" s="21"/>
      <c r="AB48" s="21"/>
      <c r="AC48" s="21"/>
      <c r="AD48" s="21"/>
      <c r="AE48" s="21"/>
    </row>
    <row r="49" spans="1:31" x14ac:dyDescent="0.25">
      <c r="A49" s="27">
        <f>ROW(Cost!A48)</f>
        <v>48</v>
      </c>
      <c r="B49" s="27" t="str">
        <f>Cost!A48</f>
        <v>Karimi</v>
      </c>
      <c r="C49" s="27">
        <f>Cost!B48</f>
        <v>2024</v>
      </c>
      <c r="D49" s="27" t="str">
        <f>Cost!C48</f>
        <v>Iran</v>
      </c>
      <c r="E49" s="27" t="str">
        <f>Cost!D48</f>
        <v>Asia</v>
      </c>
      <c r="F49" s="27" t="str">
        <f>Cost!E48</f>
        <v>Intracity</v>
      </c>
      <c r="G49" s="27" t="str">
        <f>Cost!F48</f>
        <v>200-400</v>
      </c>
      <c r="H49" s="27" t="str">
        <f>Cost!G48</f>
        <v>thousand IRR/journey</v>
      </c>
      <c r="I49" s="28">
        <f>Cost!H48</f>
        <v>42000</v>
      </c>
      <c r="J49" s="28">
        <f>Cost!I48</f>
        <v>1.0560465766190312</v>
      </c>
      <c r="K49" s="28">
        <v>1960</v>
      </c>
      <c r="L49" s="28">
        <v>10080</v>
      </c>
      <c r="M49" s="28">
        <f t="shared" si="21"/>
        <v>4.928217357555479E-2</v>
      </c>
      <c r="N49" s="28">
        <f t="shared" si="22"/>
        <v>0.25345117838856751</v>
      </c>
      <c r="O49" s="28">
        <f t="shared" si="23"/>
        <v>4.928217357555479E-2</v>
      </c>
      <c r="P49" s="27" t="str">
        <f>IF(Cost!N48="","",Cost!N48)</f>
        <v/>
      </c>
      <c r="Q49" s="21"/>
      <c r="R49" s="21"/>
      <c r="S49" s="21"/>
      <c r="T49" s="21"/>
      <c r="U49" s="21"/>
      <c r="V49" s="21"/>
      <c r="W49" s="21"/>
      <c r="X49" s="21"/>
      <c r="Y49" s="21"/>
      <c r="Z49" s="21"/>
      <c r="AA49" s="21"/>
      <c r="AB49" s="21"/>
      <c r="AC49" s="21"/>
      <c r="AD49" s="21"/>
      <c r="AE49" s="21"/>
    </row>
    <row r="50" spans="1:31" x14ac:dyDescent="0.25">
      <c r="A50" s="27">
        <f>ROW(Cost!A106)</f>
        <v>106</v>
      </c>
      <c r="B50" s="27" t="str">
        <f>Cost!A106</f>
        <v>Garrow</v>
      </c>
      <c r="C50" s="27">
        <f>Cost!B106</f>
        <v>2019</v>
      </c>
      <c r="D50" s="27" t="str">
        <f>Cost!C106</f>
        <v>US</v>
      </c>
      <c r="E50" s="27" t="str">
        <f>Cost!D106</f>
        <v>US</v>
      </c>
      <c r="F50" s="27" t="str">
        <f>Cost!E106</f>
        <v>Intracity</v>
      </c>
      <c r="G50" s="27" t="str">
        <f>Cost!F106</f>
        <v>5-10</v>
      </c>
      <c r="H50" s="27" t="str">
        <f>Cost!G106</f>
        <v>USD/journey</v>
      </c>
      <c r="I50" s="28">
        <f>Cost!H106</f>
        <v>1</v>
      </c>
      <c r="J50" s="28">
        <f>Cost!I106</f>
        <v>1.2958205650832804</v>
      </c>
      <c r="K50" s="28">
        <v>3.0000000000000002E-2</v>
      </c>
      <c r="L50" s="28">
        <v>0.13</v>
      </c>
      <c r="M50" s="28">
        <f t="shared" si="21"/>
        <v>3.8874616952498414E-2</v>
      </c>
      <c r="N50" s="28">
        <f t="shared" si="22"/>
        <v>0.16845667346082646</v>
      </c>
      <c r="O50" s="28">
        <f t="shared" si="23"/>
        <v>3.8874616952498414E-2</v>
      </c>
      <c r="P50" s="27" t="str">
        <f>IF(Cost!N106="","",Cost!N106)</f>
        <v>0-24 miles travel distance</v>
      </c>
      <c r="Q50" s="21"/>
      <c r="R50" s="21"/>
      <c r="S50" s="21"/>
      <c r="T50" s="21"/>
      <c r="U50" s="21"/>
      <c r="V50" s="21"/>
      <c r="W50" s="21"/>
      <c r="X50" s="21"/>
      <c r="Y50" s="21"/>
      <c r="Z50" s="21"/>
      <c r="AA50" s="21"/>
      <c r="AB50" s="21"/>
      <c r="AC50" s="21"/>
      <c r="AD50" s="21"/>
      <c r="AE50" s="21"/>
    </row>
    <row r="51" spans="1:31" x14ac:dyDescent="0.25">
      <c r="A51" s="27">
        <f>ROW(Cost!A107)</f>
        <v>107</v>
      </c>
      <c r="B51" s="27" t="str">
        <f>Cost!A107</f>
        <v>Garrow</v>
      </c>
      <c r="C51" s="27">
        <f>Cost!B107</f>
        <v>2019</v>
      </c>
      <c r="D51" s="27" t="str">
        <f>Cost!C107</f>
        <v>US</v>
      </c>
      <c r="E51" s="27" t="str">
        <f>Cost!D107</f>
        <v>US</v>
      </c>
      <c r="F51" s="27" t="str">
        <f>Cost!E107</f>
        <v>Intracity</v>
      </c>
      <c r="G51" s="27" t="str">
        <f>Cost!F107</f>
        <v>5-20</v>
      </c>
      <c r="H51" s="27" t="str">
        <f>Cost!G107</f>
        <v>USD/journey</v>
      </c>
      <c r="I51" s="28">
        <f>Cost!H107</f>
        <v>1</v>
      </c>
      <c r="J51" s="28">
        <f>Cost!I107</f>
        <v>1.2958205650832804</v>
      </c>
      <c r="K51" s="28">
        <v>3.0000000000000002E-2</v>
      </c>
      <c r="L51" s="28">
        <v>0.27</v>
      </c>
      <c r="M51" s="28">
        <f t="shared" si="21"/>
        <v>3.8874616952498414E-2</v>
      </c>
      <c r="N51" s="28">
        <f t="shared" si="22"/>
        <v>0.3498715525724857</v>
      </c>
      <c r="O51" s="28">
        <f t="shared" si="23"/>
        <v>3.8874616952498414E-2</v>
      </c>
      <c r="P51" s="27" t="str">
        <f>IF(Cost!N107="","",Cost!N107)</f>
        <v>25-39 miles travel distance</v>
      </c>
      <c r="Q51" s="21"/>
      <c r="R51" s="21"/>
      <c r="S51" s="21"/>
      <c r="T51" s="21"/>
      <c r="U51" s="21"/>
      <c r="V51" s="21"/>
      <c r="W51" s="21"/>
      <c r="X51" s="21"/>
      <c r="Y51" s="21"/>
      <c r="Z51" s="21"/>
      <c r="AA51" s="21"/>
      <c r="AB51" s="21"/>
      <c r="AC51" s="21"/>
      <c r="AD51" s="21"/>
      <c r="AE51" s="21"/>
    </row>
    <row r="52" spans="1:31" x14ac:dyDescent="0.25">
      <c r="A52" s="27">
        <f>ROW(Cost!A108)</f>
        <v>108</v>
      </c>
      <c r="B52" s="27" t="str">
        <f>Cost!A108</f>
        <v>Garrow</v>
      </c>
      <c r="C52" s="27">
        <f>Cost!B108</f>
        <v>2019</v>
      </c>
      <c r="D52" s="27" t="str">
        <f>Cost!C108</f>
        <v>US</v>
      </c>
      <c r="E52" s="27" t="str">
        <f>Cost!D108</f>
        <v>US</v>
      </c>
      <c r="F52" s="27" t="str">
        <f>Cost!E108</f>
        <v>Intracity</v>
      </c>
      <c r="G52" s="27" t="str">
        <f>Cost!F108</f>
        <v>40-54</v>
      </c>
      <c r="H52" s="27" t="str">
        <f>Cost!G108</f>
        <v>USD/journey</v>
      </c>
      <c r="I52" s="28">
        <f>Cost!H108</f>
        <v>1</v>
      </c>
      <c r="J52" s="28">
        <f>Cost!I108</f>
        <v>1.2958205650832804</v>
      </c>
      <c r="K52" s="28">
        <v>0.04</v>
      </c>
      <c r="L52" s="28">
        <v>0.39999999999999997</v>
      </c>
      <c r="M52" s="28">
        <f t="shared" si="21"/>
        <v>5.1832822603331219E-2</v>
      </c>
      <c r="N52" s="28">
        <f t="shared" si="22"/>
        <v>0.51832822603331208</v>
      </c>
      <c r="O52" s="28">
        <f t="shared" si="23"/>
        <v>5.1832822603331219E-2</v>
      </c>
      <c r="P52" s="27" t="str">
        <f>IF(Cost!N108="","",Cost!N108)</f>
        <v>40-54 miles travel distance</v>
      </c>
      <c r="Q52" s="21"/>
      <c r="R52" s="21"/>
      <c r="S52" s="21"/>
      <c r="T52" s="21"/>
      <c r="U52" s="21"/>
      <c r="V52" s="21"/>
      <c r="W52" s="21"/>
      <c r="X52" s="21"/>
      <c r="Y52" s="21"/>
      <c r="Z52" s="21"/>
      <c r="AA52" s="21"/>
      <c r="AB52" s="21"/>
      <c r="AC52" s="21"/>
      <c r="AD52" s="21"/>
      <c r="AE52" s="21"/>
    </row>
    <row r="53" spans="1:31" x14ac:dyDescent="0.25">
      <c r="A53" s="27">
        <f>ROW(Cost!A109)</f>
        <v>109</v>
      </c>
      <c r="B53" s="27" t="str">
        <f>Cost!A109</f>
        <v>Garrow</v>
      </c>
      <c r="C53" s="27">
        <f>Cost!B109</f>
        <v>2019</v>
      </c>
      <c r="D53" s="27" t="str">
        <f>Cost!C109</f>
        <v>US</v>
      </c>
      <c r="E53" s="27" t="str">
        <f>Cost!D109</f>
        <v>US</v>
      </c>
      <c r="F53" s="27" t="str">
        <f>Cost!E109</f>
        <v>Intracity</v>
      </c>
      <c r="G53" s="27" t="str">
        <f>Cost!F109</f>
        <v>20-45</v>
      </c>
      <c r="H53" s="27" t="str">
        <f>Cost!G109</f>
        <v>USD/journey</v>
      </c>
      <c r="I53" s="28">
        <f>Cost!H109</f>
        <v>1</v>
      </c>
      <c r="J53" s="28">
        <f>Cost!I109</f>
        <v>1.2958205650832804</v>
      </c>
      <c r="K53" s="28">
        <v>7.0000000000000007E-2</v>
      </c>
      <c r="L53" s="28">
        <v>0.36</v>
      </c>
      <c r="M53" s="28">
        <f t="shared" si="21"/>
        <v>9.0707439555829633E-2</v>
      </c>
      <c r="N53" s="28">
        <f t="shared" si="22"/>
        <v>0.46649540342998091</v>
      </c>
      <c r="O53" s="28">
        <f t="shared" si="23"/>
        <v>9.0707439555829633E-2</v>
      </c>
      <c r="P53" s="27" t="str">
        <f>IF(Cost!N109="","",Cost!N109)</f>
        <v>55+ miles travel distance</v>
      </c>
      <c r="Q53" s="21"/>
      <c r="R53" s="21"/>
      <c r="S53" s="21"/>
      <c r="T53" s="21"/>
      <c r="U53" s="21"/>
      <c r="V53" s="21"/>
      <c r="W53" s="21"/>
      <c r="X53" s="21"/>
      <c r="Y53" s="21"/>
      <c r="Z53" s="21"/>
      <c r="AA53" s="21"/>
      <c r="AB53" s="21"/>
      <c r="AC53" s="21"/>
      <c r="AD53" s="21"/>
      <c r="AE53" s="21"/>
    </row>
    <row r="54" spans="1:31" x14ac:dyDescent="0.25">
      <c r="A54" s="27">
        <f>ROW(Cost!A110)</f>
        <v>110</v>
      </c>
      <c r="B54" s="27" t="str">
        <f>Cost!A110</f>
        <v>Binder</v>
      </c>
      <c r="C54" s="27">
        <f>Cost!B110</f>
        <v>2018</v>
      </c>
      <c r="D54" s="27" t="str">
        <f>Cost!C110</f>
        <v>US</v>
      </c>
      <c r="E54" s="27" t="str">
        <f>Cost!D110</f>
        <v>US</v>
      </c>
      <c r="F54" s="27" t="str">
        <f>Cost!E110</f>
        <v>Intracity</v>
      </c>
      <c r="G54" s="27" t="str">
        <f>Cost!F110</f>
        <v>5-10</v>
      </c>
      <c r="H54" s="27" t="str">
        <f>Cost!G110</f>
        <v>USD/journey</v>
      </c>
      <c r="I54" s="28">
        <f>Cost!H110</f>
        <v>1</v>
      </c>
      <c r="J54" s="28">
        <f>Cost!I110</f>
        <v>1.3193171432041879</v>
      </c>
      <c r="K54" s="28">
        <v>0.03</v>
      </c>
      <c r="L54" s="28">
        <v>0.13</v>
      </c>
      <c r="M54" s="28">
        <f t="shared" si="21"/>
        <v>3.9579514296125634E-2</v>
      </c>
      <c r="N54" s="28">
        <f t="shared" si="22"/>
        <v>0.17151122861654444</v>
      </c>
      <c r="O54" s="28">
        <f t="shared" si="23"/>
        <v>3.9579514296125634E-2</v>
      </c>
      <c r="P54" s="27" t="str">
        <f>IF(Cost!N110="","",Cost!N110)</f>
        <v>0-24 miles travel distance</v>
      </c>
      <c r="Q54" s="21"/>
      <c r="R54" s="21"/>
      <c r="S54" s="21"/>
      <c r="T54" s="21"/>
      <c r="U54" s="21"/>
      <c r="V54" s="21"/>
      <c r="W54" s="21"/>
      <c r="X54" s="21"/>
      <c r="Y54" s="21"/>
      <c r="Z54" s="21"/>
      <c r="AA54" s="21"/>
      <c r="AB54" s="21"/>
      <c r="AC54" s="21"/>
      <c r="AD54" s="21"/>
      <c r="AE54" s="21"/>
    </row>
    <row r="55" spans="1:31" x14ac:dyDescent="0.25">
      <c r="A55" s="27">
        <f>ROW(Cost!A111)</f>
        <v>111</v>
      </c>
      <c r="B55" s="27" t="str">
        <f>Cost!A111</f>
        <v>Binder</v>
      </c>
      <c r="C55" s="27">
        <f>Cost!B111</f>
        <v>2018</v>
      </c>
      <c r="D55" s="27" t="str">
        <f>Cost!C111</f>
        <v>US</v>
      </c>
      <c r="E55" s="27" t="str">
        <f>Cost!D111</f>
        <v>US</v>
      </c>
      <c r="F55" s="27" t="str">
        <f>Cost!E111</f>
        <v>Intracity</v>
      </c>
      <c r="G55" s="27" t="str">
        <f>Cost!F111</f>
        <v>5-20</v>
      </c>
      <c r="H55" s="27" t="str">
        <f>Cost!G111</f>
        <v>USD/journey</v>
      </c>
      <c r="I55" s="28">
        <f>Cost!H111</f>
        <v>1</v>
      </c>
      <c r="J55" s="28">
        <f>Cost!I111</f>
        <v>1.3193171432041879</v>
      </c>
      <c r="K55" s="28">
        <v>0.03</v>
      </c>
      <c r="L55" s="28">
        <v>0.27</v>
      </c>
      <c r="M55" s="28">
        <f t="shared" si="21"/>
        <v>3.9579514296125634E-2</v>
      </c>
      <c r="N55" s="28">
        <f t="shared" si="22"/>
        <v>0.35621562866513073</v>
      </c>
      <c r="O55" s="28">
        <f t="shared" si="23"/>
        <v>3.9579514296125634E-2</v>
      </c>
      <c r="P55" s="27" t="str">
        <f>IF(Cost!N111="","",Cost!N111)</f>
        <v>25-39 miles travel distance</v>
      </c>
      <c r="Q55" s="21"/>
      <c r="R55" s="21"/>
      <c r="S55" s="21"/>
      <c r="T55" s="21"/>
      <c r="U55" s="21"/>
      <c r="V55" s="21"/>
      <c r="W55" s="21"/>
      <c r="X55" s="21"/>
      <c r="Y55" s="21"/>
      <c r="Z55" s="21"/>
      <c r="AA55" s="21"/>
      <c r="AB55" s="21"/>
      <c r="AC55" s="21"/>
      <c r="AD55" s="21"/>
      <c r="AE55" s="21"/>
    </row>
    <row r="56" spans="1:31" x14ac:dyDescent="0.25">
      <c r="A56" s="27">
        <f>ROW(Cost!A112)</f>
        <v>112</v>
      </c>
      <c r="B56" s="27" t="str">
        <f>Cost!A112</f>
        <v>Binder</v>
      </c>
      <c r="C56" s="27">
        <f>Cost!B112</f>
        <v>2018</v>
      </c>
      <c r="D56" s="27" t="str">
        <f>Cost!C112</f>
        <v>US</v>
      </c>
      <c r="E56" s="27" t="str">
        <f>Cost!D112</f>
        <v>US</v>
      </c>
      <c r="F56" s="27" t="str">
        <f>Cost!E112</f>
        <v>Intracity</v>
      </c>
      <c r="G56" s="27" t="str">
        <f>Cost!F112</f>
        <v>40-54</v>
      </c>
      <c r="H56" s="27" t="str">
        <f>Cost!G112</f>
        <v>USD/journey</v>
      </c>
      <c r="I56" s="28">
        <f>Cost!H112</f>
        <v>1</v>
      </c>
      <c r="J56" s="28">
        <f>Cost!I112</f>
        <v>1.3193171432041879</v>
      </c>
      <c r="K56" s="28">
        <v>0.04</v>
      </c>
      <c r="L56" s="28">
        <v>0.40000000000000008</v>
      </c>
      <c r="M56" s="28">
        <f t="shared" si="21"/>
        <v>5.2772685728167519E-2</v>
      </c>
      <c r="N56" s="28">
        <f t="shared" si="22"/>
        <v>0.52772685728167523</v>
      </c>
      <c r="O56" s="28">
        <f t="shared" si="23"/>
        <v>5.2772685728167519E-2</v>
      </c>
      <c r="P56" s="27" t="str">
        <f>IF(Cost!N112="","",Cost!N112)</f>
        <v>40-54 miles travel distance</v>
      </c>
      <c r="Q56" s="21"/>
      <c r="R56" s="21"/>
      <c r="S56" s="21"/>
      <c r="T56" s="21"/>
      <c r="U56" s="21"/>
      <c r="V56" s="21"/>
      <c r="W56" s="21"/>
      <c r="X56" s="21"/>
      <c r="Y56" s="21"/>
      <c r="Z56" s="21"/>
      <c r="AA56" s="21"/>
      <c r="AB56" s="21"/>
      <c r="AC56" s="21"/>
      <c r="AD56" s="21"/>
      <c r="AE56" s="21"/>
    </row>
    <row r="57" spans="1:31" x14ac:dyDescent="0.25">
      <c r="A57" s="27">
        <f>ROW(Cost!A113)</f>
        <v>113</v>
      </c>
      <c r="B57" s="27" t="str">
        <f>Cost!A113</f>
        <v>Binder</v>
      </c>
      <c r="C57" s="27">
        <f>Cost!B113</f>
        <v>2018</v>
      </c>
      <c r="D57" s="27" t="str">
        <f>Cost!C113</f>
        <v>US</v>
      </c>
      <c r="E57" s="27" t="str">
        <f>Cost!D113</f>
        <v>US</v>
      </c>
      <c r="F57" s="27" t="str">
        <f>Cost!E113</f>
        <v>Intracity</v>
      </c>
      <c r="G57" s="27" t="str">
        <f>Cost!F113</f>
        <v>20-45</v>
      </c>
      <c r="H57" s="27" t="str">
        <f>Cost!G113</f>
        <v>USD/journey</v>
      </c>
      <c r="I57" s="28">
        <f>Cost!H113</f>
        <v>1</v>
      </c>
      <c r="J57" s="28">
        <f>Cost!I113</f>
        <v>1.3193171432041879</v>
      </c>
      <c r="K57" s="28">
        <v>7.0000000000000007E-2</v>
      </c>
      <c r="L57" s="28">
        <v>0.36</v>
      </c>
      <c r="M57" s="28">
        <f t="shared" si="21"/>
        <v>9.235220002429316E-2</v>
      </c>
      <c r="N57" s="28">
        <f t="shared" si="22"/>
        <v>0.47495417155350761</v>
      </c>
      <c r="O57" s="28">
        <f t="shared" si="23"/>
        <v>9.235220002429316E-2</v>
      </c>
      <c r="P57" s="27" t="str">
        <f>IF(Cost!N113="","",Cost!N113)</f>
        <v>55+ miles travel distance</v>
      </c>
      <c r="Q57" s="21"/>
      <c r="R57" s="21"/>
      <c r="S57" s="21"/>
      <c r="T57" s="21"/>
      <c r="U57" s="21"/>
      <c r="V57" s="21"/>
      <c r="W57" s="21"/>
      <c r="X57" s="21"/>
      <c r="Y57" s="21"/>
      <c r="Z57" s="21"/>
      <c r="AA57" s="21"/>
      <c r="AB57" s="21"/>
      <c r="AC57" s="21"/>
      <c r="AD57" s="21"/>
      <c r="AE57" s="21"/>
    </row>
  </sheetData>
  <phoneticPr fontId="1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00"/>
  <sheetViews>
    <sheetView workbookViewId="0"/>
  </sheetViews>
  <sheetFormatPr defaultColWidth="14.42578125" defaultRowHeight="15" x14ac:dyDescent="0.25"/>
  <cols>
    <col min="1" max="1" width="8.7109375" customWidth="1"/>
    <col min="2" max="2" width="8.5703125" customWidth="1"/>
    <col min="3" max="26" width="8.7109375" customWidth="1"/>
  </cols>
  <sheetData>
    <row r="1" spans="1:9" ht="14.25" customHeight="1" x14ac:dyDescent="0.25">
      <c r="A1" s="36" t="s">
        <v>38</v>
      </c>
      <c r="B1" s="41">
        <f>MIN(Cost!K1:K120)</f>
        <v>3.0770941614208935E-4</v>
      </c>
      <c r="C1" s="36" t="s">
        <v>299</v>
      </c>
      <c r="D1" s="36" t="s">
        <v>300</v>
      </c>
      <c r="I1" s="7"/>
    </row>
    <row r="2" spans="1:9" ht="14.25" customHeight="1" x14ac:dyDescent="0.25">
      <c r="A2" s="36" t="s">
        <v>39</v>
      </c>
      <c r="B2" s="41">
        <f>MAX(Cost!L:L)</f>
        <v>11.184143542598388</v>
      </c>
      <c r="C2" s="36" t="s">
        <v>299</v>
      </c>
      <c r="D2" s="36" t="s">
        <v>301</v>
      </c>
    </row>
    <row r="3" spans="1:9" ht="14.25" customHeight="1" x14ac:dyDescent="0.25">
      <c r="A3" s="42" t="s">
        <v>54</v>
      </c>
      <c r="B3" s="41" t="s">
        <v>56</v>
      </c>
      <c r="C3" s="36" t="s">
        <v>36</v>
      </c>
      <c r="D3" s="36" t="s">
        <v>302</v>
      </c>
    </row>
    <row r="4" spans="1:9" ht="14.25" customHeight="1" x14ac:dyDescent="0.25">
      <c r="A4" s="36" t="s">
        <v>75</v>
      </c>
      <c r="B4" s="41">
        <f>AVERAGE(Cost!M2,Cost!M12,Cost!M13,Cost!M28,Cost!M29,Cost!M30,Cost!M35,Cost!M38,Cost!M39,Cost!M40,Cost!M41,Cost!M52,Cost!M67,Cost!M68,Cost!M69,Cost!M70,Cost!M71,Cost!M78,Cost!M79,Cost!M80,Cost!M81,Cost!M82,Cost!M83,Cost!M85,Cost!M87,Cost!M86,Cost!M89,Cost!M90,Cost!M91,Cost!M106,Cost!M107,Cost!M108,Cost!M109,Cost!M110,Cost!M111,Cost!M112,Cost!M113,Cost!M114,Cost!M115,Cost!M116,Cost!M117,Cost!M119,Cost!M120)</f>
        <v>2.4974293652299462</v>
      </c>
      <c r="C4" s="36">
        <f>_xlfn.STDEV.P(Cost!M2,Cost!M12,Cost!M13,Cost!M28,Cost!M29,Cost!M30,Cost!M35,Cost!M38,Cost!M39,Cost!M40,Cost!M41,Cost!M52,Cost!M67,Cost!M68,Cost!M69,Cost!M70,Cost!M71,Cost!M78,Cost!M79,Cost!M80,Cost!M81,Cost!M82,Cost!M83,Cost!M85,Cost!M87,Cost!M86,Cost!M89,Cost!M90,Cost!M91,Cost!M106,Cost!M107,Cost!M108,Cost!M109,Cost!M110,Cost!M111,Cost!M112,Cost!M113,Cost!M114,Cost!M115,Cost!M116,Cost!M117,Cost!M119,Cost!M120)</f>
        <v>1.9207401164773963</v>
      </c>
      <c r="D4" s="36">
        <f>COUNTA(Cost!M2,Cost!M12,Cost!M13,Cost!M28,Cost!M29,Cost!M30,Cost!M35,Cost!M38,Cost!M39,Cost!M40,Cost!M41,Cost!M52,Cost!M67,Cost!M68,Cost!M69,Cost!M70,Cost!M71,Cost!M78,Cost!M79,Cost!M80,Cost!M81,Cost!M82,Cost!M83,Cost!M85,Cost!M87,Cost!M86,Cost!M89,Cost!M90,Cost!M91,Cost!M106,Cost!M107,Cost!M108,Cost!M109,Cost!M110,Cost!M111,Cost!M112,Cost!M113,Cost!M114,Cost!M115,Cost!M116,Cost!M117,Cost!M119,Cost!M120)</f>
        <v>43</v>
      </c>
    </row>
    <row r="5" spans="1:9" ht="14.25" customHeight="1" x14ac:dyDescent="0.25">
      <c r="A5" s="36" t="s">
        <v>97</v>
      </c>
      <c r="B5" s="41">
        <f>AVERAGE(Cost!M11,Cost!M17,Cost!M21,Cost!M22,Cost!M23,Cost!M42,Cost!M43,Cost!M44,Cost!M45,Cost!M46,Cost!M47,Cost!M53,Cost!M65,Cost!M66,Cost!M72,Cost!M73,Cost!M76,Cost!M74,Cost!M75,Cost!M84,Cost!M92,Cost!M93,Cost!M94,Cost!M95,Cost!M97,Cost!M98,Cost!M99,Cost!M100,Cost!M101,Cost!M102,Cost!M103,Cost!M104,Cost!M105,Cost!M118)</f>
        <v>3.9803404829248357</v>
      </c>
      <c r="C5" s="36">
        <f>_xlfn.STDEV.P(Cost!M11,Cost!M17,Cost!M21,Cost!M22,Cost!M23,Cost!M42,Cost!M43,Cost!M44,Cost!M45,Cost!M46,Cost!M47,Cost!M53,Cost!M65,Cost!M66,Cost!M72,Cost!M73,Cost!M76,Cost!M74,Cost!M75,Cost!M84,Cost!M92,Cost!M93,Cost!M94,Cost!M95,Cost!M97,Cost!M98,Cost!M99,Cost!M100,Cost!M101,Cost!M102,Cost!M103,Cost!M104,Cost!M105,Cost!M118)</f>
        <v>2.0991414781365112</v>
      </c>
      <c r="D5" s="36">
        <f>COUNTA(Cost!M11,Cost!M17,Cost!M21,Cost!M22,Cost!M23,Cost!M42,Cost!M43,Cost!M44,Cost!M45,Cost!M46,Cost!M47,Cost!M53,Cost!M65,Cost!M66,Cost!M72,Cost!M73,Cost!M76,Cost!M74,Cost!M75,Cost!M84,Cost!M92,Cost!M93,Cost!M94,Cost!M95,Cost!M97,Cost!M98,Cost!M99,Cost!M100,Cost!M101,Cost!M102,Cost!M103,Cost!M104,Cost!M105,Cost!M118)</f>
        <v>34</v>
      </c>
    </row>
    <row r="6" spans="1:9" ht="14.25" customHeight="1" x14ac:dyDescent="0.25">
      <c r="A6" s="36" t="s">
        <v>66</v>
      </c>
      <c r="B6" s="41">
        <f>AVERAGEA(Cost!M3,Cost!M4,Cost!M5,Cost!M6,Cost!M7,Cost!M8,Cost!M9,Cost!M10,Cost!M14,Cost!M15,Cost!M16,Cost!M19,Cost!M18,Cost!M20,Cost!M24,Cost!M25,Cost!M26,Cost!M27,Cost!M31,Cost!M32,Cost!M33,Cost!M36,Cost!M37,Cost!M48,Cost!M49,Cost!M50,Cost!M51,Cost!M54,Cost!M55,Cost!M56,Cost!M57,Cost!M58,Cost!M59,Cost!M60,Cost!M61,Cost!M62,Cost!M63,Cost!M64,Cost!M88)</f>
        <v>1.5009420505283457</v>
      </c>
      <c r="C6" s="36">
        <f>_xlfn.STDEV.P(Cost!M3,Cost!M4,Cost!M5,Cost!M6,Cost!M7,Cost!M8,Cost!M9,Cost!M10,Cost!M14,Cost!M15,Cost!M16,Cost!M19,Cost!M18,Cost!M20,Cost!M24,Cost!M25,Cost!M26,Cost!M27,Cost!M31,Cost!M32,Cost!M33,Cost!M36,Cost!M37,Cost!M48,Cost!M49,Cost!M50,Cost!M51,Cost!M54,Cost!M55,Cost!M56,Cost!M57,Cost!M58,Cost!M59,Cost!M60,Cost!M61,Cost!M62,Cost!M63,Cost!M64,Cost!M88)</f>
        <v>1.4056273806628776</v>
      </c>
      <c r="D6" s="36">
        <f>COUNTA(Cost!M3,Cost!M4,Cost!M5,Cost!M6,Cost!M7,Cost!M8,Cost!M9,Cost!M10,Cost!M14,Cost!M15,Cost!M16,Cost!M19,Cost!M18,Cost!M20,Cost!M24,Cost!M25,Cost!M26,Cost!M27,Cost!M31,Cost!M32,Cost!M33,Cost!M36,Cost!M37,Cost!M48,Cost!M49,Cost!M50,Cost!M51,Cost!M54,Cost!M55,Cost!M56,Cost!M57,Cost!M58,Cost!M59,Cost!M60,Cost!M61,Cost!M62,Cost!M63,Cost!M64,Cost!M88)</f>
        <v>39</v>
      </c>
    </row>
    <row r="7" spans="1:9" ht="14.25" customHeight="1" x14ac:dyDescent="0.25">
      <c r="A7" s="36" t="s">
        <v>201</v>
      </c>
      <c r="B7" s="41">
        <f>AVERAGE(Cost!M34,Cost!M77,Cost!M96)</f>
        <v>4.843684412109531</v>
      </c>
      <c r="C7" s="36">
        <f>_xlfn.STDEV.P(Cost!M34,Cost!M77,Cost!M96)</f>
        <v>3.718830571732458E-2</v>
      </c>
      <c r="D7" s="36">
        <v>3</v>
      </c>
    </row>
    <row r="8" spans="1:9" ht="14.25" customHeight="1" x14ac:dyDescent="0.25">
      <c r="A8" s="42" t="s">
        <v>55</v>
      </c>
      <c r="B8" s="41" t="s">
        <v>56</v>
      </c>
      <c r="C8" s="36" t="s">
        <v>36</v>
      </c>
      <c r="D8" s="36" t="s">
        <v>302</v>
      </c>
    </row>
    <row r="9" spans="1:9" ht="14.25" customHeight="1" x14ac:dyDescent="0.25">
      <c r="A9" s="36" t="s">
        <v>46</v>
      </c>
      <c r="B9" s="41">
        <f>AVERAGE(Cost!M3,Cost!M4,Cost!M9,Cost!M14,Cost!M16,Cost!M19,Cost!M21,Cost!M31,Cost!M32,Cost!M33,Cost!M34,Cost!M35,Cost!M36,Cost!M38,Cost!M39,Cost!M48,Cost!M49,Cost!M54,Cost!M56,Cost!M57,Cost!M58,Cost!M65,Cost!M67,Cost!M68,Cost!M69,Cost!M70,Cost!M71,Cost!M74,Cost!M77,Cost!M78,Cost!M80,Cost!M81,Cost!M82,Cost!M83,Cost!M88,Cost!M89,Cost!M90,Cost!M91,Cost!M93,Cost!M96,Cost!M97,Cost!M100,Cost!M103,Cost!M105,Cost!M106,Cost!M107,Cost!M108,Cost!M109,Cost!M110,Cost!M111,Cost!M112,Cost!M113,Cost!M114,Cost!M116)</f>
        <v>2.1805741864596095</v>
      </c>
      <c r="C9" s="36">
        <f>_xlfn.STDEV.P(Cost!M3,Cost!M4,Cost!M9,Cost!M14,Cost!M16,Cost!M19,Cost!M21,Cost!M31,Cost!M32,Cost!M33,Cost!M34,Cost!M35,Cost!M36,Cost!M38,Cost!M39,Cost!M48,Cost!M49,Cost!M54,Cost!M56,Cost!M57,Cost!M58,Cost!M65,Cost!M67,Cost!M68,Cost!M69,Cost!M70,Cost!M71,Cost!M74,Cost!M77,Cost!M78,Cost!M80,Cost!M81,Cost!M82,Cost!M83,Cost!M88,Cost!M89,Cost!M90,Cost!M91,Cost!M93,Cost!M96,Cost!M97,Cost!M100,Cost!M103,Cost!M105,Cost!M106,Cost!M107,Cost!M108,Cost!M109,Cost!M110,Cost!M111,Cost!M112,Cost!M113,Cost!M114,Cost!M116)</f>
        <v>1.9353431861336572</v>
      </c>
      <c r="D9" s="36">
        <f>COUNTA(Cost!M3,Cost!M4,Cost!M9,Cost!M14,Cost!M16,Cost!M19,Cost!M21,Cost!M31,Cost!M32,Cost!M33,Cost!M34,Cost!M35,Cost!M36,Cost!M38,Cost!M39,Cost!M48,Cost!M49,Cost!M54,Cost!M56,Cost!M57,Cost!M58,Cost!M65,Cost!M67,Cost!M68,Cost!M69,Cost!M70,Cost!M71,Cost!M74,Cost!M77,Cost!M78,Cost!M80,Cost!M81,Cost!M82,Cost!M83,Cost!M88,Cost!M89,Cost!M90,Cost!M91,Cost!M93,Cost!M96,Cost!M97,Cost!M100,Cost!M103,Cost!M105,Cost!M106,Cost!M107,Cost!M108,Cost!M109,Cost!M110,Cost!M111,Cost!M112,Cost!M113,Cost!M114,Cost!M116)</f>
        <v>54</v>
      </c>
    </row>
    <row r="10" spans="1:9" ht="14.25" customHeight="1" x14ac:dyDescent="0.25">
      <c r="A10" s="36" t="s">
        <v>47</v>
      </c>
      <c r="B10" s="41">
        <f>AVERAGE(Cost!M15,Cost!M22,Cost!M40,Cost!M41,Cost!M42,Cost!M50,Cost!M52,Cost!M55,Cost!M59,Cost!M60,Cost!M61,Cost!M66,Cost!M72,Cost!M75,Cost!M84,Cost!M85,Cost!M94,Cost!M98,Cost!M101,Cost!M104,Cost!M118,Cost!M119,Cost!M120)</f>
        <v>2.850567386086587</v>
      </c>
      <c r="C10" s="36">
        <f>_xlfn.STDEV.P(Cost!M15,Cost!M22,Cost!M40,Cost!M41,Cost!M42,Cost!M50,Cost!M52,Cost!M55,Cost!M59,Cost!M60,Cost!M61,Cost!M66,Cost!M72,Cost!M75,Cost!M84,Cost!M85,Cost!M94,Cost!M98,Cost!M101,Cost!M104,Cost!M118,Cost!M119,Cost!M120)</f>
        <v>2.0792158776129721</v>
      </c>
      <c r="D10" s="36">
        <f>COUNTA(Cost!M15,Cost!M22,Cost!M40,Cost!M41,Cost!M42,Cost!M50,Cost!M52,Cost!M55,Cost!M59,Cost!M60,Cost!M61,Cost!M66,Cost!M72,Cost!M75,Cost!M84,Cost!M85,Cost!M94,Cost!M98,Cost!M101,Cost!M104,Cost!M118,Cost!M119,Cost!M120)</f>
        <v>23</v>
      </c>
    </row>
    <row r="11" spans="1:9" ht="14.25" customHeight="1" x14ac:dyDescent="0.25">
      <c r="A11" s="36" t="s">
        <v>48</v>
      </c>
      <c r="B11" s="41">
        <f>AVERAGE(Cost!M2,Cost!M8,Cost!M10,Cost!M11,Cost!M13,Cost!M17,Cost!M18,Cost!M12,Cost!M25,Cost!M26,Cost!M27,Cost!M28,Cost!M29,Cost!M30,Cost!M23,Cost!M24,Cost!M37,Cost!M43,Cost!M44,Cost!M45,Cost!M46,Cost!M47,Cost!M51,Cost!M53,Cost!M62,Cost!M63,Cost!M64,Cost!M73,Cost!M76,Cost!M79,Cost!M87,Cost!M86,Cost!M95,Cost!M99,Cost!M102,Cost!M115,Cost!M117)</f>
        <v>3.2359609655468891</v>
      </c>
      <c r="C11" s="36">
        <f>_xlfn.STDEV.P(Cost!M2,Cost!M8,Cost!M10,Cost!M11,Cost!M13,Cost!M17,Cost!M18,Cost!M12,Cost!M25,Cost!M26,Cost!M27,Cost!M28,Cost!M29,Cost!M30,Cost!M23,Cost!M24,Cost!M37,Cost!M43,Cost!M44,Cost!M45,Cost!M46,Cost!M47,Cost!M51,Cost!M53,Cost!M62,Cost!M63,Cost!M64,Cost!M73,Cost!M76,Cost!M79,Cost!M87,Cost!M86,Cost!M95,Cost!M99,Cost!M102,Cost!M115,Cost!M117)</f>
        <v>2.1849746473451699</v>
      </c>
      <c r="D11" s="36">
        <f>COUNTA(Cost!M2,Cost!M8,Cost!M10,Cost!M11,Cost!M13,Cost!M17,Cost!M18,Cost!M12,Cost!M25,Cost!M26,Cost!M27,Cost!M28,Cost!M29,Cost!M30,Cost!M23,Cost!M24,Cost!M37,Cost!M43,Cost!M44,Cost!M45,Cost!M46,Cost!M47,Cost!M51,Cost!M53,Cost!M62,Cost!M63,Cost!M64,Cost!M73,Cost!M76,Cost!M79,Cost!M87,Cost!M86,Cost!M95,Cost!M99,Cost!M102,Cost!M115,Cost!M117)</f>
        <v>37</v>
      </c>
    </row>
    <row r="12" spans="1:9" ht="14.25" customHeight="1" x14ac:dyDescent="0.25">
      <c r="A12" s="36" t="s">
        <v>71</v>
      </c>
      <c r="B12" s="41">
        <f>AVERAGE(Cost!M5,Cost!M6,Cost!M7,Cost!M20,Cost!M92)</f>
        <v>2.5488441314441821</v>
      </c>
      <c r="C12" s="36">
        <f>_xlfn.STDEV.P(Cost!M5,Cost!M6,Cost!M7,Cost!M20,Cost!M92)</f>
        <v>1.3194522299150726</v>
      </c>
      <c r="D12" s="36">
        <f>COUNTA(Cost!M5,Cost!M6,Cost!M7,Cost!M20,Cost!M92)</f>
        <v>5</v>
      </c>
    </row>
    <row r="13" spans="1:9" ht="14.25" customHeight="1" x14ac:dyDescent="0.25">
      <c r="A13" s="8"/>
      <c r="B13" s="10"/>
      <c r="C13" s="8"/>
      <c r="D13" s="8"/>
    </row>
    <row r="14" spans="1:9" ht="14.25" customHeight="1" x14ac:dyDescent="0.25">
      <c r="A14" s="8"/>
      <c r="B14" s="10"/>
      <c r="C14" s="8"/>
      <c r="D14" s="8"/>
    </row>
    <row r="15" spans="1:9" ht="14.25" customHeight="1" x14ac:dyDescent="0.25">
      <c r="A15" s="8"/>
      <c r="B15" s="10"/>
      <c r="C15" s="8"/>
      <c r="D15" s="8"/>
    </row>
    <row r="16" spans="1:9" ht="14.25" customHeight="1" x14ac:dyDescent="0.25">
      <c r="A16" s="8"/>
      <c r="B16" s="10"/>
      <c r="C16" s="8"/>
      <c r="D16" s="8"/>
    </row>
    <row r="17" spans="1:4" ht="14.25" customHeight="1" x14ac:dyDescent="0.25">
      <c r="A17" s="8"/>
      <c r="B17" s="10"/>
      <c r="C17" s="8"/>
      <c r="D17" s="8"/>
    </row>
    <row r="18" spans="1:4" ht="14.25" customHeight="1" x14ac:dyDescent="0.25">
      <c r="A18" s="8"/>
      <c r="B18" s="10"/>
      <c r="C18" s="8"/>
      <c r="D18" s="8"/>
    </row>
    <row r="19" spans="1:4" ht="14.25" customHeight="1" x14ac:dyDescent="0.25">
      <c r="A19" s="8"/>
      <c r="B19" s="10"/>
      <c r="C19" s="8"/>
      <c r="D19" s="8"/>
    </row>
    <row r="20" spans="1:4" ht="14.25" customHeight="1" x14ac:dyDescent="0.25">
      <c r="A20" s="8"/>
      <c r="B20" s="10"/>
      <c r="C20" s="8"/>
      <c r="D20" s="8"/>
    </row>
    <row r="21" spans="1:4" ht="14.25" customHeight="1" x14ac:dyDescent="0.25">
      <c r="A21" s="8"/>
      <c r="B21" s="10"/>
      <c r="C21" s="8"/>
      <c r="D21" s="8"/>
    </row>
    <row r="22" spans="1:4" ht="14.25" customHeight="1" x14ac:dyDescent="0.25">
      <c r="A22" s="8"/>
      <c r="B22" s="10"/>
      <c r="C22" s="8"/>
      <c r="D22" s="8"/>
    </row>
    <row r="23" spans="1:4" ht="14.25" customHeight="1" x14ac:dyDescent="0.25">
      <c r="A23" s="8"/>
      <c r="B23" s="10"/>
      <c r="C23" s="8"/>
      <c r="D23" s="8"/>
    </row>
    <row r="24" spans="1:4" ht="14.25" customHeight="1" x14ac:dyDescent="0.25">
      <c r="A24" s="8"/>
      <c r="B24" s="10"/>
      <c r="C24" s="8"/>
      <c r="D24" s="8"/>
    </row>
    <row r="25" spans="1:4" ht="14.25" customHeight="1" x14ac:dyDescent="0.25">
      <c r="A25" s="8"/>
      <c r="B25" s="10"/>
      <c r="C25" s="8"/>
      <c r="D25" s="8"/>
    </row>
    <row r="26" spans="1:4" ht="14.25" customHeight="1" x14ac:dyDescent="0.25">
      <c r="A26" s="8"/>
      <c r="B26" s="10"/>
      <c r="C26" s="8"/>
      <c r="D26" s="8"/>
    </row>
    <row r="27" spans="1:4" ht="14.25" customHeight="1" x14ac:dyDescent="0.25">
      <c r="A27" s="8"/>
      <c r="B27" s="10"/>
      <c r="C27" s="8"/>
      <c r="D27" s="8"/>
    </row>
    <row r="28" spans="1:4" ht="14.25" customHeight="1" x14ac:dyDescent="0.25">
      <c r="A28" s="8"/>
      <c r="B28" s="10"/>
      <c r="C28" s="8"/>
      <c r="D28" s="8"/>
    </row>
    <row r="29" spans="1:4" ht="14.25" customHeight="1" x14ac:dyDescent="0.25">
      <c r="A29" s="8"/>
      <c r="B29" s="10"/>
      <c r="C29" s="8"/>
      <c r="D29" s="8"/>
    </row>
    <row r="30" spans="1:4" ht="14.25" customHeight="1" x14ac:dyDescent="0.25">
      <c r="A30" s="8"/>
      <c r="B30" s="10"/>
      <c r="C30" s="8"/>
      <c r="D30" s="8"/>
    </row>
    <row r="31" spans="1:4" ht="14.25" customHeight="1" x14ac:dyDescent="0.25">
      <c r="A31" s="8"/>
      <c r="B31" s="10"/>
      <c r="C31" s="8"/>
      <c r="D31" s="8"/>
    </row>
    <row r="32" spans="1:4" ht="14.25" customHeight="1" x14ac:dyDescent="0.25">
      <c r="A32" s="8"/>
      <c r="B32" s="10"/>
      <c r="C32" s="8"/>
      <c r="D32" s="8"/>
    </row>
    <row r="33" spans="1:4" ht="14.25" customHeight="1" x14ac:dyDescent="0.25">
      <c r="A33" s="8"/>
      <c r="B33" s="10"/>
      <c r="C33" s="8"/>
      <c r="D33" s="8"/>
    </row>
    <row r="34" spans="1:4" ht="14.25" customHeight="1" x14ac:dyDescent="0.25">
      <c r="A34" s="8"/>
      <c r="B34" s="10"/>
      <c r="C34" s="8"/>
      <c r="D34" s="8"/>
    </row>
    <row r="35" spans="1:4" ht="14.25" customHeight="1" x14ac:dyDescent="0.25">
      <c r="A35" s="8"/>
      <c r="B35" s="10"/>
      <c r="C35" s="8"/>
      <c r="D35" s="8"/>
    </row>
    <row r="36" spans="1:4" ht="14.25" customHeight="1" x14ac:dyDescent="0.25">
      <c r="A36" s="8"/>
      <c r="B36" s="10"/>
      <c r="C36" s="8"/>
      <c r="D36" s="8"/>
    </row>
    <row r="37" spans="1:4" ht="14.25" customHeight="1" x14ac:dyDescent="0.25">
      <c r="A37" s="8"/>
      <c r="B37" s="10"/>
      <c r="C37" s="8"/>
      <c r="D37" s="8"/>
    </row>
    <row r="38" spans="1:4" ht="14.25" customHeight="1" x14ac:dyDescent="0.25">
      <c r="A38" s="8"/>
      <c r="B38" s="10"/>
      <c r="C38" s="8"/>
      <c r="D38" s="8"/>
    </row>
    <row r="39" spans="1:4" ht="14.25" customHeight="1" x14ac:dyDescent="0.25">
      <c r="A39" s="8"/>
      <c r="B39" s="10"/>
      <c r="C39" s="8"/>
      <c r="D39" s="8"/>
    </row>
    <row r="40" spans="1:4" ht="14.25" customHeight="1" x14ac:dyDescent="0.25">
      <c r="A40" s="8"/>
      <c r="B40" s="10"/>
      <c r="C40" s="8"/>
      <c r="D40" s="8"/>
    </row>
    <row r="41" spans="1:4" ht="14.25" customHeight="1" x14ac:dyDescent="0.25">
      <c r="A41" s="8"/>
      <c r="B41" s="10"/>
      <c r="C41" s="8"/>
      <c r="D41" s="8"/>
    </row>
    <row r="42" spans="1:4" ht="14.25" customHeight="1" x14ac:dyDescent="0.25">
      <c r="A42" s="8"/>
      <c r="B42" s="10"/>
      <c r="C42" s="8"/>
      <c r="D42" s="8"/>
    </row>
    <row r="43" spans="1:4" ht="14.25" customHeight="1" x14ac:dyDescent="0.25">
      <c r="A43" s="8"/>
      <c r="B43" s="10"/>
      <c r="C43" s="8"/>
      <c r="D43" s="8"/>
    </row>
    <row r="44" spans="1:4" ht="14.25" customHeight="1" x14ac:dyDescent="0.25">
      <c r="A44" s="8"/>
      <c r="B44" s="10"/>
      <c r="C44" s="8"/>
      <c r="D44" s="8"/>
    </row>
    <row r="45" spans="1:4" ht="14.25" customHeight="1" x14ac:dyDescent="0.25">
      <c r="A45" s="8"/>
      <c r="B45" s="10"/>
      <c r="C45" s="8"/>
      <c r="D45" s="8"/>
    </row>
    <row r="46" spans="1:4" ht="14.25" customHeight="1" x14ac:dyDescent="0.25">
      <c r="A46" s="8"/>
      <c r="B46" s="10"/>
      <c r="C46" s="8"/>
      <c r="D46" s="8"/>
    </row>
    <row r="47" spans="1:4" ht="14.25" customHeight="1" x14ac:dyDescent="0.25">
      <c r="A47" s="8"/>
      <c r="B47" s="10"/>
      <c r="C47" s="8"/>
      <c r="D47" s="8"/>
    </row>
    <row r="48" spans="1:4" ht="14.25" customHeight="1" x14ac:dyDescent="0.25">
      <c r="A48" s="8"/>
      <c r="B48" s="10"/>
      <c r="C48" s="8"/>
      <c r="D48" s="8"/>
    </row>
    <row r="49" spans="1:4" ht="14.25" customHeight="1" x14ac:dyDescent="0.25">
      <c r="A49" s="8"/>
      <c r="B49" s="10"/>
      <c r="C49" s="8"/>
      <c r="D49" s="8"/>
    </row>
    <row r="50" spans="1:4" ht="14.25" customHeight="1" x14ac:dyDescent="0.25">
      <c r="A50" s="8"/>
      <c r="B50" s="10"/>
      <c r="C50" s="8"/>
      <c r="D50" s="8"/>
    </row>
    <row r="51" spans="1:4" ht="14.25" customHeight="1" x14ac:dyDescent="0.25">
      <c r="A51" s="8"/>
      <c r="B51" s="10"/>
      <c r="C51" s="8"/>
      <c r="D51" s="8"/>
    </row>
    <row r="52" spans="1:4" ht="14.25" customHeight="1" x14ac:dyDescent="0.25">
      <c r="A52" s="8"/>
      <c r="B52" s="10"/>
      <c r="C52" s="8"/>
      <c r="D52" s="8"/>
    </row>
    <row r="53" spans="1:4" ht="14.25" customHeight="1" x14ac:dyDescent="0.25">
      <c r="A53" s="8"/>
      <c r="B53" s="10"/>
      <c r="C53" s="8"/>
      <c r="D53" s="8"/>
    </row>
    <row r="54" spans="1:4" ht="14.25" customHeight="1" x14ac:dyDescent="0.25">
      <c r="A54" s="8"/>
      <c r="B54" s="10"/>
      <c r="C54" s="8"/>
      <c r="D54" s="8"/>
    </row>
    <row r="55" spans="1:4" ht="14.25" customHeight="1" x14ac:dyDescent="0.25">
      <c r="A55" s="8"/>
      <c r="B55" s="10"/>
      <c r="C55" s="8"/>
      <c r="D55" s="8"/>
    </row>
    <row r="56" spans="1:4" ht="14.25" customHeight="1" x14ac:dyDescent="0.25">
      <c r="A56" s="8"/>
      <c r="B56" s="10"/>
      <c r="C56" s="8"/>
      <c r="D56" s="8"/>
    </row>
    <row r="57" spans="1:4" ht="14.25" customHeight="1" x14ac:dyDescent="0.25">
      <c r="A57" s="8"/>
      <c r="B57" s="10"/>
      <c r="C57" s="8"/>
      <c r="D57" s="8"/>
    </row>
    <row r="58" spans="1:4" ht="14.25" customHeight="1" x14ac:dyDescent="0.25">
      <c r="A58" s="8"/>
      <c r="B58" s="10"/>
      <c r="C58" s="8"/>
      <c r="D58" s="8"/>
    </row>
    <row r="59" spans="1:4" ht="14.25" customHeight="1" x14ac:dyDescent="0.25">
      <c r="A59" s="8"/>
      <c r="B59" s="10"/>
      <c r="C59" s="8"/>
      <c r="D59" s="8"/>
    </row>
    <row r="60" spans="1:4" ht="14.25" customHeight="1" x14ac:dyDescent="0.25">
      <c r="A60" s="8"/>
      <c r="B60" s="10"/>
      <c r="C60" s="8"/>
      <c r="D60" s="8"/>
    </row>
    <row r="61" spans="1:4" ht="14.25" customHeight="1" x14ac:dyDescent="0.25">
      <c r="A61" s="8"/>
      <c r="B61" s="10"/>
      <c r="C61" s="8"/>
      <c r="D61" s="8"/>
    </row>
    <row r="62" spans="1:4" ht="14.25" customHeight="1" x14ac:dyDescent="0.25">
      <c r="A62" s="8"/>
      <c r="B62" s="10"/>
      <c r="C62" s="8"/>
      <c r="D62" s="8"/>
    </row>
    <row r="63" spans="1:4" ht="14.25" customHeight="1" x14ac:dyDescent="0.25">
      <c r="A63" s="8"/>
      <c r="B63" s="10"/>
      <c r="C63" s="8"/>
      <c r="D63" s="8"/>
    </row>
    <row r="64" spans="1:4" ht="14.25" customHeight="1" x14ac:dyDescent="0.25">
      <c r="A64" s="8"/>
      <c r="B64" s="10"/>
      <c r="C64" s="8"/>
      <c r="D64" s="8"/>
    </row>
    <row r="65" spans="1:4" ht="14.25" customHeight="1" x14ac:dyDescent="0.25">
      <c r="A65" s="8"/>
      <c r="B65" s="10"/>
      <c r="C65" s="8"/>
      <c r="D65" s="8"/>
    </row>
    <row r="66" spans="1:4" ht="14.25" customHeight="1" x14ac:dyDescent="0.25">
      <c r="A66" s="8"/>
      <c r="B66" s="10"/>
      <c r="C66" s="8"/>
      <c r="D66" s="8"/>
    </row>
    <row r="67" spans="1:4" ht="14.25" customHeight="1" x14ac:dyDescent="0.25">
      <c r="A67" s="8"/>
      <c r="B67" s="10"/>
      <c r="C67" s="8"/>
      <c r="D67" s="8"/>
    </row>
    <row r="68" spans="1:4" ht="14.25" customHeight="1" x14ac:dyDescent="0.25">
      <c r="A68" s="8"/>
      <c r="B68" s="10"/>
      <c r="C68" s="8"/>
      <c r="D68" s="8"/>
    </row>
    <row r="69" spans="1:4" ht="14.25" customHeight="1" x14ac:dyDescent="0.25">
      <c r="A69" s="8"/>
      <c r="B69" s="10"/>
      <c r="C69" s="8"/>
      <c r="D69" s="8"/>
    </row>
    <row r="70" spans="1:4" ht="14.25" customHeight="1" x14ac:dyDescent="0.25">
      <c r="A70" s="8"/>
      <c r="B70" s="10"/>
      <c r="C70" s="8"/>
      <c r="D70" s="8"/>
    </row>
    <row r="71" spans="1:4" ht="14.25" customHeight="1" x14ac:dyDescent="0.25">
      <c r="A71" s="8"/>
      <c r="B71" s="10"/>
      <c r="C71" s="8"/>
      <c r="D71" s="8"/>
    </row>
    <row r="72" spans="1:4" ht="14.25" customHeight="1" x14ac:dyDescent="0.25">
      <c r="A72" s="8"/>
      <c r="B72" s="10"/>
      <c r="C72" s="8"/>
      <c r="D72" s="8"/>
    </row>
    <row r="73" spans="1:4" ht="14.25" customHeight="1" x14ac:dyDescent="0.25">
      <c r="A73" s="8"/>
      <c r="B73" s="10"/>
      <c r="C73" s="8"/>
      <c r="D73" s="8"/>
    </row>
    <row r="74" spans="1:4" ht="14.25" customHeight="1" x14ac:dyDescent="0.25">
      <c r="A74" s="8"/>
      <c r="B74" s="10"/>
      <c r="C74" s="8"/>
      <c r="D74" s="8"/>
    </row>
    <row r="75" spans="1:4" ht="14.25" customHeight="1" x14ac:dyDescent="0.25">
      <c r="A75" s="8"/>
      <c r="B75" s="10"/>
      <c r="C75" s="8"/>
      <c r="D75" s="8"/>
    </row>
    <row r="76" spans="1:4" ht="14.25" customHeight="1" x14ac:dyDescent="0.25">
      <c r="A76" s="8"/>
      <c r="B76" s="10"/>
      <c r="C76" s="8"/>
      <c r="D76" s="8"/>
    </row>
    <row r="77" spans="1:4" ht="14.25" customHeight="1" x14ac:dyDescent="0.25">
      <c r="A77" s="8"/>
      <c r="B77" s="10"/>
      <c r="C77" s="8"/>
      <c r="D77" s="8"/>
    </row>
    <row r="78" spans="1:4" ht="14.25" customHeight="1" x14ac:dyDescent="0.25">
      <c r="A78" s="8"/>
      <c r="B78" s="10"/>
      <c r="C78" s="8"/>
      <c r="D78" s="8"/>
    </row>
    <row r="79" spans="1:4" ht="14.25" customHeight="1" x14ac:dyDescent="0.25">
      <c r="A79" s="8"/>
      <c r="B79" s="10"/>
      <c r="C79" s="8"/>
      <c r="D79" s="8"/>
    </row>
    <row r="80" spans="1:4" ht="14.25" customHeight="1" x14ac:dyDescent="0.25">
      <c r="A80" s="8"/>
      <c r="B80" s="10"/>
      <c r="C80" s="8"/>
      <c r="D80" s="8"/>
    </row>
    <row r="81" spans="1:4" ht="14.25" customHeight="1" x14ac:dyDescent="0.25">
      <c r="A81" s="8"/>
      <c r="B81" s="10"/>
      <c r="C81" s="8"/>
      <c r="D81" s="8"/>
    </row>
    <row r="82" spans="1:4" ht="14.25" customHeight="1" x14ac:dyDescent="0.25">
      <c r="A82" s="8"/>
      <c r="B82" s="10"/>
      <c r="C82" s="8"/>
      <c r="D82" s="8"/>
    </row>
    <row r="83" spans="1:4" ht="14.25" customHeight="1" x14ac:dyDescent="0.25">
      <c r="A83" s="8"/>
      <c r="B83" s="10"/>
      <c r="C83" s="8"/>
      <c r="D83" s="8"/>
    </row>
    <row r="84" spans="1:4" ht="14.25" customHeight="1" x14ac:dyDescent="0.25">
      <c r="A84" s="8"/>
      <c r="B84" s="10"/>
      <c r="C84" s="8"/>
      <c r="D84" s="8"/>
    </row>
    <row r="85" spans="1:4" ht="14.25" customHeight="1" x14ac:dyDescent="0.25">
      <c r="A85" s="8"/>
      <c r="B85" s="10"/>
      <c r="C85" s="8"/>
      <c r="D85" s="8"/>
    </row>
    <row r="86" spans="1:4" ht="14.25" customHeight="1" x14ac:dyDescent="0.25">
      <c r="A86" s="8"/>
      <c r="B86" s="10"/>
      <c r="C86" s="8"/>
      <c r="D86" s="8"/>
    </row>
    <row r="87" spans="1:4" ht="14.25" customHeight="1" x14ac:dyDescent="0.25">
      <c r="A87" s="8"/>
      <c r="B87" s="10"/>
      <c r="C87" s="8"/>
      <c r="D87" s="8"/>
    </row>
    <row r="88" spans="1:4" ht="14.25" customHeight="1" x14ac:dyDescent="0.25">
      <c r="A88" s="8"/>
      <c r="B88" s="10"/>
      <c r="C88" s="8"/>
      <c r="D88" s="8"/>
    </row>
    <row r="89" spans="1:4" ht="14.25" customHeight="1" x14ac:dyDescent="0.25">
      <c r="A89" s="8"/>
      <c r="B89" s="10"/>
      <c r="C89" s="8"/>
      <c r="D89" s="8"/>
    </row>
    <row r="90" spans="1:4" ht="14.25" customHeight="1" x14ac:dyDescent="0.25">
      <c r="A90" s="8"/>
      <c r="B90" s="10"/>
      <c r="C90" s="8"/>
      <c r="D90" s="8"/>
    </row>
    <row r="91" spans="1:4" ht="14.25" customHeight="1" x14ac:dyDescent="0.25">
      <c r="A91" s="8"/>
      <c r="B91" s="10"/>
      <c r="C91" s="8"/>
      <c r="D91" s="8"/>
    </row>
    <row r="92" spans="1:4" ht="14.25" customHeight="1" x14ac:dyDescent="0.25">
      <c r="A92" s="8"/>
      <c r="B92" s="10"/>
      <c r="C92" s="8"/>
      <c r="D92" s="8"/>
    </row>
    <row r="93" spans="1:4" ht="14.25" customHeight="1" x14ac:dyDescent="0.25">
      <c r="A93" s="8"/>
      <c r="B93" s="10"/>
      <c r="C93" s="8"/>
      <c r="D93" s="8"/>
    </row>
    <row r="94" spans="1:4" ht="14.25" customHeight="1" x14ac:dyDescent="0.25">
      <c r="A94" s="8"/>
      <c r="B94" s="10"/>
      <c r="C94" s="8"/>
      <c r="D94" s="8"/>
    </row>
    <row r="95" spans="1:4" ht="14.25" customHeight="1" x14ac:dyDescent="0.25">
      <c r="A95" s="8"/>
      <c r="B95" s="10"/>
      <c r="C95" s="8"/>
      <c r="D95" s="8"/>
    </row>
    <row r="96" spans="1:4" ht="14.25" customHeight="1" x14ac:dyDescent="0.25">
      <c r="A96" s="8"/>
      <c r="B96" s="10"/>
      <c r="C96" s="8"/>
      <c r="D96" s="8"/>
    </row>
    <row r="97" spans="1:4" ht="14.25" customHeight="1" x14ac:dyDescent="0.25">
      <c r="A97" s="8"/>
      <c r="B97" s="10"/>
      <c r="C97" s="8"/>
      <c r="D97" s="8"/>
    </row>
    <row r="98" spans="1:4" ht="14.25" customHeight="1" x14ac:dyDescent="0.25">
      <c r="A98" s="8"/>
      <c r="B98" s="10"/>
      <c r="C98" s="8"/>
      <c r="D98" s="8"/>
    </row>
    <row r="99" spans="1:4" ht="14.25" customHeight="1" x14ac:dyDescent="0.25">
      <c r="A99" s="8"/>
      <c r="B99" s="10"/>
      <c r="C99" s="8"/>
      <c r="D99" s="8"/>
    </row>
    <row r="100" spans="1:4" ht="14.25" customHeight="1" x14ac:dyDescent="0.25">
      <c r="A100" s="8"/>
      <c r="B100" s="10"/>
      <c r="C100" s="8"/>
      <c r="D100" s="8"/>
    </row>
    <row r="101" spans="1:4" ht="14.25" customHeight="1" x14ac:dyDescent="0.25">
      <c r="A101" s="8"/>
      <c r="B101" s="10"/>
      <c r="C101" s="8"/>
      <c r="D101" s="8"/>
    </row>
    <row r="102" spans="1:4" ht="14.25" customHeight="1" x14ac:dyDescent="0.25">
      <c r="A102" s="8"/>
      <c r="B102" s="10"/>
      <c r="C102" s="8"/>
      <c r="D102" s="8"/>
    </row>
    <row r="103" spans="1:4" ht="14.25" customHeight="1" x14ac:dyDescent="0.25">
      <c r="A103" s="8"/>
      <c r="B103" s="10"/>
      <c r="C103" s="8"/>
      <c r="D103" s="8"/>
    </row>
    <row r="104" spans="1:4" ht="14.25" customHeight="1" x14ac:dyDescent="0.25">
      <c r="A104" s="8"/>
      <c r="B104" s="10"/>
      <c r="C104" s="8"/>
      <c r="D104" s="8"/>
    </row>
    <row r="105" spans="1:4" ht="14.25" customHeight="1" x14ac:dyDescent="0.25">
      <c r="A105" s="8"/>
      <c r="B105" s="10"/>
      <c r="C105" s="8"/>
      <c r="D105" s="8"/>
    </row>
    <row r="106" spans="1:4" ht="14.25" customHeight="1" x14ac:dyDescent="0.25">
      <c r="A106" s="8"/>
      <c r="B106" s="10"/>
      <c r="C106" s="8"/>
      <c r="D106" s="8"/>
    </row>
    <row r="107" spans="1:4" ht="14.25" customHeight="1" x14ac:dyDescent="0.25">
      <c r="A107" s="8"/>
      <c r="B107" s="10"/>
      <c r="C107" s="8"/>
      <c r="D107" s="8"/>
    </row>
    <row r="108" spans="1:4" ht="14.25" customHeight="1" x14ac:dyDescent="0.25">
      <c r="A108" s="8"/>
      <c r="B108" s="10"/>
      <c r="C108" s="8"/>
      <c r="D108" s="8"/>
    </row>
    <row r="109" spans="1:4" ht="14.25" customHeight="1" x14ac:dyDescent="0.25">
      <c r="A109" s="8"/>
      <c r="B109" s="10"/>
      <c r="C109" s="8"/>
      <c r="D109" s="8"/>
    </row>
    <row r="110" spans="1:4" ht="14.25" customHeight="1" x14ac:dyDescent="0.25">
      <c r="A110" s="8"/>
      <c r="B110" s="10"/>
      <c r="C110" s="8"/>
      <c r="D110" s="8"/>
    </row>
    <row r="111" spans="1:4" ht="14.25" customHeight="1" x14ac:dyDescent="0.25">
      <c r="A111" s="8"/>
      <c r="B111" s="10"/>
      <c r="C111" s="8"/>
      <c r="D111" s="8"/>
    </row>
    <row r="112" spans="1:4" ht="14.25" customHeight="1" x14ac:dyDescent="0.25">
      <c r="A112" s="8"/>
      <c r="B112" s="10"/>
      <c r="C112" s="8"/>
      <c r="D112" s="8"/>
    </row>
    <row r="113" spans="1:4" ht="14.25" customHeight="1" x14ac:dyDescent="0.25">
      <c r="A113" s="8"/>
      <c r="B113" s="10"/>
      <c r="C113" s="8"/>
      <c r="D113" s="8"/>
    </row>
    <row r="114" spans="1:4" ht="14.25" customHeight="1" x14ac:dyDescent="0.25">
      <c r="A114" s="8"/>
      <c r="B114" s="10"/>
      <c r="C114" s="8"/>
      <c r="D114" s="8"/>
    </row>
    <row r="115" spans="1:4" ht="14.25" customHeight="1" x14ac:dyDescent="0.25">
      <c r="A115" s="8"/>
      <c r="B115" s="10"/>
      <c r="C115" s="8"/>
      <c r="D115" s="8"/>
    </row>
    <row r="116" spans="1:4" ht="14.25" customHeight="1" x14ac:dyDescent="0.25">
      <c r="A116" s="8"/>
      <c r="B116" s="10"/>
      <c r="C116" s="8"/>
      <c r="D116" s="8"/>
    </row>
    <row r="117" spans="1:4" ht="14.25" customHeight="1" x14ac:dyDescent="0.25">
      <c r="A117" s="8"/>
      <c r="B117" s="10"/>
      <c r="C117" s="8"/>
      <c r="D117" s="8"/>
    </row>
    <row r="118" spans="1:4" ht="14.25" customHeight="1" x14ac:dyDescent="0.25">
      <c r="A118" s="8"/>
      <c r="B118" s="10"/>
      <c r="C118" s="8"/>
      <c r="D118" s="8"/>
    </row>
    <row r="119" spans="1:4" ht="14.25" customHeight="1" x14ac:dyDescent="0.25">
      <c r="A119" s="8"/>
      <c r="B119" s="10"/>
      <c r="C119" s="8"/>
      <c r="D119" s="8"/>
    </row>
    <row r="120" spans="1:4" ht="14.25" customHeight="1" x14ac:dyDescent="0.25">
      <c r="A120" s="8"/>
      <c r="B120" s="10"/>
      <c r="C120" s="8"/>
      <c r="D120" s="8"/>
    </row>
    <row r="121" spans="1:4" ht="14.25" customHeight="1" x14ac:dyDescent="0.25">
      <c r="A121" s="8"/>
      <c r="B121" s="10"/>
      <c r="C121" s="8"/>
      <c r="D121" s="8"/>
    </row>
    <row r="122" spans="1:4" ht="14.25" customHeight="1" x14ac:dyDescent="0.25">
      <c r="A122" s="8"/>
      <c r="B122" s="10"/>
      <c r="C122" s="8"/>
      <c r="D122" s="8"/>
    </row>
    <row r="123" spans="1:4" ht="14.25" customHeight="1" x14ac:dyDescent="0.25">
      <c r="A123" s="8"/>
      <c r="B123" s="10"/>
      <c r="C123" s="8"/>
      <c r="D123" s="8"/>
    </row>
    <row r="124" spans="1:4" ht="14.25" customHeight="1" x14ac:dyDescent="0.25">
      <c r="A124" s="8"/>
      <c r="B124" s="10"/>
      <c r="C124" s="8"/>
      <c r="D124" s="8"/>
    </row>
    <row r="125" spans="1:4" ht="14.25" customHeight="1" x14ac:dyDescent="0.25">
      <c r="A125" s="8"/>
      <c r="B125" s="10"/>
      <c r="C125" s="8"/>
      <c r="D125" s="8"/>
    </row>
    <row r="126" spans="1:4" ht="14.25" customHeight="1" x14ac:dyDescent="0.25">
      <c r="A126" s="8"/>
      <c r="B126" s="10"/>
      <c r="C126" s="8"/>
      <c r="D126" s="8"/>
    </row>
    <row r="127" spans="1:4" ht="14.25" customHeight="1" x14ac:dyDescent="0.25">
      <c r="A127" s="8"/>
      <c r="B127" s="10"/>
      <c r="C127" s="8"/>
      <c r="D127" s="8"/>
    </row>
    <row r="128" spans="1:4" ht="14.25" customHeight="1" x14ac:dyDescent="0.25">
      <c r="A128" s="8"/>
      <c r="B128" s="10"/>
      <c r="C128" s="8"/>
      <c r="D128" s="8"/>
    </row>
    <row r="129" spans="1:4" ht="14.25" customHeight="1" x14ac:dyDescent="0.25">
      <c r="A129" s="8"/>
      <c r="B129" s="10"/>
      <c r="C129" s="8"/>
      <c r="D129" s="8"/>
    </row>
    <row r="130" spans="1:4" ht="14.25" customHeight="1" x14ac:dyDescent="0.25">
      <c r="A130" s="8"/>
      <c r="B130" s="10"/>
      <c r="C130" s="8"/>
      <c r="D130" s="8"/>
    </row>
    <row r="131" spans="1:4" ht="14.25" customHeight="1" x14ac:dyDescent="0.25">
      <c r="A131" s="8"/>
      <c r="B131" s="10"/>
      <c r="C131" s="8"/>
      <c r="D131" s="8"/>
    </row>
    <row r="132" spans="1:4" ht="14.25" customHeight="1" x14ac:dyDescent="0.25">
      <c r="A132" s="8"/>
      <c r="B132" s="10"/>
      <c r="C132" s="8"/>
      <c r="D132" s="8"/>
    </row>
    <row r="133" spans="1:4" ht="14.25" customHeight="1" x14ac:dyDescent="0.25">
      <c r="A133" s="8"/>
      <c r="B133" s="10"/>
      <c r="C133" s="8"/>
      <c r="D133" s="8"/>
    </row>
    <row r="134" spans="1:4" ht="14.25" customHeight="1" x14ac:dyDescent="0.25">
      <c r="A134" s="8"/>
      <c r="B134" s="10"/>
      <c r="C134" s="8"/>
      <c r="D134" s="8"/>
    </row>
    <row r="135" spans="1:4" ht="14.25" customHeight="1" x14ac:dyDescent="0.25">
      <c r="A135" s="8"/>
      <c r="B135" s="10"/>
      <c r="C135" s="8"/>
      <c r="D135" s="8"/>
    </row>
    <row r="136" spans="1:4" ht="14.25" customHeight="1" x14ac:dyDescent="0.25">
      <c r="A136" s="8"/>
      <c r="B136" s="10"/>
      <c r="C136" s="8"/>
      <c r="D136" s="8"/>
    </row>
    <row r="137" spans="1:4" ht="14.25" customHeight="1" x14ac:dyDescent="0.25">
      <c r="A137" s="8"/>
      <c r="B137" s="10"/>
      <c r="C137" s="8"/>
      <c r="D137" s="8"/>
    </row>
    <row r="138" spans="1:4" ht="14.25" customHeight="1" x14ac:dyDescent="0.25">
      <c r="A138" s="8"/>
      <c r="B138" s="10"/>
      <c r="C138" s="8"/>
      <c r="D138" s="8"/>
    </row>
    <row r="139" spans="1:4" ht="14.25" customHeight="1" x14ac:dyDescent="0.25">
      <c r="A139" s="8"/>
      <c r="B139" s="10"/>
      <c r="C139" s="8"/>
      <c r="D139" s="8"/>
    </row>
    <row r="140" spans="1:4" ht="14.25" customHeight="1" x14ac:dyDescent="0.25">
      <c r="A140" s="8"/>
      <c r="B140" s="10"/>
      <c r="C140" s="8"/>
      <c r="D140" s="8"/>
    </row>
    <row r="141" spans="1:4" ht="14.25" customHeight="1" x14ac:dyDescent="0.25">
      <c r="A141" s="8"/>
      <c r="B141" s="10"/>
      <c r="C141" s="8"/>
      <c r="D141" s="8"/>
    </row>
    <row r="142" spans="1:4" ht="14.25" customHeight="1" x14ac:dyDescent="0.25">
      <c r="A142" s="8"/>
      <c r="B142" s="10"/>
      <c r="C142" s="8"/>
      <c r="D142" s="8"/>
    </row>
    <row r="143" spans="1:4" ht="14.25" customHeight="1" x14ac:dyDescent="0.25">
      <c r="A143" s="8"/>
      <c r="B143" s="10"/>
      <c r="C143" s="8"/>
      <c r="D143" s="8"/>
    </row>
    <row r="144" spans="1:4" ht="14.25" customHeight="1" x14ac:dyDescent="0.25">
      <c r="A144" s="8"/>
      <c r="B144" s="10"/>
      <c r="C144" s="8"/>
      <c r="D144" s="8"/>
    </row>
    <row r="145" spans="1:4" ht="14.25" customHeight="1" x14ac:dyDescent="0.25">
      <c r="A145" s="8"/>
      <c r="B145" s="10"/>
      <c r="C145" s="8"/>
      <c r="D145" s="8"/>
    </row>
    <row r="146" spans="1:4" ht="14.25" customHeight="1" x14ac:dyDescent="0.25">
      <c r="A146" s="8"/>
      <c r="B146" s="10"/>
      <c r="C146" s="8"/>
      <c r="D146" s="8"/>
    </row>
    <row r="147" spans="1:4" ht="14.25" customHeight="1" x14ac:dyDescent="0.25">
      <c r="A147" s="8"/>
      <c r="B147" s="10"/>
      <c r="C147" s="8"/>
      <c r="D147" s="8"/>
    </row>
    <row r="148" spans="1:4" ht="14.25" customHeight="1" x14ac:dyDescent="0.25">
      <c r="A148" s="8"/>
      <c r="B148" s="10"/>
      <c r="C148" s="8"/>
      <c r="D148" s="8"/>
    </row>
    <row r="149" spans="1:4" ht="14.25" customHeight="1" x14ac:dyDescent="0.25">
      <c r="A149" s="8"/>
      <c r="B149" s="10"/>
      <c r="C149" s="8"/>
      <c r="D149" s="8"/>
    </row>
    <row r="150" spans="1:4" ht="14.25" customHeight="1" x14ac:dyDescent="0.25">
      <c r="A150" s="8"/>
      <c r="B150" s="10"/>
      <c r="C150" s="8"/>
      <c r="D150" s="8"/>
    </row>
    <row r="151" spans="1:4" ht="14.25" customHeight="1" x14ac:dyDescent="0.25">
      <c r="A151" s="8"/>
      <c r="B151" s="10"/>
      <c r="C151" s="8"/>
      <c r="D151" s="8"/>
    </row>
    <row r="152" spans="1:4" ht="14.25" customHeight="1" x14ac:dyDescent="0.25">
      <c r="A152" s="8"/>
      <c r="B152" s="10"/>
      <c r="C152" s="8"/>
      <c r="D152" s="8"/>
    </row>
    <row r="153" spans="1:4" ht="14.25" customHeight="1" x14ac:dyDescent="0.25">
      <c r="A153" s="8"/>
      <c r="B153" s="10"/>
      <c r="C153" s="8"/>
      <c r="D153" s="8"/>
    </row>
    <row r="154" spans="1:4" ht="14.25" customHeight="1" x14ac:dyDescent="0.25">
      <c r="A154" s="8"/>
      <c r="B154" s="10"/>
      <c r="C154" s="8"/>
      <c r="D154" s="8"/>
    </row>
    <row r="155" spans="1:4" ht="14.25" customHeight="1" x14ac:dyDescent="0.25">
      <c r="A155" s="8"/>
      <c r="B155" s="10"/>
      <c r="C155" s="8"/>
      <c r="D155" s="8"/>
    </row>
    <row r="156" spans="1:4" ht="14.25" customHeight="1" x14ac:dyDescent="0.25">
      <c r="A156" s="8"/>
      <c r="B156" s="10"/>
      <c r="C156" s="8"/>
      <c r="D156" s="8"/>
    </row>
    <row r="157" spans="1:4" ht="14.25" customHeight="1" x14ac:dyDescent="0.25">
      <c r="A157" s="8"/>
      <c r="B157" s="10"/>
      <c r="C157" s="8"/>
      <c r="D157" s="8"/>
    </row>
    <row r="158" spans="1:4" ht="14.25" customHeight="1" x14ac:dyDescent="0.25">
      <c r="A158" s="8"/>
      <c r="B158" s="10"/>
      <c r="C158" s="8"/>
      <c r="D158" s="8"/>
    </row>
    <row r="159" spans="1:4" ht="14.25" customHeight="1" x14ac:dyDescent="0.25">
      <c r="A159" s="8"/>
      <c r="B159" s="10"/>
      <c r="C159" s="8"/>
      <c r="D159" s="8"/>
    </row>
    <row r="160" spans="1:4" ht="14.25" customHeight="1" x14ac:dyDescent="0.25">
      <c r="A160" s="8"/>
      <c r="B160" s="10"/>
      <c r="C160" s="8"/>
      <c r="D160" s="8"/>
    </row>
    <row r="161" spans="1:4" ht="14.25" customHeight="1" x14ac:dyDescent="0.25">
      <c r="A161" s="8"/>
      <c r="B161" s="10"/>
      <c r="C161" s="8"/>
      <c r="D161" s="8"/>
    </row>
    <row r="162" spans="1:4" ht="14.25" customHeight="1" x14ac:dyDescent="0.25">
      <c r="A162" s="8"/>
      <c r="B162" s="10"/>
      <c r="C162" s="8"/>
      <c r="D162" s="8"/>
    </row>
    <row r="163" spans="1:4" ht="14.25" customHeight="1" x14ac:dyDescent="0.25">
      <c r="A163" s="8"/>
      <c r="B163" s="10"/>
      <c r="C163" s="8"/>
      <c r="D163" s="8"/>
    </row>
    <row r="164" spans="1:4" ht="14.25" customHeight="1" x14ac:dyDescent="0.25">
      <c r="A164" s="8"/>
      <c r="B164" s="10"/>
      <c r="C164" s="8"/>
      <c r="D164" s="8"/>
    </row>
    <row r="165" spans="1:4" ht="14.25" customHeight="1" x14ac:dyDescent="0.25">
      <c r="A165" s="8"/>
      <c r="B165" s="10"/>
      <c r="C165" s="8"/>
      <c r="D165" s="8"/>
    </row>
    <row r="166" spans="1:4" ht="14.25" customHeight="1" x14ac:dyDescent="0.25">
      <c r="A166" s="8"/>
      <c r="B166" s="10"/>
      <c r="C166" s="8"/>
      <c r="D166" s="8"/>
    </row>
    <row r="167" spans="1:4" ht="14.25" customHeight="1" x14ac:dyDescent="0.25">
      <c r="A167" s="8"/>
      <c r="B167" s="10"/>
      <c r="C167" s="8"/>
      <c r="D167" s="8"/>
    </row>
    <row r="168" spans="1:4" ht="14.25" customHeight="1" x14ac:dyDescent="0.25">
      <c r="A168" s="8"/>
      <c r="B168" s="10"/>
      <c r="C168" s="8"/>
      <c r="D168" s="8"/>
    </row>
    <row r="169" spans="1:4" ht="14.25" customHeight="1" x14ac:dyDescent="0.25">
      <c r="A169" s="8"/>
      <c r="B169" s="10"/>
      <c r="C169" s="8"/>
      <c r="D169" s="8"/>
    </row>
    <row r="170" spans="1:4" ht="14.25" customHeight="1" x14ac:dyDescent="0.25">
      <c r="A170" s="8"/>
      <c r="B170" s="10"/>
      <c r="C170" s="8"/>
      <c r="D170" s="8"/>
    </row>
    <row r="171" spans="1:4" ht="14.25" customHeight="1" x14ac:dyDescent="0.25">
      <c r="A171" s="8"/>
      <c r="B171" s="10"/>
      <c r="C171" s="8"/>
      <c r="D171" s="8"/>
    </row>
    <row r="172" spans="1:4" ht="14.25" customHeight="1" x14ac:dyDescent="0.25">
      <c r="A172" s="8"/>
      <c r="B172" s="10"/>
      <c r="C172" s="8"/>
      <c r="D172" s="8"/>
    </row>
    <row r="173" spans="1:4" ht="14.25" customHeight="1" x14ac:dyDescent="0.25">
      <c r="A173" s="8"/>
      <c r="B173" s="10"/>
      <c r="C173" s="8"/>
      <c r="D173" s="8"/>
    </row>
    <row r="174" spans="1:4" ht="14.25" customHeight="1" x14ac:dyDescent="0.25">
      <c r="A174" s="8"/>
      <c r="B174" s="10"/>
      <c r="C174" s="8"/>
      <c r="D174" s="8"/>
    </row>
    <row r="175" spans="1:4" ht="14.25" customHeight="1" x14ac:dyDescent="0.25">
      <c r="A175" s="8"/>
      <c r="B175" s="10"/>
      <c r="C175" s="8"/>
      <c r="D175" s="8"/>
    </row>
    <row r="176" spans="1:4" ht="14.25" customHeight="1" x14ac:dyDescent="0.25">
      <c r="A176" s="8"/>
      <c r="B176" s="10"/>
      <c r="C176" s="8"/>
      <c r="D176" s="8"/>
    </row>
    <row r="177" spans="1:4" ht="14.25" customHeight="1" x14ac:dyDescent="0.25">
      <c r="A177" s="8"/>
      <c r="B177" s="10"/>
      <c r="C177" s="8"/>
      <c r="D177" s="8"/>
    </row>
    <row r="178" spans="1:4" ht="14.25" customHeight="1" x14ac:dyDescent="0.25">
      <c r="A178" s="8"/>
      <c r="B178" s="10"/>
      <c r="C178" s="8"/>
      <c r="D178" s="8"/>
    </row>
    <row r="179" spans="1:4" ht="14.25" customHeight="1" x14ac:dyDescent="0.25">
      <c r="A179" s="8"/>
      <c r="B179" s="10"/>
      <c r="C179" s="8"/>
      <c r="D179" s="8"/>
    </row>
    <row r="180" spans="1:4" ht="14.25" customHeight="1" x14ac:dyDescent="0.25">
      <c r="A180" s="8"/>
      <c r="B180" s="10"/>
      <c r="C180" s="8"/>
      <c r="D180" s="8"/>
    </row>
    <row r="181" spans="1:4" ht="14.25" customHeight="1" x14ac:dyDescent="0.25">
      <c r="A181" s="8"/>
      <c r="B181" s="10"/>
      <c r="C181" s="8"/>
      <c r="D181" s="8"/>
    </row>
    <row r="182" spans="1:4" ht="14.25" customHeight="1" x14ac:dyDescent="0.25">
      <c r="A182" s="8"/>
      <c r="B182" s="10"/>
      <c r="C182" s="8"/>
      <c r="D182" s="8"/>
    </row>
    <row r="183" spans="1:4" ht="14.25" customHeight="1" x14ac:dyDescent="0.25">
      <c r="A183" s="8"/>
      <c r="B183" s="10"/>
      <c r="C183" s="8"/>
      <c r="D183" s="8"/>
    </row>
    <row r="184" spans="1:4" ht="14.25" customHeight="1" x14ac:dyDescent="0.25">
      <c r="A184" s="8"/>
      <c r="B184" s="10"/>
      <c r="C184" s="8"/>
      <c r="D184" s="8"/>
    </row>
    <row r="185" spans="1:4" ht="14.25" customHeight="1" x14ac:dyDescent="0.25">
      <c r="A185" s="8"/>
      <c r="B185" s="10"/>
      <c r="C185" s="8"/>
      <c r="D185" s="8"/>
    </row>
    <row r="186" spans="1:4" ht="14.25" customHeight="1" x14ac:dyDescent="0.25">
      <c r="A186" s="8"/>
      <c r="B186" s="10"/>
      <c r="C186" s="8"/>
      <c r="D186" s="8"/>
    </row>
    <row r="187" spans="1:4" ht="14.25" customHeight="1" x14ac:dyDescent="0.25">
      <c r="A187" s="8"/>
      <c r="B187" s="10"/>
      <c r="C187" s="8"/>
      <c r="D187" s="8"/>
    </row>
    <row r="188" spans="1:4" ht="14.25" customHeight="1" x14ac:dyDescent="0.25">
      <c r="A188" s="8"/>
      <c r="B188" s="10"/>
      <c r="C188" s="8"/>
      <c r="D188" s="8"/>
    </row>
    <row r="189" spans="1:4" ht="14.25" customHeight="1" x14ac:dyDescent="0.25">
      <c r="A189" s="8"/>
      <c r="B189" s="10"/>
      <c r="C189" s="8"/>
      <c r="D189" s="8"/>
    </row>
    <row r="190" spans="1:4" ht="14.25" customHeight="1" x14ac:dyDescent="0.25">
      <c r="A190" s="8"/>
      <c r="B190" s="10"/>
      <c r="C190" s="8"/>
      <c r="D190" s="8"/>
    </row>
    <row r="191" spans="1:4" ht="14.25" customHeight="1" x14ac:dyDescent="0.25">
      <c r="A191" s="8"/>
      <c r="B191" s="10"/>
      <c r="C191" s="8"/>
      <c r="D191" s="8"/>
    </row>
    <row r="192" spans="1:4" ht="14.25" customHeight="1" x14ac:dyDescent="0.25">
      <c r="A192" s="8"/>
      <c r="B192" s="10"/>
      <c r="C192" s="8"/>
      <c r="D192" s="8"/>
    </row>
    <row r="193" spans="1:4" ht="14.25" customHeight="1" x14ac:dyDescent="0.25">
      <c r="A193" s="8"/>
      <c r="B193" s="10"/>
      <c r="C193" s="8"/>
      <c r="D193" s="8"/>
    </row>
    <row r="194" spans="1:4" ht="14.25" customHeight="1" x14ac:dyDescent="0.25">
      <c r="A194" s="8"/>
      <c r="B194" s="10"/>
      <c r="C194" s="8"/>
      <c r="D194" s="8"/>
    </row>
    <row r="195" spans="1:4" ht="14.25" customHeight="1" x14ac:dyDescent="0.25">
      <c r="A195" s="8"/>
      <c r="B195" s="10"/>
      <c r="C195" s="8"/>
      <c r="D195" s="8"/>
    </row>
    <row r="196" spans="1:4" ht="14.25" customHeight="1" x14ac:dyDescent="0.25">
      <c r="A196" s="8"/>
      <c r="B196" s="10"/>
      <c r="C196" s="8"/>
      <c r="D196" s="8"/>
    </row>
    <row r="197" spans="1:4" ht="14.25" customHeight="1" x14ac:dyDescent="0.25">
      <c r="A197" s="8"/>
      <c r="B197" s="10"/>
      <c r="C197" s="8"/>
      <c r="D197" s="8"/>
    </row>
    <row r="198" spans="1:4" ht="14.25" customHeight="1" x14ac:dyDescent="0.25">
      <c r="A198" s="8"/>
      <c r="B198" s="10"/>
      <c r="C198" s="8"/>
      <c r="D198" s="8"/>
    </row>
    <row r="199" spans="1:4" ht="14.25" customHeight="1" x14ac:dyDescent="0.25">
      <c r="A199" s="8"/>
      <c r="B199" s="10"/>
      <c r="C199" s="8"/>
      <c r="D199" s="8"/>
    </row>
    <row r="200" spans="1:4" ht="14.25" customHeight="1" x14ac:dyDescent="0.25">
      <c r="A200" s="8"/>
      <c r="B200" s="10"/>
      <c r="C200" s="8"/>
      <c r="D200" s="8"/>
    </row>
    <row r="201" spans="1:4" ht="14.25" customHeight="1" x14ac:dyDescent="0.25">
      <c r="A201" s="8"/>
      <c r="B201" s="10"/>
      <c r="C201" s="8"/>
      <c r="D201" s="8"/>
    </row>
    <row r="202" spans="1:4" ht="14.25" customHeight="1" x14ac:dyDescent="0.25">
      <c r="A202" s="8"/>
      <c r="B202" s="10"/>
      <c r="C202" s="8"/>
      <c r="D202" s="8"/>
    </row>
    <row r="203" spans="1:4" ht="14.25" customHeight="1" x14ac:dyDescent="0.25">
      <c r="A203" s="8"/>
      <c r="B203" s="10"/>
      <c r="C203" s="8"/>
      <c r="D203" s="8"/>
    </row>
    <row r="204" spans="1:4" ht="14.25" customHeight="1" x14ac:dyDescent="0.25">
      <c r="A204" s="8"/>
      <c r="B204" s="10"/>
      <c r="C204" s="8"/>
      <c r="D204" s="8"/>
    </row>
    <row r="205" spans="1:4" ht="14.25" customHeight="1" x14ac:dyDescent="0.25">
      <c r="A205" s="8"/>
      <c r="B205" s="10"/>
      <c r="C205" s="8"/>
      <c r="D205" s="8"/>
    </row>
    <row r="206" spans="1:4" ht="14.25" customHeight="1" x14ac:dyDescent="0.25">
      <c r="A206" s="8"/>
      <c r="B206" s="10"/>
      <c r="C206" s="8"/>
      <c r="D206" s="8"/>
    </row>
    <row r="207" spans="1:4" ht="14.25" customHeight="1" x14ac:dyDescent="0.25">
      <c r="A207" s="8"/>
      <c r="B207" s="10"/>
      <c r="C207" s="8"/>
      <c r="D207" s="8"/>
    </row>
    <row r="208" spans="1:4" ht="14.25" customHeight="1" x14ac:dyDescent="0.25">
      <c r="A208" s="8"/>
      <c r="B208" s="10"/>
      <c r="C208" s="8"/>
      <c r="D208" s="8"/>
    </row>
    <row r="209" spans="1:4" ht="14.25" customHeight="1" x14ac:dyDescent="0.25">
      <c r="A209" s="8"/>
      <c r="B209" s="10"/>
      <c r="C209" s="8"/>
      <c r="D209" s="8"/>
    </row>
    <row r="210" spans="1:4" ht="14.25" customHeight="1" x14ac:dyDescent="0.25">
      <c r="A210" s="8"/>
      <c r="B210" s="10"/>
      <c r="C210" s="8"/>
      <c r="D210" s="8"/>
    </row>
    <row r="211" spans="1:4" ht="14.25" customHeight="1" x14ac:dyDescent="0.25">
      <c r="A211" s="8"/>
      <c r="B211" s="10"/>
      <c r="C211" s="8"/>
      <c r="D211" s="8"/>
    </row>
    <row r="212" spans="1:4" ht="14.25" customHeight="1" x14ac:dyDescent="0.25">
      <c r="A212" s="8"/>
      <c r="B212" s="10"/>
      <c r="C212" s="8"/>
      <c r="D212" s="8"/>
    </row>
    <row r="213" spans="1:4" ht="14.25" customHeight="1" x14ac:dyDescent="0.25">
      <c r="A213" s="8"/>
      <c r="B213" s="10"/>
      <c r="C213" s="8"/>
      <c r="D213" s="8"/>
    </row>
    <row r="214" spans="1:4" ht="14.25" customHeight="1" x14ac:dyDescent="0.25">
      <c r="A214" s="8"/>
      <c r="B214" s="10"/>
      <c r="C214" s="8"/>
      <c r="D214" s="8"/>
    </row>
    <row r="215" spans="1:4" ht="14.25" customHeight="1" x14ac:dyDescent="0.25">
      <c r="A215" s="8"/>
      <c r="B215" s="10"/>
      <c r="C215" s="8"/>
      <c r="D215" s="8"/>
    </row>
    <row r="216" spans="1:4" ht="14.25" customHeight="1" x14ac:dyDescent="0.25">
      <c r="A216" s="8"/>
      <c r="B216" s="10"/>
      <c r="C216" s="8"/>
      <c r="D216" s="8"/>
    </row>
    <row r="217" spans="1:4" ht="14.25" customHeight="1" x14ac:dyDescent="0.25">
      <c r="A217" s="8"/>
      <c r="B217" s="10"/>
      <c r="C217" s="8"/>
      <c r="D217" s="8"/>
    </row>
    <row r="218" spans="1:4" ht="14.25" customHeight="1" x14ac:dyDescent="0.25">
      <c r="A218" s="8"/>
      <c r="B218" s="10"/>
      <c r="C218" s="8"/>
      <c r="D218" s="8"/>
    </row>
    <row r="219" spans="1:4" ht="14.25" customHeight="1" x14ac:dyDescent="0.25">
      <c r="A219" s="8"/>
      <c r="B219" s="10"/>
      <c r="C219" s="8"/>
      <c r="D219" s="8"/>
    </row>
    <row r="220" spans="1:4" ht="14.25" customHeight="1" x14ac:dyDescent="0.25">
      <c r="A220" s="8"/>
      <c r="B220" s="10"/>
      <c r="C220" s="8"/>
      <c r="D220" s="8"/>
    </row>
    <row r="221" spans="1:4" ht="14.25" customHeight="1" x14ac:dyDescent="0.25">
      <c r="A221" s="8"/>
      <c r="B221" s="10"/>
      <c r="C221" s="8"/>
      <c r="D221" s="8"/>
    </row>
    <row r="222" spans="1:4" ht="14.25" customHeight="1" x14ac:dyDescent="0.25">
      <c r="A222" s="8"/>
      <c r="B222" s="10"/>
      <c r="C222" s="8"/>
      <c r="D222" s="8"/>
    </row>
    <row r="223" spans="1:4" ht="14.25" customHeight="1" x14ac:dyDescent="0.25">
      <c r="A223" s="8"/>
      <c r="B223" s="10"/>
      <c r="C223" s="8"/>
      <c r="D223" s="8"/>
    </row>
    <row r="224" spans="1:4" ht="14.25" customHeight="1" x14ac:dyDescent="0.25">
      <c r="A224" s="8"/>
      <c r="B224" s="10"/>
      <c r="C224" s="8"/>
      <c r="D224" s="8"/>
    </row>
    <row r="225" spans="1:4" ht="14.25" customHeight="1" x14ac:dyDescent="0.25">
      <c r="A225" s="8"/>
      <c r="B225" s="10"/>
      <c r="C225" s="8"/>
      <c r="D225" s="8"/>
    </row>
    <row r="226" spans="1:4" ht="14.25" customHeight="1" x14ac:dyDescent="0.25">
      <c r="A226" s="8"/>
      <c r="B226" s="10"/>
      <c r="C226" s="8"/>
      <c r="D226" s="8"/>
    </row>
    <row r="227" spans="1:4" ht="14.25" customHeight="1" x14ac:dyDescent="0.25">
      <c r="A227" s="8"/>
      <c r="B227" s="10"/>
      <c r="C227" s="8"/>
      <c r="D227" s="8"/>
    </row>
    <row r="228" spans="1:4" ht="14.25" customHeight="1" x14ac:dyDescent="0.25">
      <c r="A228" s="8"/>
      <c r="B228" s="10"/>
      <c r="C228" s="8"/>
      <c r="D228" s="8"/>
    </row>
    <row r="229" spans="1:4" ht="14.25" customHeight="1" x14ac:dyDescent="0.25">
      <c r="A229" s="8"/>
      <c r="B229" s="10"/>
      <c r="C229" s="8"/>
      <c r="D229" s="8"/>
    </row>
    <row r="230" spans="1:4" ht="14.25" customHeight="1" x14ac:dyDescent="0.25">
      <c r="A230" s="8"/>
      <c r="B230" s="10"/>
      <c r="C230" s="8"/>
      <c r="D230" s="8"/>
    </row>
    <row r="231" spans="1:4" ht="14.25" customHeight="1" x14ac:dyDescent="0.25">
      <c r="A231" s="8"/>
      <c r="B231" s="10"/>
      <c r="C231" s="8"/>
      <c r="D231" s="8"/>
    </row>
    <row r="232" spans="1:4" ht="14.25" customHeight="1" x14ac:dyDescent="0.25">
      <c r="A232" s="8"/>
      <c r="B232" s="10"/>
      <c r="C232" s="8"/>
      <c r="D232" s="8"/>
    </row>
    <row r="233" spans="1:4" ht="14.25" customHeight="1" x14ac:dyDescent="0.25">
      <c r="A233" s="8"/>
      <c r="B233" s="10"/>
      <c r="C233" s="8"/>
      <c r="D233" s="8"/>
    </row>
    <row r="234" spans="1:4" ht="14.25" customHeight="1" x14ac:dyDescent="0.25">
      <c r="A234" s="8"/>
      <c r="B234" s="10"/>
      <c r="C234" s="8"/>
      <c r="D234" s="8"/>
    </row>
    <row r="235" spans="1:4" ht="14.25" customHeight="1" x14ac:dyDescent="0.25">
      <c r="A235" s="8"/>
      <c r="B235" s="10"/>
      <c r="C235" s="8"/>
      <c r="D235" s="8"/>
    </row>
    <row r="236" spans="1:4" ht="14.25" customHeight="1" x14ac:dyDescent="0.25">
      <c r="A236" s="8"/>
      <c r="B236" s="10"/>
      <c r="C236" s="8"/>
      <c r="D236" s="8"/>
    </row>
    <row r="237" spans="1:4" ht="14.25" customHeight="1" x14ac:dyDescent="0.25">
      <c r="A237" s="8"/>
      <c r="B237" s="10"/>
      <c r="C237" s="8"/>
      <c r="D237" s="8"/>
    </row>
    <row r="238" spans="1:4" ht="14.25" customHeight="1" x14ac:dyDescent="0.25">
      <c r="A238" s="8"/>
      <c r="B238" s="10"/>
      <c r="C238" s="8"/>
      <c r="D238" s="8"/>
    </row>
    <row r="239" spans="1:4" ht="14.25" customHeight="1" x14ac:dyDescent="0.25">
      <c r="A239" s="8"/>
      <c r="B239" s="10"/>
      <c r="C239" s="8"/>
      <c r="D239" s="8"/>
    </row>
    <row r="240" spans="1:4" ht="14.25" customHeight="1" x14ac:dyDescent="0.25">
      <c r="A240" s="8"/>
      <c r="B240" s="10"/>
      <c r="C240" s="8"/>
      <c r="D240" s="8"/>
    </row>
    <row r="241" spans="1:4" ht="14.25" customHeight="1" x14ac:dyDescent="0.25">
      <c r="A241" s="8"/>
      <c r="B241" s="10"/>
      <c r="C241" s="8"/>
      <c r="D241" s="8"/>
    </row>
    <row r="242" spans="1:4" ht="14.25" customHeight="1" x14ac:dyDescent="0.25">
      <c r="A242" s="8"/>
      <c r="B242" s="10"/>
      <c r="C242" s="8"/>
      <c r="D242" s="8"/>
    </row>
    <row r="243" spans="1:4" ht="14.25" customHeight="1" x14ac:dyDescent="0.25">
      <c r="A243" s="8"/>
      <c r="B243" s="10"/>
      <c r="C243" s="8"/>
      <c r="D243" s="8"/>
    </row>
    <row r="244" spans="1:4" ht="14.25" customHeight="1" x14ac:dyDescent="0.25">
      <c r="A244" s="8"/>
      <c r="B244" s="10"/>
      <c r="C244" s="8"/>
      <c r="D244" s="8"/>
    </row>
    <row r="245" spans="1:4" ht="14.25" customHeight="1" x14ac:dyDescent="0.25">
      <c r="A245" s="8"/>
      <c r="B245" s="10"/>
      <c r="C245" s="8"/>
      <c r="D245" s="8"/>
    </row>
    <row r="246" spans="1:4" ht="14.25" customHeight="1" x14ac:dyDescent="0.25">
      <c r="A246" s="8"/>
      <c r="B246" s="10"/>
      <c r="C246" s="8"/>
      <c r="D246" s="8"/>
    </row>
    <row r="247" spans="1:4" ht="14.25" customHeight="1" x14ac:dyDescent="0.25">
      <c r="A247" s="8"/>
      <c r="B247" s="10"/>
      <c r="C247" s="8"/>
      <c r="D247" s="8"/>
    </row>
    <row r="248" spans="1:4" ht="14.25" customHeight="1" x14ac:dyDescent="0.25">
      <c r="A248" s="8"/>
      <c r="B248" s="10"/>
      <c r="C248" s="8"/>
      <c r="D248" s="8"/>
    </row>
    <row r="249" spans="1:4" ht="14.25" customHeight="1" x14ac:dyDescent="0.25">
      <c r="A249" s="8"/>
      <c r="B249" s="10"/>
      <c r="C249" s="8"/>
      <c r="D249" s="8"/>
    </row>
    <row r="250" spans="1:4" ht="14.25" customHeight="1" x14ac:dyDescent="0.25">
      <c r="A250" s="8"/>
      <c r="B250" s="10"/>
      <c r="C250" s="8"/>
      <c r="D250" s="8"/>
    </row>
    <row r="251" spans="1:4" ht="14.25" customHeight="1" x14ac:dyDescent="0.25">
      <c r="A251" s="8"/>
      <c r="B251" s="10"/>
      <c r="C251" s="8"/>
      <c r="D251" s="8"/>
    </row>
    <row r="252" spans="1:4" ht="14.25" customHeight="1" x14ac:dyDescent="0.25">
      <c r="A252" s="8"/>
      <c r="B252" s="10"/>
      <c r="C252" s="8"/>
      <c r="D252" s="8"/>
    </row>
    <row r="253" spans="1:4" ht="14.25" customHeight="1" x14ac:dyDescent="0.25">
      <c r="A253" s="8"/>
      <c r="B253" s="10"/>
      <c r="C253" s="8"/>
      <c r="D253" s="8"/>
    </row>
    <row r="254" spans="1:4" ht="14.25" customHeight="1" x14ac:dyDescent="0.25">
      <c r="A254" s="8"/>
      <c r="B254" s="10"/>
      <c r="C254" s="8"/>
      <c r="D254" s="8"/>
    </row>
    <row r="255" spans="1:4" ht="14.25" customHeight="1" x14ac:dyDescent="0.25">
      <c r="A255" s="8"/>
      <c r="B255" s="10"/>
      <c r="C255" s="8"/>
      <c r="D255" s="8"/>
    </row>
    <row r="256" spans="1:4" ht="14.25" customHeight="1" x14ac:dyDescent="0.25">
      <c r="A256" s="8"/>
      <c r="B256" s="10"/>
      <c r="C256" s="8"/>
      <c r="D256" s="8"/>
    </row>
    <row r="257" spans="1:4" ht="14.25" customHeight="1" x14ac:dyDescent="0.25">
      <c r="A257" s="8"/>
      <c r="B257" s="10"/>
      <c r="C257" s="8"/>
      <c r="D257" s="8"/>
    </row>
    <row r="258" spans="1:4" ht="14.25" customHeight="1" x14ac:dyDescent="0.25">
      <c r="A258" s="8"/>
      <c r="B258" s="10"/>
      <c r="C258" s="8"/>
      <c r="D258" s="8"/>
    </row>
    <row r="259" spans="1:4" ht="14.25" customHeight="1" x14ac:dyDescent="0.25">
      <c r="A259" s="8"/>
      <c r="B259" s="10"/>
      <c r="C259" s="8"/>
      <c r="D259" s="8"/>
    </row>
    <row r="260" spans="1:4" ht="14.25" customHeight="1" x14ac:dyDescent="0.25">
      <c r="A260" s="8"/>
      <c r="B260" s="10"/>
      <c r="C260" s="8"/>
      <c r="D260" s="8"/>
    </row>
    <row r="261" spans="1:4" ht="14.25" customHeight="1" x14ac:dyDescent="0.25">
      <c r="A261" s="8"/>
      <c r="B261" s="10"/>
      <c r="C261" s="8"/>
      <c r="D261" s="8"/>
    </row>
    <row r="262" spans="1:4" ht="14.25" customHeight="1" x14ac:dyDescent="0.25">
      <c r="A262" s="8"/>
      <c r="B262" s="10"/>
      <c r="C262" s="8"/>
      <c r="D262" s="8"/>
    </row>
    <row r="263" spans="1:4" ht="14.25" customHeight="1" x14ac:dyDescent="0.25">
      <c r="A263" s="8"/>
      <c r="B263" s="10"/>
      <c r="C263" s="8"/>
      <c r="D263" s="8"/>
    </row>
    <row r="264" spans="1:4" ht="14.25" customHeight="1" x14ac:dyDescent="0.25">
      <c r="A264" s="8"/>
      <c r="B264" s="10"/>
      <c r="C264" s="8"/>
      <c r="D264" s="8"/>
    </row>
    <row r="265" spans="1:4" ht="14.25" customHeight="1" x14ac:dyDescent="0.25">
      <c r="A265" s="8"/>
      <c r="B265" s="10"/>
      <c r="C265" s="8"/>
      <c r="D265" s="8"/>
    </row>
    <row r="266" spans="1:4" ht="14.25" customHeight="1" x14ac:dyDescent="0.25">
      <c r="A266" s="8"/>
      <c r="B266" s="10"/>
      <c r="C266" s="8"/>
      <c r="D266" s="8"/>
    </row>
    <row r="267" spans="1:4" ht="14.25" customHeight="1" x14ac:dyDescent="0.25">
      <c r="A267" s="8"/>
      <c r="B267" s="10"/>
      <c r="C267" s="8"/>
      <c r="D267" s="8"/>
    </row>
    <row r="268" spans="1:4" ht="14.25" customHeight="1" x14ac:dyDescent="0.25">
      <c r="A268" s="8"/>
      <c r="B268" s="10"/>
      <c r="C268" s="8"/>
      <c r="D268" s="8"/>
    </row>
    <row r="269" spans="1:4" ht="14.25" customHeight="1" x14ac:dyDescent="0.25">
      <c r="A269" s="8"/>
      <c r="B269" s="10"/>
      <c r="C269" s="8"/>
      <c r="D269" s="8"/>
    </row>
    <row r="270" spans="1:4" ht="14.25" customHeight="1" x14ac:dyDescent="0.25">
      <c r="A270" s="8"/>
      <c r="B270" s="10"/>
      <c r="C270" s="8"/>
      <c r="D270" s="8"/>
    </row>
    <row r="271" spans="1:4" ht="14.25" customHeight="1" x14ac:dyDescent="0.25">
      <c r="A271" s="8"/>
      <c r="B271" s="10"/>
      <c r="C271" s="8"/>
      <c r="D271" s="8"/>
    </row>
    <row r="272" spans="1:4" ht="14.25" customHeight="1" x14ac:dyDescent="0.25">
      <c r="A272" s="8"/>
      <c r="B272" s="10"/>
      <c r="C272" s="8"/>
      <c r="D272" s="8"/>
    </row>
    <row r="273" spans="1:4" ht="14.25" customHeight="1" x14ac:dyDescent="0.25">
      <c r="A273" s="8"/>
      <c r="B273" s="10"/>
      <c r="C273" s="8"/>
      <c r="D273" s="8"/>
    </row>
    <row r="274" spans="1:4" ht="14.25" customHeight="1" x14ac:dyDescent="0.25">
      <c r="A274" s="8"/>
      <c r="B274" s="10"/>
      <c r="C274" s="8"/>
      <c r="D274" s="8"/>
    </row>
    <row r="275" spans="1:4" ht="14.25" customHeight="1" x14ac:dyDescent="0.25">
      <c r="A275" s="8"/>
      <c r="B275" s="10"/>
      <c r="C275" s="8"/>
      <c r="D275" s="8"/>
    </row>
    <row r="276" spans="1:4" ht="14.25" customHeight="1" x14ac:dyDescent="0.25">
      <c r="A276" s="8"/>
      <c r="B276" s="10"/>
      <c r="C276" s="8"/>
      <c r="D276" s="8"/>
    </row>
    <row r="277" spans="1:4" ht="14.25" customHeight="1" x14ac:dyDescent="0.25">
      <c r="A277" s="8"/>
      <c r="B277" s="10"/>
      <c r="C277" s="8"/>
      <c r="D277" s="8"/>
    </row>
    <row r="278" spans="1:4" ht="14.25" customHeight="1" x14ac:dyDescent="0.25">
      <c r="A278" s="8"/>
      <c r="B278" s="10"/>
      <c r="C278" s="8"/>
      <c r="D278" s="8"/>
    </row>
    <row r="279" spans="1:4" ht="14.25" customHeight="1" x14ac:dyDescent="0.25">
      <c r="A279" s="8"/>
      <c r="B279" s="10"/>
      <c r="C279" s="8"/>
      <c r="D279" s="8"/>
    </row>
    <row r="280" spans="1:4" ht="14.25" customHeight="1" x14ac:dyDescent="0.25">
      <c r="A280" s="8"/>
      <c r="B280" s="10"/>
      <c r="C280" s="8"/>
      <c r="D280" s="8"/>
    </row>
    <row r="281" spans="1:4" ht="14.25" customHeight="1" x14ac:dyDescent="0.25">
      <c r="A281" s="8"/>
      <c r="B281" s="10"/>
      <c r="C281" s="8"/>
      <c r="D281" s="8"/>
    </row>
    <row r="282" spans="1:4" ht="14.25" customHeight="1" x14ac:dyDescent="0.25">
      <c r="A282" s="8"/>
      <c r="B282" s="10"/>
      <c r="C282" s="8"/>
      <c r="D282" s="8"/>
    </row>
    <row r="283" spans="1:4" ht="14.25" customHeight="1" x14ac:dyDescent="0.25">
      <c r="A283" s="8"/>
      <c r="B283" s="10"/>
      <c r="C283" s="8"/>
      <c r="D283" s="8"/>
    </row>
    <row r="284" spans="1:4" ht="14.25" customHeight="1" x14ac:dyDescent="0.25">
      <c r="A284" s="8"/>
      <c r="B284" s="10"/>
      <c r="C284" s="8"/>
      <c r="D284" s="8"/>
    </row>
    <row r="285" spans="1:4" ht="14.25" customHeight="1" x14ac:dyDescent="0.25">
      <c r="A285" s="8"/>
      <c r="B285" s="10"/>
      <c r="C285" s="8"/>
      <c r="D285" s="8"/>
    </row>
    <row r="286" spans="1:4" ht="14.25" customHeight="1" x14ac:dyDescent="0.25">
      <c r="A286" s="8"/>
      <c r="B286" s="10"/>
      <c r="C286" s="8"/>
      <c r="D286" s="8"/>
    </row>
    <row r="287" spans="1:4" ht="14.25" customHeight="1" x14ac:dyDescent="0.25">
      <c r="A287" s="8"/>
      <c r="B287" s="10"/>
      <c r="C287" s="8"/>
      <c r="D287" s="8"/>
    </row>
    <row r="288" spans="1:4" ht="14.25" customHeight="1" x14ac:dyDescent="0.25">
      <c r="A288" s="8"/>
      <c r="B288" s="10"/>
      <c r="C288" s="8"/>
      <c r="D288" s="8"/>
    </row>
    <row r="289" spans="1:4" ht="14.25" customHeight="1" x14ac:dyDescent="0.25">
      <c r="A289" s="8"/>
      <c r="B289" s="10"/>
      <c r="C289" s="8"/>
      <c r="D289" s="8"/>
    </row>
    <row r="290" spans="1:4" ht="14.25" customHeight="1" x14ac:dyDescent="0.25">
      <c r="A290" s="8"/>
      <c r="B290" s="10"/>
      <c r="C290" s="8"/>
      <c r="D290" s="8"/>
    </row>
    <row r="291" spans="1:4" ht="14.25" customHeight="1" x14ac:dyDescent="0.25">
      <c r="A291" s="8"/>
      <c r="B291" s="10"/>
      <c r="C291" s="8"/>
      <c r="D291" s="8"/>
    </row>
    <row r="292" spans="1:4" ht="14.25" customHeight="1" x14ac:dyDescent="0.25">
      <c r="A292" s="8"/>
      <c r="B292" s="10"/>
      <c r="C292" s="8"/>
      <c r="D292" s="8"/>
    </row>
    <row r="293" spans="1:4" ht="14.25" customHeight="1" x14ac:dyDescent="0.25">
      <c r="A293" s="8"/>
      <c r="B293" s="10"/>
      <c r="C293" s="8"/>
      <c r="D293" s="8"/>
    </row>
    <row r="294" spans="1:4" ht="14.25" customHeight="1" x14ac:dyDescent="0.25">
      <c r="A294" s="8"/>
      <c r="B294" s="10"/>
      <c r="C294" s="8"/>
      <c r="D294" s="8"/>
    </row>
    <row r="295" spans="1:4" ht="14.25" customHeight="1" x14ac:dyDescent="0.25">
      <c r="A295" s="8"/>
      <c r="B295" s="10"/>
      <c r="C295" s="8"/>
      <c r="D295" s="8"/>
    </row>
    <row r="296" spans="1:4" ht="14.25" customHeight="1" x14ac:dyDescent="0.25">
      <c r="A296" s="8"/>
      <c r="B296" s="10"/>
      <c r="C296" s="8"/>
      <c r="D296" s="8"/>
    </row>
    <row r="297" spans="1:4" ht="14.25" customHeight="1" x14ac:dyDescent="0.25">
      <c r="A297" s="8"/>
      <c r="B297" s="10"/>
      <c r="C297" s="8"/>
      <c r="D297" s="8"/>
    </row>
    <row r="298" spans="1:4" ht="14.25" customHeight="1" x14ac:dyDescent="0.25">
      <c r="A298" s="8"/>
      <c r="B298" s="10"/>
      <c r="C298" s="8"/>
      <c r="D298" s="8"/>
    </row>
    <row r="299" spans="1:4" ht="14.25" customHeight="1" x14ac:dyDescent="0.25">
      <c r="A299" s="8"/>
      <c r="B299" s="10"/>
      <c r="C299" s="8"/>
      <c r="D299" s="8"/>
    </row>
    <row r="300" spans="1:4" ht="14.25" customHeight="1" x14ac:dyDescent="0.25">
      <c r="A300" s="8"/>
      <c r="B300" s="10"/>
      <c r="C300" s="8"/>
      <c r="D300" s="8"/>
    </row>
    <row r="301" spans="1:4" ht="14.25" customHeight="1" x14ac:dyDescent="0.25">
      <c r="A301" s="8"/>
      <c r="B301" s="10"/>
      <c r="C301" s="8"/>
      <c r="D301" s="8"/>
    </row>
    <row r="302" spans="1:4" ht="14.25" customHeight="1" x14ac:dyDescent="0.25">
      <c r="A302" s="8"/>
      <c r="B302" s="10"/>
      <c r="C302" s="8"/>
      <c r="D302" s="8"/>
    </row>
    <row r="303" spans="1:4" ht="14.25" customHeight="1" x14ac:dyDescent="0.25">
      <c r="A303" s="8"/>
      <c r="B303" s="10"/>
      <c r="C303" s="8"/>
      <c r="D303" s="8"/>
    </row>
    <row r="304" spans="1:4" ht="14.25" customHeight="1" x14ac:dyDescent="0.25">
      <c r="A304" s="8"/>
      <c r="B304" s="10"/>
      <c r="C304" s="8"/>
      <c r="D304" s="8"/>
    </row>
    <row r="305" spans="1:4" ht="14.25" customHeight="1" x14ac:dyDescent="0.25">
      <c r="A305" s="8"/>
      <c r="B305" s="10"/>
      <c r="C305" s="8"/>
      <c r="D305" s="8"/>
    </row>
    <row r="306" spans="1:4" ht="14.25" customHeight="1" x14ac:dyDescent="0.25">
      <c r="A306" s="8"/>
      <c r="B306" s="10"/>
      <c r="C306" s="8"/>
      <c r="D306" s="8"/>
    </row>
    <row r="307" spans="1:4" ht="14.25" customHeight="1" x14ac:dyDescent="0.25">
      <c r="A307" s="8"/>
      <c r="B307" s="10"/>
      <c r="C307" s="8"/>
      <c r="D307" s="8"/>
    </row>
    <row r="308" spans="1:4" ht="14.25" customHeight="1" x14ac:dyDescent="0.25">
      <c r="A308" s="8"/>
      <c r="B308" s="10"/>
      <c r="C308" s="8"/>
      <c r="D308" s="8"/>
    </row>
    <row r="309" spans="1:4" ht="14.25" customHeight="1" x14ac:dyDescent="0.25">
      <c r="A309" s="8"/>
      <c r="B309" s="10"/>
      <c r="C309" s="8"/>
      <c r="D309" s="8"/>
    </row>
    <row r="310" spans="1:4" ht="14.25" customHeight="1" x14ac:dyDescent="0.25">
      <c r="A310" s="8"/>
      <c r="B310" s="10"/>
      <c r="C310" s="8"/>
      <c r="D310" s="8"/>
    </row>
    <row r="311" spans="1:4" ht="14.25" customHeight="1" x14ac:dyDescent="0.25">
      <c r="A311" s="8"/>
      <c r="B311" s="10"/>
      <c r="C311" s="8"/>
      <c r="D311" s="8"/>
    </row>
    <row r="312" spans="1:4" ht="14.25" customHeight="1" x14ac:dyDescent="0.25">
      <c r="A312" s="8"/>
      <c r="B312" s="10"/>
      <c r="C312" s="8"/>
      <c r="D312" s="8"/>
    </row>
    <row r="313" spans="1:4" ht="14.25" customHeight="1" x14ac:dyDescent="0.25">
      <c r="A313" s="8"/>
      <c r="B313" s="10"/>
      <c r="C313" s="8"/>
      <c r="D313" s="8"/>
    </row>
    <row r="314" spans="1:4" ht="14.25" customHeight="1" x14ac:dyDescent="0.25">
      <c r="A314" s="8"/>
      <c r="B314" s="10"/>
      <c r="C314" s="8"/>
      <c r="D314" s="8"/>
    </row>
    <row r="315" spans="1:4" ht="14.25" customHeight="1" x14ac:dyDescent="0.25">
      <c r="A315" s="8"/>
      <c r="B315" s="10"/>
      <c r="C315" s="8"/>
      <c r="D315" s="8"/>
    </row>
    <row r="316" spans="1:4" ht="14.25" customHeight="1" x14ac:dyDescent="0.25">
      <c r="A316" s="8"/>
      <c r="B316" s="10"/>
      <c r="C316" s="8"/>
      <c r="D316" s="8"/>
    </row>
    <row r="317" spans="1:4" ht="14.25" customHeight="1" x14ac:dyDescent="0.25">
      <c r="A317" s="8"/>
      <c r="B317" s="10"/>
      <c r="C317" s="8"/>
      <c r="D317" s="8"/>
    </row>
    <row r="318" spans="1:4" ht="14.25" customHeight="1" x14ac:dyDescent="0.25">
      <c r="A318" s="8"/>
      <c r="B318" s="10"/>
      <c r="C318" s="8"/>
      <c r="D318" s="8"/>
    </row>
    <row r="319" spans="1:4" ht="14.25" customHeight="1" x14ac:dyDescent="0.25">
      <c r="A319" s="8"/>
      <c r="B319" s="10"/>
      <c r="C319" s="8"/>
      <c r="D319" s="8"/>
    </row>
    <row r="320" spans="1:4" ht="14.25" customHeight="1" x14ac:dyDescent="0.25">
      <c r="A320" s="8"/>
      <c r="B320" s="10"/>
      <c r="C320" s="8"/>
      <c r="D320" s="8"/>
    </row>
    <row r="321" spans="1:4" ht="14.25" customHeight="1" x14ac:dyDescent="0.25">
      <c r="A321" s="8"/>
      <c r="B321" s="10"/>
      <c r="C321" s="8"/>
      <c r="D321" s="8"/>
    </row>
    <row r="322" spans="1:4" ht="14.25" customHeight="1" x14ac:dyDescent="0.25">
      <c r="A322" s="8"/>
      <c r="B322" s="10"/>
      <c r="C322" s="8"/>
      <c r="D322" s="8"/>
    </row>
    <row r="323" spans="1:4" ht="14.25" customHeight="1" x14ac:dyDescent="0.25">
      <c r="A323" s="8"/>
      <c r="B323" s="10"/>
      <c r="C323" s="8"/>
      <c r="D323" s="8"/>
    </row>
    <row r="324" spans="1:4" ht="14.25" customHeight="1" x14ac:dyDescent="0.25">
      <c r="A324" s="8"/>
      <c r="B324" s="10"/>
      <c r="C324" s="8"/>
      <c r="D324" s="8"/>
    </row>
    <row r="325" spans="1:4" ht="14.25" customHeight="1" x14ac:dyDescent="0.25">
      <c r="A325" s="8"/>
      <c r="B325" s="10"/>
      <c r="C325" s="8"/>
      <c r="D325" s="8"/>
    </row>
    <row r="326" spans="1:4" ht="14.25" customHeight="1" x14ac:dyDescent="0.25">
      <c r="A326" s="8"/>
      <c r="B326" s="10"/>
      <c r="C326" s="8"/>
      <c r="D326" s="8"/>
    </row>
    <row r="327" spans="1:4" ht="14.25" customHeight="1" x14ac:dyDescent="0.25">
      <c r="A327" s="8"/>
      <c r="B327" s="10"/>
      <c r="C327" s="8"/>
      <c r="D327" s="8"/>
    </row>
    <row r="328" spans="1:4" ht="14.25" customHeight="1" x14ac:dyDescent="0.25">
      <c r="A328" s="8"/>
      <c r="B328" s="10"/>
      <c r="C328" s="8"/>
      <c r="D328" s="8"/>
    </row>
    <row r="329" spans="1:4" ht="14.25" customHeight="1" x14ac:dyDescent="0.25">
      <c r="A329" s="8"/>
      <c r="B329" s="10"/>
      <c r="C329" s="8"/>
      <c r="D329" s="8"/>
    </row>
    <row r="330" spans="1:4" ht="14.25" customHeight="1" x14ac:dyDescent="0.25">
      <c r="A330" s="8"/>
      <c r="B330" s="10"/>
      <c r="C330" s="8"/>
      <c r="D330" s="8"/>
    </row>
    <row r="331" spans="1:4" ht="14.25" customHeight="1" x14ac:dyDescent="0.25">
      <c r="A331" s="8"/>
      <c r="B331" s="10"/>
      <c r="C331" s="8"/>
      <c r="D331" s="8"/>
    </row>
    <row r="332" spans="1:4" ht="14.25" customHeight="1" x14ac:dyDescent="0.25">
      <c r="A332" s="8"/>
      <c r="B332" s="10"/>
      <c r="C332" s="8"/>
      <c r="D332" s="8"/>
    </row>
    <row r="333" spans="1:4" ht="14.25" customHeight="1" x14ac:dyDescent="0.25">
      <c r="A333" s="8"/>
      <c r="B333" s="10"/>
      <c r="C333" s="8"/>
      <c r="D333" s="8"/>
    </row>
    <row r="334" spans="1:4" ht="14.25" customHeight="1" x14ac:dyDescent="0.25">
      <c r="A334" s="8"/>
      <c r="B334" s="10"/>
      <c r="C334" s="8"/>
      <c r="D334" s="8"/>
    </row>
    <row r="335" spans="1:4" ht="14.25" customHeight="1" x14ac:dyDescent="0.25">
      <c r="A335" s="8"/>
      <c r="B335" s="10"/>
      <c r="C335" s="8"/>
      <c r="D335" s="8"/>
    </row>
    <row r="336" spans="1:4" ht="14.25" customHeight="1" x14ac:dyDescent="0.25">
      <c r="A336" s="8"/>
      <c r="B336" s="10"/>
      <c r="C336" s="8"/>
      <c r="D336" s="8"/>
    </row>
    <row r="337" spans="1:4" ht="14.25" customHeight="1" x14ac:dyDescent="0.25">
      <c r="A337" s="8"/>
      <c r="B337" s="10"/>
      <c r="C337" s="8"/>
      <c r="D337" s="8"/>
    </row>
    <row r="338" spans="1:4" ht="14.25" customHeight="1" x14ac:dyDescent="0.25">
      <c r="A338" s="8"/>
      <c r="B338" s="10"/>
      <c r="C338" s="8"/>
      <c r="D338" s="8"/>
    </row>
    <row r="339" spans="1:4" ht="14.25" customHeight="1" x14ac:dyDescent="0.25">
      <c r="A339" s="8"/>
      <c r="B339" s="10"/>
      <c r="C339" s="8"/>
      <c r="D339" s="8"/>
    </row>
    <row r="340" spans="1:4" ht="14.25" customHeight="1" x14ac:dyDescent="0.25">
      <c r="A340" s="8"/>
      <c r="B340" s="10"/>
      <c r="C340" s="8"/>
      <c r="D340" s="8"/>
    </row>
    <row r="341" spans="1:4" ht="14.25" customHeight="1" x14ac:dyDescent="0.25">
      <c r="A341" s="8"/>
      <c r="B341" s="10"/>
      <c r="C341" s="8"/>
      <c r="D341" s="8"/>
    </row>
    <row r="342" spans="1:4" ht="14.25" customHeight="1" x14ac:dyDescent="0.25">
      <c r="A342" s="8"/>
      <c r="B342" s="10"/>
      <c r="C342" s="8"/>
      <c r="D342" s="8"/>
    </row>
    <row r="343" spans="1:4" ht="14.25" customHeight="1" x14ac:dyDescent="0.25">
      <c r="A343" s="8"/>
      <c r="B343" s="10"/>
      <c r="C343" s="8"/>
      <c r="D343" s="8"/>
    </row>
    <row r="344" spans="1:4" ht="14.25" customHeight="1" x14ac:dyDescent="0.25">
      <c r="A344" s="8"/>
      <c r="B344" s="10"/>
      <c r="C344" s="8"/>
      <c r="D344" s="8"/>
    </row>
    <row r="345" spans="1:4" ht="14.25" customHeight="1" x14ac:dyDescent="0.25">
      <c r="A345" s="8"/>
      <c r="B345" s="10"/>
      <c r="C345" s="8"/>
      <c r="D345" s="8"/>
    </row>
    <row r="346" spans="1:4" ht="14.25" customHeight="1" x14ac:dyDescent="0.25">
      <c r="A346" s="8"/>
      <c r="B346" s="10"/>
      <c r="C346" s="8"/>
      <c r="D346" s="8"/>
    </row>
    <row r="347" spans="1:4" ht="14.25" customHeight="1" x14ac:dyDescent="0.25">
      <c r="A347" s="8"/>
      <c r="B347" s="10"/>
      <c r="C347" s="8"/>
      <c r="D347" s="8"/>
    </row>
    <row r="348" spans="1:4" ht="14.25" customHeight="1" x14ac:dyDescent="0.25">
      <c r="A348" s="8"/>
      <c r="B348" s="10"/>
      <c r="C348" s="8"/>
      <c r="D348" s="8"/>
    </row>
    <row r="349" spans="1:4" ht="14.25" customHeight="1" x14ac:dyDescent="0.25">
      <c r="A349" s="8"/>
      <c r="B349" s="10"/>
      <c r="C349" s="8"/>
      <c r="D349" s="8"/>
    </row>
    <row r="350" spans="1:4" ht="14.25" customHeight="1" x14ac:dyDescent="0.25">
      <c r="A350" s="8"/>
      <c r="B350" s="10"/>
      <c r="C350" s="8"/>
      <c r="D350" s="8"/>
    </row>
    <row r="351" spans="1:4" ht="14.25" customHeight="1" x14ac:dyDescent="0.25">
      <c r="A351" s="8"/>
      <c r="B351" s="10"/>
      <c r="C351" s="8"/>
      <c r="D351" s="8"/>
    </row>
    <row r="352" spans="1:4" ht="14.25" customHeight="1" x14ac:dyDescent="0.25">
      <c r="A352" s="8"/>
      <c r="B352" s="10"/>
      <c r="C352" s="8"/>
      <c r="D352" s="8"/>
    </row>
    <row r="353" spans="1:4" ht="14.25" customHeight="1" x14ac:dyDescent="0.25">
      <c r="A353" s="8"/>
      <c r="B353" s="10"/>
      <c r="C353" s="8"/>
      <c r="D353" s="8"/>
    </row>
    <row r="354" spans="1:4" ht="14.25" customHeight="1" x14ac:dyDescent="0.25">
      <c r="A354" s="8"/>
      <c r="B354" s="10"/>
      <c r="C354" s="8"/>
      <c r="D354" s="8"/>
    </row>
    <row r="355" spans="1:4" ht="14.25" customHeight="1" x14ac:dyDescent="0.25">
      <c r="A355" s="8"/>
      <c r="B355" s="10"/>
      <c r="C355" s="8"/>
      <c r="D355" s="8"/>
    </row>
    <row r="356" spans="1:4" ht="14.25" customHeight="1" x14ac:dyDescent="0.25">
      <c r="A356" s="8"/>
      <c r="B356" s="10"/>
      <c r="C356" s="8"/>
      <c r="D356" s="8"/>
    </row>
    <row r="357" spans="1:4" ht="14.25" customHeight="1" x14ac:dyDescent="0.25">
      <c r="A357" s="8"/>
      <c r="B357" s="10"/>
      <c r="C357" s="8"/>
      <c r="D357" s="8"/>
    </row>
    <row r="358" spans="1:4" ht="14.25" customHeight="1" x14ac:dyDescent="0.25">
      <c r="A358" s="8"/>
      <c r="B358" s="10"/>
      <c r="C358" s="8"/>
      <c r="D358" s="8"/>
    </row>
    <row r="359" spans="1:4" ht="14.25" customHeight="1" x14ac:dyDescent="0.25">
      <c r="A359" s="8"/>
      <c r="B359" s="10"/>
      <c r="C359" s="8"/>
      <c r="D359" s="8"/>
    </row>
    <row r="360" spans="1:4" ht="14.25" customHeight="1" x14ac:dyDescent="0.25">
      <c r="A360" s="8"/>
      <c r="B360" s="10"/>
      <c r="C360" s="8"/>
      <c r="D360" s="8"/>
    </row>
    <row r="361" spans="1:4" ht="14.25" customHeight="1" x14ac:dyDescent="0.25">
      <c r="A361" s="8"/>
      <c r="B361" s="10"/>
      <c r="C361" s="8"/>
      <c r="D361" s="8"/>
    </row>
    <row r="362" spans="1:4" ht="14.25" customHeight="1" x14ac:dyDescent="0.25">
      <c r="A362" s="8"/>
      <c r="B362" s="10"/>
      <c r="C362" s="8"/>
      <c r="D362" s="8"/>
    </row>
    <row r="363" spans="1:4" ht="14.25" customHeight="1" x14ac:dyDescent="0.25">
      <c r="A363" s="8"/>
      <c r="B363" s="10"/>
      <c r="C363" s="8"/>
      <c r="D363" s="8"/>
    </row>
    <row r="364" spans="1:4" ht="14.25" customHeight="1" x14ac:dyDescent="0.25">
      <c r="A364" s="8"/>
      <c r="B364" s="10"/>
      <c r="C364" s="8"/>
      <c r="D364" s="8"/>
    </row>
    <row r="365" spans="1:4" ht="14.25" customHeight="1" x14ac:dyDescent="0.25">
      <c r="A365" s="8"/>
      <c r="B365" s="10"/>
      <c r="C365" s="8"/>
      <c r="D365" s="8"/>
    </row>
    <row r="366" spans="1:4" ht="14.25" customHeight="1" x14ac:dyDescent="0.25">
      <c r="A366" s="8"/>
      <c r="B366" s="10"/>
      <c r="C366" s="8"/>
      <c r="D366" s="8"/>
    </row>
    <row r="367" spans="1:4" ht="14.25" customHeight="1" x14ac:dyDescent="0.25">
      <c r="A367" s="8"/>
      <c r="B367" s="10"/>
      <c r="C367" s="8"/>
      <c r="D367" s="8"/>
    </row>
    <row r="368" spans="1:4" ht="14.25" customHeight="1" x14ac:dyDescent="0.25">
      <c r="A368" s="8"/>
      <c r="B368" s="10"/>
      <c r="C368" s="8"/>
      <c r="D368" s="8"/>
    </row>
    <row r="369" spans="1:4" ht="14.25" customHeight="1" x14ac:dyDescent="0.25">
      <c r="A369" s="8"/>
      <c r="B369" s="10"/>
      <c r="C369" s="8"/>
      <c r="D369" s="8"/>
    </row>
    <row r="370" spans="1:4" ht="14.25" customHeight="1" x14ac:dyDescent="0.25">
      <c r="A370" s="8"/>
      <c r="B370" s="10"/>
      <c r="C370" s="8"/>
      <c r="D370" s="8"/>
    </row>
    <row r="371" spans="1:4" ht="14.25" customHeight="1" x14ac:dyDescent="0.25">
      <c r="A371" s="8"/>
      <c r="B371" s="10"/>
      <c r="C371" s="8"/>
      <c r="D371" s="8"/>
    </row>
    <row r="372" spans="1:4" ht="14.25" customHeight="1" x14ac:dyDescent="0.25">
      <c r="A372" s="8"/>
      <c r="B372" s="10"/>
      <c r="C372" s="8"/>
      <c r="D372" s="8"/>
    </row>
    <row r="373" spans="1:4" ht="14.25" customHeight="1" x14ac:dyDescent="0.25">
      <c r="A373" s="8"/>
      <c r="B373" s="10"/>
      <c r="C373" s="8"/>
      <c r="D373" s="8"/>
    </row>
    <row r="374" spans="1:4" ht="14.25" customHeight="1" x14ac:dyDescent="0.25">
      <c r="A374" s="8"/>
      <c r="B374" s="10"/>
      <c r="C374" s="8"/>
      <c r="D374" s="8"/>
    </row>
    <row r="375" spans="1:4" ht="14.25" customHeight="1" x14ac:dyDescent="0.25">
      <c r="A375" s="8"/>
      <c r="B375" s="10"/>
      <c r="C375" s="8"/>
      <c r="D375" s="8"/>
    </row>
    <row r="376" spans="1:4" ht="14.25" customHeight="1" x14ac:dyDescent="0.25">
      <c r="A376" s="8"/>
      <c r="B376" s="10"/>
      <c r="C376" s="8"/>
      <c r="D376" s="8"/>
    </row>
    <row r="377" spans="1:4" ht="14.25" customHeight="1" x14ac:dyDescent="0.25">
      <c r="A377" s="8"/>
      <c r="B377" s="10"/>
      <c r="C377" s="8"/>
      <c r="D377" s="8"/>
    </row>
    <row r="378" spans="1:4" ht="14.25" customHeight="1" x14ac:dyDescent="0.25">
      <c r="A378" s="8"/>
      <c r="B378" s="10"/>
      <c r="C378" s="8"/>
      <c r="D378" s="8"/>
    </row>
    <row r="379" spans="1:4" ht="14.25" customHeight="1" x14ac:dyDescent="0.25">
      <c r="A379" s="8"/>
      <c r="B379" s="10"/>
      <c r="C379" s="8"/>
      <c r="D379" s="8"/>
    </row>
    <row r="380" spans="1:4" ht="14.25" customHeight="1" x14ac:dyDescent="0.25">
      <c r="A380" s="8"/>
      <c r="B380" s="10"/>
      <c r="C380" s="8"/>
      <c r="D380" s="8"/>
    </row>
    <row r="381" spans="1:4" ht="14.25" customHeight="1" x14ac:dyDescent="0.25">
      <c r="A381" s="8"/>
      <c r="B381" s="10"/>
      <c r="C381" s="8"/>
      <c r="D381" s="8"/>
    </row>
    <row r="382" spans="1:4" ht="14.25" customHeight="1" x14ac:dyDescent="0.25">
      <c r="A382" s="8"/>
      <c r="B382" s="10"/>
      <c r="C382" s="8"/>
      <c r="D382" s="8"/>
    </row>
    <row r="383" spans="1:4" ht="14.25" customHeight="1" x14ac:dyDescent="0.25">
      <c r="A383" s="8"/>
      <c r="B383" s="10"/>
      <c r="C383" s="8"/>
      <c r="D383" s="8"/>
    </row>
    <row r="384" spans="1:4" ht="14.25" customHeight="1" x14ac:dyDescent="0.25">
      <c r="A384" s="8"/>
      <c r="B384" s="10"/>
      <c r="C384" s="8"/>
      <c r="D384" s="8"/>
    </row>
    <row r="385" spans="1:4" ht="14.25" customHeight="1" x14ac:dyDescent="0.25">
      <c r="A385" s="8"/>
      <c r="B385" s="10"/>
      <c r="C385" s="8"/>
      <c r="D385" s="8"/>
    </row>
    <row r="386" spans="1:4" ht="14.25" customHeight="1" x14ac:dyDescent="0.25">
      <c r="A386" s="8"/>
      <c r="B386" s="10"/>
      <c r="C386" s="8"/>
      <c r="D386" s="8"/>
    </row>
    <row r="387" spans="1:4" ht="14.25" customHeight="1" x14ac:dyDescent="0.25">
      <c r="A387" s="8"/>
      <c r="B387" s="10"/>
      <c r="C387" s="8"/>
      <c r="D387" s="8"/>
    </row>
    <row r="388" spans="1:4" ht="14.25" customHeight="1" x14ac:dyDescent="0.25">
      <c r="A388" s="8"/>
      <c r="B388" s="10"/>
      <c r="C388" s="8"/>
      <c r="D388" s="8"/>
    </row>
    <row r="389" spans="1:4" ht="14.25" customHeight="1" x14ac:dyDescent="0.25">
      <c r="A389" s="8"/>
      <c r="B389" s="10"/>
      <c r="C389" s="8"/>
      <c r="D389" s="8"/>
    </row>
    <row r="390" spans="1:4" ht="14.25" customHeight="1" x14ac:dyDescent="0.25">
      <c r="A390" s="8"/>
      <c r="B390" s="10"/>
      <c r="C390" s="8"/>
      <c r="D390" s="8"/>
    </row>
    <row r="391" spans="1:4" ht="14.25" customHeight="1" x14ac:dyDescent="0.25">
      <c r="A391" s="8"/>
      <c r="B391" s="10"/>
      <c r="C391" s="8"/>
      <c r="D391" s="8"/>
    </row>
    <row r="392" spans="1:4" ht="14.25" customHeight="1" x14ac:dyDescent="0.25">
      <c r="A392" s="8"/>
      <c r="B392" s="10"/>
      <c r="C392" s="8"/>
      <c r="D392" s="8"/>
    </row>
    <row r="393" spans="1:4" ht="14.25" customHeight="1" x14ac:dyDescent="0.25">
      <c r="A393" s="8"/>
      <c r="B393" s="10"/>
      <c r="C393" s="8"/>
      <c r="D393" s="8"/>
    </row>
    <row r="394" spans="1:4" ht="14.25" customHeight="1" x14ac:dyDescent="0.25">
      <c r="A394" s="8"/>
      <c r="B394" s="10"/>
      <c r="C394" s="8"/>
      <c r="D394" s="8"/>
    </row>
    <row r="395" spans="1:4" ht="14.25" customHeight="1" x14ac:dyDescent="0.25">
      <c r="A395" s="8"/>
      <c r="B395" s="10"/>
      <c r="C395" s="8"/>
      <c r="D395" s="8"/>
    </row>
    <row r="396" spans="1:4" ht="14.25" customHeight="1" x14ac:dyDescent="0.25">
      <c r="A396" s="8"/>
      <c r="B396" s="10"/>
      <c r="C396" s="8"/>
      <c r="D396" s="8"/>
    </row>
    <row r="397" spans="1:4" ht="14.25" customHeight="1" x14ac:dyDescent="0.25">
      <c r="A397" s="8"/>
      <c r="B397" s="10"/>
      <c r="C397" s="8"/>
      <c r="D397" s="8"/>
    </row>
    <row r="398" spans="1:4" ht="14.25" customHeight="1" x14ac:dyDescent="0.25">
      <c r="A398" s="8"/>
      <c r="B398" s="10"/>
      <c r="C398" s="8"/>
      <c r="D398" s="8"/>
    </row>
    <row r="399" spans="1:4" ht="14.25" customHeight="1" x14ac:dyDescent="0.25">
      <c r="A399" s="8"/>
      <c r="B399" s="10"/>
      <c r="C399" s="8"/>
      <c r="D399" s="8"/>
    </row>
    <row r="400" spans="1:4" ht="14.25" customHeight="1" x14ac:dyDescent="0.25">
      <c r="A400" s="8"/>
      <c r="B400" s="10"/>
      <c r="C400" s="8"/>
      <c r="D400" s="8"/>
    </row>
    <row r="401" spans="1:4" ht="14.25" customHeight="1" x14ac:dyDescent="0.25">
      <c r="A401" s="8"/>
      <c r="B401" s="10"/>
      <c r="C401" s="8"/>
      <c r="D401" s="8"/>
    </row>
    <row r="402" spans="1:4" ht="14.25" customHeight="1" x14ac:dyDescent="0.25">
      <c r="A402" s="8"/>
      <c r="B402" s="10"/>
      <c r="C402" s="8"/>
      <c r="D402" s="8"/>
    </row>
    <row r="403" spans="1:4" ht="14.25" customHeight="1" x14ac:dyDescent="0.25">
      <c r="A403" s="8"/>
      <c r="B403" s="10"/>
      <c r="C403" s="8"/>
      <c r="D403" s="8"/>
    </row>
    <row r="404" spans="1:4" ht="14.25" customHeight="1" x14ac:dyDescent="0.25">
      <c r="A404" s="8"/>
      <c r="B404" s="10"/>
      <c r="C404" s="8"/>
      <c r="D404" s="8"/>
    </row>
    <row r="405" spans="1:4" ht="14.25" customHeight="1" x14ac:dyDescent="0.25">
      <c r="A405" s="8"/>
      <c r="B405" s="10"/>
      <c r="C405" s="8"/>
      <c r="D405" s="8"/>
    </row>
    <row r="406" spans="1:4" ht="14.25" customHeight="1" x14ac:dyDescent="0.25">
      <c r="A406" s="8"/>
      <c r="B406" s="10"/>
      <c r="C406" s="8"/>
      <c r="D406" s="8"/>
    </row>
    <row r="407" spans="1:4" ht="14.25" customHeight="1" x14ac:dyDescent="0.25">
      <c r="A407" s="8"/>
      <c r="B407" s="10"/>
      <c r="C407" s="8"/>
      <c r="D407" s="8"/>
    </row>
    <row r="408" spans="1:4" ht="14.25" customHeight="1" x14ac:dyDescent="0.25">
      <c r="A408" s="8"/>
      <c r="B408" s="10"/>
      <c r="C408" s="8"/>
      <c r="D408" s="8"/>
    </row>
    <row r="409" spans="1:4" ht="14.25" customHeight="1" x14ac:dyDescent="0.25">
      <c r="A409" s="8"/>
      <c r="B409" s="10"/>
      <c r="C409" s="8"/>
      <c r="D409" s="8"/>
    </row>
    <row r="410" spans="1:4" ht="14.25" customHeight="1" x14ac:dyDescent="0.25">
      <c r="A410" s="8"/>
      <c r="B410" s="10"/>
      <c r="C410" s="8"/>
      <c r="D410" s="8"/>
    </row>
    <row r="411" spans="1:4" ht="14.25" customHeight="1" x14ac:dyDescent="0.25">
      <c r="A411" s="8"/>
      <c r="B411" s="10"/>
      <c r="C411" s="8"/>
      <c r="D411" s="8"/>
    </row>
    <row r="412" spans="1:4" ht="14.25" customHeight="1" x14ac:dyDescent="0.25">
      <c r="A412" s="8"/>
      <c r="B412" s="10"/>
      <c r="C412" s="8"/>
      <c r="D412" s="8"/>
    </row>
    <row r="413" spans="1:4" ht="14.25" customHeight="1" x14ac:dyDescent="0.25">
      <c r="A413" s="8"/>
      <c r="B413" s="10"/>
      <c r="C413" s="8"/>
      <c r="D413" s="8"/>
    </row>
    <row r="414" spans="1:4" ht="14.25" customHeight="1" x14ac:dyDescent="0.25">
      <c r="A414" s="8"/>
      <c r="B414" s="10"/>
      <c r="C414" s="8"/>
      <c r="D414" s="8"/>
    </row>
    <row r="415" spans="1:4" ht="14.25" customHeight="1" x14ac:dyDescent="0.25">
      <c r="A415" s="8"/>
      <c r="B415" s="10"/>
      <c r="C415" s="8"/>
      <c r="D415" s="8"/>
    </row>
    <row r="416" spans="1:4" ht="14.25" customHeight="1" x14ac:dyDescent="0.25">
      <c r="A416" s="8"/>
      <c r="B416" s="10"/>
      <c r="C416" s="8"/>
      <c r="D416" s="8"/>
    </row>
    <row r="417" spans="1:4" ht="14.25" customHeight="1" x14ac:dyDescent="0.25">
      <c r="A417" s="8"/>
      <c r="B417" s="10"/>
      <c r="C417" s="8"/>
      <c r="D417" s="8"/>
    </row>
    <row r="418" spans="1:4" ht="14.25" customHeight="1" x14ac:dyDescent="0.25">
      <c r="A418" s="8"/>
      <c r="B418" s="10"/>
      <c r="C418" s="8"/>
      <c r="D418" s="8"/>
    </row>
    <row r="419" spans="1:4" ht="14.25" customHeight="1" x14ac:dyDescent="0.25">
      <c r="A419" s="8"/>
      <c r="B419" s="10"/>
      <c r="C419" s="8"/>
      <c r="D419" s="8"/>
    </row>
    <row r="420" spans="1:4" ht="14.25" customHeight="1" x14ac:dyDescent="0.25">
      <c r="A420" s="8"/>
      <c r="B420" s="10"/>
      <c r="C420" s="8"/>
      <c r="D420" s="8"/>
    </row>
    <row r="421" spans="1:4" ht="14.25" customHeight="1" x14ac:dyDescent="0.25">
      <c r="A421" s="8"/>
      <c r="B421" s="10"/>
      <c r="C421" s="8"/>
      <c r="D421" s="8"/>
    </row>
    <row r="422" spans="1:4" ht="14.25" customHeight="1" x14ac:dyDescent="0.25">
      <c r="A422" s="8"/>
      <c r="B422" s="10"/>
      <c r="C422" s="8"/>
      <c r="D422" s="8"/>
    </row>
    <row r="423" spans="1:4" ht="14.25" customHeight="1" x14ac:dyDescent="0.25">
      <c r="A423" s="8"/>
      <c r="B423" s="10"/>
      <c r="C423" s="8"/>
      <c r="D423" s="8"/>
    </row>
    <row r="424" spans="1:4" ht="14.25" customHeight="1" x14ac:dyDescent="0.25">
      <c r="A424" s="8"/>
      <c r="B424" s="10"/>
      <c r="C424" s="8"/>
      <c r="D424" s="8"/>
    </row>
    <row r="425" spans="1:4" ht="14.25" customHeight="1" x14ac:dyDescent="0.25">
      <c r="A425" s="8"/>
      <c r="B425" s="10"/>
      <c r="C425" s="8"/>
      <c r="D425" s="8"/>
    </row>
    <row r="426" spans="1:4" ht="14.25" customHeight="1" x14ac:dyDescent="0.25">
      <c r="A426" s="8"/>
      <c r="B426" s="10"/>
      <c r="C426" s="8"/>
      <c r="D426" s="8"/>
    </row>
    <row r="427" spans="1:4" ht="14.25" customHeight="1" x14ac:dyDescent="0.25">
      <c r="A427" s="8"/>
      <c r="B427" s="10"/>
      <c r="C427" s="8"/>
      <c r="D427" s="8"/>
    </row>
    <row r="428" spans="1:4" ht="14.25" customHeight="1" x14ac:dyDescent="0.25">
      <c r="A428" s="8"/>
      <c r="B428" s="10"/>
      <c r="C428" s="8"/>
      <c r="D428" s="8"/>
    </row>
    <row r="429" spans="1:4" ht="14.25" customHeight="1" x14ac:dyDescent="0.25">
      <c r="A429" s="8"/>
      <c r="B429" s="10"/>
      <c r="C429" s="8"/>
      <c r="D429" s="8"/>
    </row>
    <row r="430" spans="1:4" ht="14.25" customHeight="1" x14ac:dyDescent="0.25">
      <c r="A430" s="8"/>
      <c r="B430" s="10"/>
      <c r="C430" s="8"/>
      <c r="D430" s="8"/>
    </row>
    <row r="431" spans="1:4" ht="14.25" customHeight="1" x14ac:dyDescent="0.25">
      <c r="A431" s="8"/>
      <c r="B431" s="10"/>
      <c r="C431" s="8"/>
      <c r="D431" s="8"/>
    </row>
    <row r="432" spans="1:4" ht="14.25" customHeight="1" x14ac:dyDescent="0.25">
      <c r="A432" s="8"/>
      <c r="B432" s="10"/>
      <c r="C432" s="8"/>
      <c r="D432" s="8"/>
    </row>
    <row r="433" spans="1:4" ht="14.25" customHeight="1" x14ac:dyDescent="0.25">
      <c r="A433" s="8"/>
      <c r="B433" s="10"/>
      <c r="C433" s="8"/>
      <c r="D433" s="8"/>
    </row>
    <row r="434" spans="1:4" ht="14.25" customHeight="1" x14ac:dyDescent="0.25">
      <c r="A434" s="8"/>
      <c r="B434" s="10"/>
      <c r="C434" s="8"/>
      <c r="D434" s="8"/>
    </row>
    <row r="435" spans="1:4" ht="14.25" customHeight="1" x14ac:dyDescent="0.25">
      <c r="A435" s="8"/>
      <c r="B435" s="10"/>
      <c r="C435" s="8"/>
      <c r="D435" s="8"/>
    </row>
    <row r="436" spans="1:4" ht="14.25" customHeight="1" x14ac:dyDescent="0.25">
      <c r="A436" s="8"/>
      <c r="B436" s="10"/>
      <c r="C436" s="8"/>
      <c r="D436" s="8"/>
    </row>
    <row r="437" spans="1:4" ht="14.25" customHeight="1" x14ac:dyDescent="0.25">
      <c r="A437" s="8"/>
      <c r="B437" s="10"/>
      <c r="C437" s="8"/>
      <c r="D437" s="8"/>
    </row>
    <row r="438" spans="1:4" ht="14.25" customHeight="1" x14ac:dyDescent="0.25">
      <c r="A438" s="8"/>
      <c r="B438" s="10"/>
      <c r="C438" s="8"/>
      <c r="D438" s="8"/>
    </row>
    <row r="439" spans="1:4" ht="14.25" customHeight="1" x14ac:dyDescent="0.25">
      <c r="A439" s="8"/>
      <c r="B439" s="10"/>
      <c r="C439" s="8"/>
      <c r="D439" s="8"/>
    </row>
    <row r="440" spans="1:4" ht="14.25" customHeight="1" x14ac:dyDescent="0.25">
      <c r="A440" s="8"/>
      <c r="B440" s="10"/>
      <c r="C440" s="8"/>
      <c r="D440" s="8"/>
    </row>
    <row r="441" spans="1:4" ht="14.25" customHeight="1" x14ac:dyDescent="0.25">
      <c r="A441" s="8"/>
      <c r="B441" s="10"/>
      <c r="C441" s="8"/>
      <c r="D441" s="8"/>
    </row>
    <row r="442" spans="1:4" ht="14.25" customHeight="1" x14ac:dyDescent="0.25">
      <c r="A442" s="8"/>
      <c r="B442" s="10"/>
      <c r="C442" s="8"/>
      <c r="D442" s="8"/>
    </row>
    <row r="443" spans="1:4" ht="14.25" customHeight="1" x14ac:dyDescent="0.25">
      <c r="A443" s="8"/>
      <c r="B443" s="10"/>
      <c r="C443" s="8"/>
      <c r="D443" s="8"/>
    </row>
    <row r="444" spans="1:4" ht="14.25" customHeight="1" x14ac:dyDescent="0.25">
      <c r="A444" s="8"/>
      <c r="B444" s="10"/>
      <c r="C444" s="8"/>
      <c r="D444" s="8"/>
    </row>
    <row r="445" spans="1:4" ht="14.25" customHeight="1" x14ac:dyDescent="0.25">
      <c r="A445" s="8"/>
      <c r="B445" s="10"/>
      <c r="C445" s="8"/>
      <c r="D445" s="8"/>
    </row>
    <row r="446" spans="1:4" ht="14.25" customHeight="1" x14ac:dyDescent="0.25">
      <c r="A446" s="8"/>
      <c r="B446" s="10"/>
      <c r="C446" s="8"/>
      <c r="D446" s="8"/>
    </row>
    <row r="447" spans="1:4" ht="14.25" customHeight="1" x14ac:dyDescent="0.25">
      <c r="A447" s="8"/>
      <c r="B447" s="10"/>
      <c r="C447" s="8"/>
      <c r="D447" s="8"/>
    </row>
    <row r="448" spans="1:4" ht="14.25" customHeight="1" x14ac:dyDescent="0.25">
      <c r="A448" s="8"/>
      <c r="B448" s="10"/>
      <c r="C448" s="8"/>
      <c r="D448" s="8"/>
    </row>
    <row r="449" spans="1:4" ht="14.25" customHeight="1" x14ac:dyDescent="0.25">
      <c r="A449" s="8"/>
      <c r="B449" s="10"/>
      <c r="C449" s="8"/>
      <c r="D449" s="8"/>
    </row>
    <row r="450" spans="1:4" ht="14.25" customHeight="1" x14ac:dyDescent="0.25">
      <c r="A450" s="8"/>
      <c r="B450" s="10"/>
      <c r="C450" s="8"/>
      <c r="D450" s="8"/>
    </row>
    <row r="451" spans="1:4" ht="14.25" customHeight="1" x14ac:dyDescent="0.25">
      <c r="A451" s="8"/>
      <c r="B451" s="10"/>
      <c r="C451" s="8"/>
      <c r="D451" s="8"/>
    </row>
    <row r="452" spans="1:4" ht="14.25" customHeight="1" x14ac:dyDescent="0.25">
      <c r="A452" s="8"/>
      <c r="B452" s="10"/>
      <c r="C452" s="8"/>
      <c r="D452" s="8"/>
    </row>
    <row r="453" spans="1:4" ht="14.25" customHeight="1" x14ac:dyDescent="0.25">
      <c r="A453" s="8"/>
      <c r="B453" s="10"/>
      <c r="C453" s="8"/>
      <c r="D453" s="8"/>
    </row>
    <row r="454" spans="1:4" ht="14.25" customHeight="1" x14ac:dyDescent="0.25">
      <c r="A454" s="8"/>
      <c r="B454" s="10"/>
      <c r="C454" s="8"/>
      <c r="D454" s="8"/>
    </row>
    <row r="455" spans="1:4" ht="14.25" customHeight="1" x14ac:dyDescent="0.25">
      <c r="A455" s="8"/>
      <c r="B455" s="10"/>
      <c r="C455" s="8"/>
      <c r="D455" s="8"/>
    </row>
    <row r="456" spans="1:4" ht="14.25" customHeight="1" x14ac:dyDescent="0.25">
      <c r="A456" s="8"/>
      <c r="B456" s="10"/>
      <c r="C456" s="8"/>
      <c r="D456" s="8"/>
    </row>
    <row r="457" spans="1:4" ht="14.25" customHeight="1" x14ac:dyDescent="0.25">
      <c r="A457" s="8"/>
      <c r="B457" s="10"/>
      <c r="C457" s="8"/>
      <c r="D457" s="8"/>
    </row>
    <row r="458" spans="1:4" ht="14.25" customHeight="1" x14ac:dyDescent="0.25">
      <c r="A458" s="8"/>
      <c r="B458" s="10"/>
      <c r="C458" s="8"/>
      <c r="D458" s="8"/>
    </row>
    <row r="459" spans="1:4" ht="14.25" customHeight="1" x14ac:dyDescent="0.25">
      <c r="A459" s="8"/>
      <c r="B459" s="10"/>
      <c r="C459" s="8"/>
      <c r="D459" s="8"/>
    </row>
    <row r="460" spans="1:4" ht="14.25" customHeight="1" x14ac:dyDescent="0.25">
      <c r="A460" s="8"/>
      <c r="B460" s="10"/>
      <c r="C460" s="8"/>
      <c r="D460" s="8"/>
    </row>
    <row r="461" spans="1:4" ht="14.25" customHeight="1" x14ac:dyDescent="0.25">
      <c r="A461" s="8"/>
      <c r="B461" s="10"/>
      <c r="C461" s="8"/>
      <c r="D461" s="8"/>
    </row>
    <row r="462" spans="1:4" ht="14.25" customHeight="1" x14ac:dyDescent="0.25">
      <c r="A462" s="8"/>
      <c r="B462" s="10"/>
      <c r="C462" s="8"/>
      <c r="D462" s="8"/>
    </row>
    <row r="463" spans="1:4" ht="14.25" customHeight="1" x14ac:dyDescent="0.25">
      <c r="A463" s="8"/>
      <c r="B463" s="10"/>
      <c r="C463" s="8"/>
      <c r="D463" s="8"/>
    </row>
    <row r="464" spans="1:4" ht="14.25" customHeight="1" x14ac:dyDescent="0.25">
      <c r="A464" s="8"/>
      <c r="B464" s="10"/>
      <c r="C464" s="8"/>
      <c r="D464" s="8"/>
    </row>
    <row r="465" spans="1:4" ht="14.25" customHeight="1" x14ac:dyDescent="0.25">
      <c r="A465" s="8"/>
      <c r="B465" s="10"/>
      <c r="C465" s="8"/>
      <c r="D465" s="8"/>
    </row>
    <row r="466" spans="1:4" ht="14.25" customHeight="1" x14ac:dyDescent="0.25">
      <c r="A466" s="8"/>
      <c r="B466" s="10"/>
      <c r="C466" s="8"/>
      <c r="D466" s="8"/>
    </row>
    <row r="467" spans="1:4" ht="14.25" customHeight="1" x14ac:dyDescent="0.25">
      <c r="A467" s="8"/>
      <c r="B467" s="10"/>
      <c r="C467" s="8"/>
      <c r="D467" s="8"/>
    </row>
    <row r="468" spans="1:4" ht="14.25" customHeight="1" x14ac:dyDescent="0.25">
      <c r="A468" s="8"/>
      <c r="B468" s="10"/>
      <c r="C468" s="8"/>
      <c r="D468" s="8"/>
    </row>
    <row r="469" spans="1:4" ht="14.25" customHeight="1" x14ac:dyDescent="0.25">
      <c r="A469" s="8"/>
      <c r="B469" s="10"/>
      <c r="C469" s="8"/>
      <c r="D469" s="8"/>
    </row>
    <row r="470" spans="1:4" ht="14.25" customHeight="1" x14ac:dyDescent="0.25">
      <c r="A470" s="8"/>
      <c r="B470" s="10"/>
      <c r="C470" s="8"/>
      <c r="D470" s="8"/>
    </row>
    <row r="471" spans="1:4" ht="14.25" customHeight="1" x14ac:dyDescent="0.25">
      <c r="A471" s="8"/>
      <c r="B471" s="10"/>
      <c r="C471" s="8"/>
      <c r="D471" s="8"/>
    </row>
    <row r="472" spans="1:4" ht="14.25" customHeight="1" x14ac:dyDescent="0.25">
      <c r="A472" s="8"/>
      <c r="B472" s="10"/>
      <c r="C472" s="8"/>
      <c r="D472" s="8"/>
    </row>
    <row r="473" spans="1:4" ht="14.25" customHeight="1" x14ac:dyDescent="0.25">
      <c r="A473" s="8"/>
      <c r="B473" s="10"/>
      <c r="C473" s="8"/>
      <c r="D473" s="8"/>
    </row>
    <row r="474" spans="1:4" ht="14.25" customHeight="1" x14ac:dyDescent="0.25">
      <c r="A474" s="8"/>
      <c r="B474" s="10"/>
      <c r="C474" s="8"/>
      <c r="D474" s="8"/>
    </row>
    <row r="475" spans="1:4" ht="14.25" customHeight="1" x14ac:dyDescent="0.25">
      <c r="A475" s="8"/>
      <c r="B475" s="10"/>
      <c r="C475" s="8"/>
      <c r="D475" s="8"/>
    </row>
    <row r="476" spans="1:4" ht="14.25" customHeight="1" x14ac:dyDescent="0.25">
      <c r="A476" s="8"/>
      <c r="B476" s="10"/>
      <c r="C476" s="8"/>
      <c r="D476" s="8"/>
    </row>
    <row r="477" spans="1:4" ht="14.25" customHeight="1" x14ac:dyDescent="0.25">
      <c r="A477" s="8"/>
      <c r="B477" s="10"/>
      <c r="C477" s="8"/>
      <c r="D477" s="8"/>
    </row>
    <row r="478" spans="1:4" ht="14.25" customHeight="1" x14ac:dyDescent="0.25">
      <c r="A478" s="8"/>
      <c r="B478" s="10"/>
      <c r="C478" s="8"/>
      <c r="D478" s="8"/>
    </row>
    <row r="479" spans="1:4" ht="14.25" customHeight="1" x14ac:dyDescent="0.25">
      <c r="A479" s="8"/>
      <c r="B479" s="10"/>
      <c r="C479" s="8"/>
      <c r="D479" s="8"/>
    </row>
    <row r="480" spans="1:4" ht="14.25" customHeight="1" x14ac:dyDescent="0.25">
      <c r="A480" s="8"/>
      <c r="B480" s="10"/>
      <c r="C480" s="8"/>
      <c r="D480" s="8"/>
    </row>
    <row r="481" spans="1:4" ht="14.25" customHeight="1" x14ac:dyDescent="0.25">
      <c r="A481" s="8"/>
      <c r="B481" s="10"/>
      <c r="C481" s="8"/>
      <c r="D481" s="8"/>
    </row>
    <row r="482" spans="1:4" ht="14.25" customHeight="1" x14ac:dyDescent="0.25">
      <c r="A482" s="8"/>
      <c r="B482" s="10"/>
      <c r="C482" s="8"/>
      <c r="D482" s="8"/>
    </row>
    <row r="483" spans="1:4" ht="14.25" customHeight="1" x14ac:dyDescent="0.25">
      <c r="A483" s="8"/>
      <c r="B483" s="10"/>
      <c r="C483" s="8"/>
      <c r="D483" s="8"/>
    </row>
    <row r="484" spans="1:4" ht="14.25" customHeight="1" x14ac:dyDescent="0.25">
      <c r="A484" s="8"/>
      <c r="B484" s="10"/>
      <c r="C484" s="8"/>
      <c r="D484" s="8"/>
    </row>
    <row r="485" spans="1:4" ht="14.25" customHeight="1" x14ac:dyDescent="0.25">
      <c r="A485" s="8"/>
      <c r="B485" s="10"/>
      <c r="C485" s="8"/>
      <c r="D485" s="8"/>
    </row>
    <row r="486" spans="1:4" ht="14.25" customHeight="1" x14ac:dyDescent="0.25">
      <c r="A486" s="8"/>
      <c r="B486" s="10"/>
      <c r="C486" s="8"/>
      <c r="D486" s="8"/>
    </row>
    <row r="487" spans="1:4" ht="14.25" customHeight="1" x14ac:dyDescent="0.25">
      <c r="A487" s="8"/>
      <c r="B487" s="10"/>
      <c r="C487" s="8"/>
      <c r="D487" s="8"/>
    </row>
    <row r="488" spans="1:4" ht="14.25" customHeight="1" x14ac:dyDescent="0.25">
      <c r="A488" s="8"/>
      <c r="B488" s="10"/>
      <c r="C488" s="8"/>
      <c r="D488" s="8"/>
    </row>
    <row r="489" spans="1:4" ht="14.25" customHeight="1" x14ac:dyDescent="0.25">
      <c r="A489" s="8"/>
      <c r="B489" s="10"/>
      <c r="C489" s="8"/>
      <c r="D489" s="8"/>
    </row>
    <row r="490" spans="1:4" ht="14.25" customHeight="1" x14ac:dyDescent="0.25">
      <c r="A490" s="8"/>
      <c r="B490" s="10"/>
      <c r="C490" s="8"/>
      <c r="D490" s="8"/>
    </row>
    <row r="491" spans="1:4" ht="14.25" customHeight="1" x14ac:dyDescent="0.25">
      <c r="A491" s="8"/>
      <c r="B491" s="10"/>
      <c r="C491" s="8"/>
      <c r="D491" s="8"/>
    </row>
    <row r="492" spans="1:4" ht="14.25" customHeight="1" x14ac:dyDescent="0.25">
      <c r="A492" s="8"/>
      <c r="B492" s="10"/>
      <c r="C492" s="8"/>
      <c r="D492" s="8"/>
    </row>
    <row r="493" spans="1:4" ht="14.25" customHeight="1" x14ac:dyDescent="0.25">
      <c r="A493" s="8"/>
      <c r="B493" s="10"/>
      <c r="C493" s="8"/>
      <c r="D493" s="8"/>
    </row>
    <row r="494" spans="1:4" ht="14.25" customHeight="1" x14ac:dyDescent="0.25">
      <c r="A494" s="8"/>
      <c r="B494" s="10"/>
      <c r="C494" s="8"/>
      <c r="D494" s="8"/>
    </row>
    <row r="495" spans="1:4" ht="14.25" customHeight="1" x14ac:dyDescent="0.25">
      <c r="A495" s="8"/>
      <c r="B495" s="10"/>
      <c r="C495" s="8"/>
      <c r="D495" s="8"/>
    </row>
    <row r="496" spans="1:4" ht="14.25" customHeight="1" x14ac:dyDescent="0.25">
      <c r="A496" s="8"/>
      <c r="B496" s="10"/>
      <c r="C496" s="8"/>
      <c r="D496" s="8"/>
    </row>
    <row r="497" spans="1:4" ht="14.25" customHeight="1" x14ac:dyDescent="0.25">
      <c r="A497" s="8"/>
      <c r="B497" s="10"/>
      <c r="C497" s="8"/>
      <c r="D497" s="8"/>
    </row>
    <row r="498" spans="1:4" ht="14.25" customHeight="1" x14ac:dyDescent="0.25">
      <c r="A498" s="8"/>
      <c r="B498" s="10"/>
      <c r="C498" s="8"/>
      <c r="D498" s="8"/>
    </row>
    <row r="499" spans="1:4" ht="14.25" customHeight="1" x14ac:dyDescent="0.25">
      <c r="A499" s="8"/>
      <c r="B499" s="10"/>
      <c r="C499" s="8"/>
      <c r="D499" s="8"/>
    </row>
    <row r="500" spans="1:4" ht="14.25" customHeight="1" x14ac:dyDescent="0.25">
      <c r="A500" s="8"/>
      <c r="B500" s="10"/>
      <c r="C500" s="8"/>
      <c r="D500" s="8"/>
    </row>
    <row r="501" spans="1:4" ht="14.25" customHeight="1" x14ac:dyDescent="0.25">
      <c r="A501" s="8"/>
      <c r="B501" s="10"/>
      <c r="C501" s="8"/>
      <c r="D501" s="8"/>
    </row>
    <row r="502" spans="1:4" ht="14.25" customHeight="1" x14ac:dyDescent="0.25">
      <c r="A502" s="8"/>
      <c r="B502" s="10"/>
      <c r="C502" s="8"/>
      <c r="D502" s="8"/>
    </row>
    <row r="503" spans="1:4" ht="14.25" customHeight="1" x14ac:dyDescent="0.25">
      <c r="A503" s="8"/>
      <c r="B503" s="10"/>
      <c r="C503" s="8"/>
      <c r="D503" s="8"/>
    </row>
    <row r="504" spans="1:4" ht="14.25" customHeight="1" x14ac:dyDescent="0.25">
      <c r="A504" s="8"/>
      <c r="B504" s="10"/>
      <c r="C504" s="8"/>
      <c r="D504" s="8"/>
    </row>
    <row r="505" spans="1:4" ht="14.25" customHeight="1" x14ac:dyDescent="0.25">
      <c r="A505" s="8"/>
      <c r="B505" s="10"/>
      <c r="C505" s="8"/>
      <c r="D505" s="8"/>
    </row>
    <row r="506" spans="1:4" ht="14.25" customHeight="1" x14ac:dyDescent="0.25">
      <c r="A506" s="8"/>
      <c r="B506" s="10"/>
      <c r="C506" s="8"/>
      <c r="D506" s="8"/>
    </row>
    <row r="507" spans="1:4" ht="14.25" customHeight="1" x14ac:dyDescent="0.25">
      <c r="A507" s="8"/>
      <c r="B507" s="10"/>
      <c r="C507" s="8"/>
      <c r="D507" s="8"/>
    </row>
    <row r="508" spans="1:4" ht="14.25" customHeight="1" x14ac:dyDescent="0.25">
      <c r="A508" s="8"/>
      <c r="B508" s="10"/>
      <c r="C508" s="8"/>
      <c r="D508" s="8"/>
    </row>
    <row r="509" spans="1:4" ht="14.25" customHeight="1" x14ac:dyDescent="0.25">
      <c r="A509" s="8"/>
      <c r="B509" s="10"/>
      <c r="C509" s="8"/>
      <c r="D509" s="8"/>
    </row>
    <row r="510" spans="1:4" ht="14.25" customHeight="1" x14ac:dyDescent="0.25">
      <c r="A510" s="8"/>
      <c r="B510" s="10"/>
      <c r="C510" s="8"/>
      <c r="D510" s="8"/>
    </row>
    <row r="511" spans="1:4" ht="14.25" customHeight="1" x14ac:dyDescent="0.25">
      <c r="A511" s="8"/>
      <c r="B511" s="10"/>
      <c r="C511" s="8"/>
      <c r="D511" s="8"/>
    </row>
    <row r="512" spans="1:4" ht="14.25" customHeight="1" x14ac:dyDescent="0.25">
      <c r="A512" s="8"/>
      <c r="B512" s="10"/>
      <c r="C512" s="8"/>
      <c r="D512" s="8"/>
    </row>
    <row r="513" spans="1:4" ht="14.25" customHeight="1" x14ac:dyDescent="0.25">
      <c r="A513" s="8"/>
      <c r="B513" s="10"/>
      <c r="C513" s="8"/>
      <c r="D513" s="8"/>
    </row>
    <row r="514" spans="1:4" ht="14.25" customHeight="1" x14ac:dyDescent="0.25">
      <c r="A514" s="8"/>
      <c r="B514" s="10"/>
      <c r="C514" s="8"/>
      <c r="D514" s="8"/>
    </row>
    <row r="515" spans="1:4" ht="14.25" customHeight="1" x14ac:dyDescent="0.25">
      <c r="A515" s="8"/>
      <c r="B515" s="10"/>
      <c r="C515" s="8"/>
      <c r="D515" s="8"/>
    </row>
    <row r="516" spans="1:4" ht="14.25" customHeight="1" x14ac:dyDescent="0.25">
      <c r="A516" s="8"/>
      <c r="B516" s="10"/>
      <c r="C516" s="8"/>
      <c r="D516" s="8"/>
    </row>
    <row r="517" spans="1:4" ht="14.25" customHeight="1" x14ac:dyDescent="0.25">
      <c r="A517" s="8"/>
      <c r="B517" s="10"/>
      <c r="C517" s="8"/>
      <c r="D517" s="8"/>
    </row>
    <row r="518" spans="1:4" ht="14.25" customHeight="1" x14ac:dyDescent="0.25">
      <c r="A518" s="8"/>
      <c r="B518" s="10"/>
      <c r="C518" s="8"/>
      <c r="D518" s="8"/>
    </row>
    <row r="519" spans="1:4" ht="14.25" customHeight="1" x14ac:dyDescent="0.25">
      <c r="A519" s="8"/>
      <c r="B519" s="10"/>
      <c r="C519" s="8"/>
      <c r="D519" s="8"/>
    </row>
    <row r="520" spans="1:4" ht="14.25" customHeight="1" x14ac:dyDescent="0.25">
      <c r="A520" s="8"/>
      <c r="B520" s="10"/>
      <c r="C520" s="8"/>
      <c r="D520" s="8"/>
    </row>
    <row r="521" spans="1:4" ht="14.25" customHeight="1" x14ac:dyDescent="0.25">
      <c r="A521" s="8"/>
      <c r="B521" s="10"/>
      <c r="C521" s="8"/>
      <c r="D521" s="8"/>
    </row>
    <row r="522" spans="1:4" ht="14.25" customHeight="1" x14ac:dyDescent="0.25">
      <c r="A522" s="8"/>
      <c r="B522" s="10"/>
      <c r="C522" s="8"/>
      <c r="D522" s="8"/>
    </row>
    <row r="523" spans="1:4" ht="14.25" customHeight="1" x14ac:dyDescent="0.25">
      <c r="A523" s="8"/>
      <c r="B523" s="10"/>
      <c r="C523" s="8"/>
      <c r="D523" s="8"/>
    </row>
    <row r="524" spans="1:4" ht="14.25" customHeight="1" x14ac:dyDescent="0.25">
      <c r="A524" s="8"/>
      <c r="B524" s="10"/>
      <c r="C524" s="8"/>
      <c r="D524" s="8"/>
    </row>
    <row r="525" spans="1:4" ht="14.25" customHeight="1" x14ac:dyDescent="0.25">
      <c r="A525" s="8"/>
      <c r="B525" s="10"/>
      <c r="C525" s="8"/>
      <c r="D525" s="8"/>
    </row>
    <row r="526" spans="1:4" ht="14.25" customHeight="1" x14ac:dyDescent="0.25">
      <c r="A526" s="8"/>
      <c r="B526" s="10"/>
      <c r="C526" s="8"/>
      <c r="D526" s="8"/>
    </row>
    <row r="527" spans="1:4" ht="14.25" customHeight="1" x14ac:dyDescent="0.25">
      <c r="A527" s="8"/>
      <c r="B527" s="10"/>
      <c r="C527" s="8"/>
      <c r="D527" s="8"/>
    </row>
    <row r="528" spans="1:4" ht="14.25" customHeight="1" x14ac:dyDescent="0.25">
      <c r="A528" s="8"/>
      <c r="B528" s="10"/>
      <c r="C528" s="8"/>
      <c r="D528" s="8"/>
    </row>
    <row r="529" spans="1:4" ht="14.25" customHeight="1" x14ac:dyDescent="0.25">
      <c r="A529" s="8"/>
      <c r="B529" s="10"/>
      <c r="C529" s="8"/>
      <c r="D529" s="8"/>
    </row>
    <row r="530" spans="1:4" ht="14.25" customHeight="1" x14ac:dyDescent="0.25">
      <c r="A530" s="8"/>
      <c r="B530" s="10"/>
      <c r="C530" s="8"/>
      <c r="D530" s="8"/>
    </row>
    <row r="531" spans="1:4" ht="14.25" customHeight="1" x14ac:dyDescent="0.25">
      <c r="A531" s="8"/>
      <c r="B531" s="10"/>
      <c r="C531" s="8"/>
      <c r="D531" s="8"/>
    </row>
    <row r="532" spans="1:4" ht="14.25" customHeight="1" x14ac:dyDescent="0.25">
      <c r="A532" s="8"/>
      <c r="B532" s="10"/>
      <c r="C532" s="8"/>
      <c r="D532" s="8"/>
    </row>
    <row r="533" spans="1:4" ht="14.25" customHeight="1" x14ac:dyDescent="0.25">
      <c r="A533" s="8"/>
      <c r="B533" s="10"/>
      <c r="C533" s="8"/>
      <c r="D533" s="8"/>
    </row>
    <row r="534" spans="1:4" ht="14.25" customHeight="1" x14ac:dyDescent="0.25">
      <c r="A534" s="8"/>
      <c r="B534" s="10"/>
      <c r="C534" s="8"/>
      <c r="D534" s="8"/>
    </row>
    <row r="535" spans="1:4" ht="14.25" customHeight="1" x14ac:dyDescent="0.25">
      <c r="A535" s="8"/>
      <c r="B535" s="10"/>
      <c r="C535" s="8"/>
      <c r="D535" s="8"/>
    </row>
    <row r="536" spans="1:4" ht="14.25" customHeight="1" x14ac:dyDescent="0.25">
      <c r="A536" s="8"/>
      <c r="B536" s="10"/>
      <c r="C536" s="8"/>
      <c r="D536" s="8"/>
    </row>
    <row r="537" spans="1:4" ht="14.25" customHeight="1" x14ac:dyDescent="0.25">
      <c r="A537" s="8"/>
      <c r="B537" s="10"/>
      <c r="C537" s="8"/>
      <c r="D537" s="8"/>
    </row>
    <row r="538" spans="1:4" ht="14.25" customHeight="1" x14ac:dyDescent="0.25">
      <c r="A538" s="8"/>
      <c r="B538" s="10"/>
      <c r="C538" s="8"/>
      <c r="D538" s="8"/>
    </row>
    <row r="539" spans="1:4" ht="14.25" customHeight="1" x14ac:dyDescent="0.25">
      <c r="A539" s="8"/>
      <c r="B539" s="10"/>
      <c r="C539" s="8"/>
      <c r="D539" s="8"/>
    </row>
    <row r="540" spans="1:4" ht="14.25" customHeight="1" x14ac:dyDescent="0.25">
      <c r="A540" s="8"/>
      <c r="B540" s="10"/>
      <c r="C540" s="8"/>
      <c r="D540" s="8"/>
    </row>
    <row r="541" spans="1:4" ht="14.25" customHeight="1" x14ac:dyDescent="0.25">
      <c r="A541" s="8"/>
      <c r="B541" s="10"/>
      <c r="C541" s="8"/>
      <c r="D541" s="8"/>
    </row>
    <row r="542" spans="1:4" ht="14.25" customHeight="1" x14ac:dyDescent="0.25">
      <c r="A542" s="8"/>
      <c r="B542" s="10"/>
      <c r="C542" s="8"/>
      <c r="D542" s="8"/>
    </row>
    <row r="543" spans="1:4" ht="14.25" customHeight="1" x14ac:dyDescent="0.25">
      <c r="A543" s="8"/>
      <c r="B543" s="10"/>
      <c r="C543" s="8"/>
      <c r="D543" s="8"/>
    </row>
    <row r="544" spans="1:4" ht="14.25" customHeight="1" x14ac:dyDescent="0.25">
      <c r="A544" s="8"/>
      <c r="B544" s="10"/>
      <c r="C544" s="8"/>
      <c r="D544" s="8"/>
    </row>
    <row r="545" spans="1:4" ht="14.25" customHeight="1" x14ac:dyDescent="0.25">
      <c r="A545" s="8"/>
      <c r="B545" s="10"/>
      <c r="C545" s="8"/>
      <c r="D545" s="8"/>
    </row>
    <row r="546" spans="1:4" ht="14.25" customHeight="1" x14ac:dyDescent="0.25">
      <c r="A546" s="8"/>
      <c r="B546" s="10"/>
      <c r="C546" s="8"/>
      <c r="D546" s="8"/>
    </row>
    <row r="547" spans="1:4" ht="14.25" customHeight="1" x14ac:dyDescent="0.25">
      <c r="A547" s="8"/>
      <c r="B547" s="10"/>
      <c r="C547" s="8"/>
      <c r="D547" s="8"/>
    </row>
    <row r="548" spans="1:4" ht="14.25" customHeight="1" x14ac:dyDescent="0.25">
      <c r="A548" s="8"/>
      <c r="B548" s="10"/>
      <c r="C548" s="8"/>
      <c r="D548" s="8"/>
    </row>
    <row r="549" spans="1:4" ht="14.25" customHeight="1" x14ac:dyDescent="0.25">
      <c r="A549" s="8"/>
      <c r="B549" s="10"/>
      <c r="C549" s="8"/>
      <c r="D549" s="8"/>
    </row>
    <row r="550" spans="1:4" ht="14.25" customHeight="1" x14ac:dyDescent="0.25">
      <c r="A550" s="8"/>
      <c r="B550" s="10"/>
      <c r="C550" s="8"/>
      <c r="D550" s="8"/>
    </row>
    <row r="551" spans="1:4" ht="14.25" customHeight="1" x14ac:dyDescent="0.25">
      <c r="A551" s="8"/>
      <c r="B551" s="10"/>
      <c r="C551" s="8"/>
      <c r="D551" s="8"/>
    </row>
    <row r="552" spans="1:4" ht="14.25" customHeight="1" x14ac:dyDescent="0.25">
      <c r="A552" s="8"/>
      <c r="B552" s="10"/>
      <c r="C552" s="8"/>
      <c r="D552" s="8"/>
    </row>
    <row r="553" spans="1:4" ht="14.25" customHeight="1" x14ac:dyDescent="0.25">
      <c r="A553" s="8"/>
      <c r="B553" s="10"/>
      <c r="C553" s="8"/>
      <c r="D553" s="8"/>
    </row>
    <row r="554" spans="1:4" ht="14.25" customHeight="1" x14ac:dyDescent="0.25">
      <c r="A554" s="8"/>
      <c r="B554" s="10"/>
      <c r="C554" s="8"/>
      <c r="D554" s="8"/>
    </row>
    <row r="555" spans="1:4" ht="14.25" customHeight="1" x14ac:dyDescent="0.25">
      <c r="A555" s="8"/>
      <c r="B555" s="10"/>
      <c r="C555" s="8"/>
      <c r="D555" s="8"/>
    </row>
    <row r="556" spans="1:4" ht="14.25" customHeight="1" x14ac:dyDescent="0.25">
      <c r="A556" s="8"/>
      <c r="B556" s="10"/>
      <c r="C556" s="8"/>
      <c r="D556" s="8"/>
    </row>
    <row r="557" spans="1:4" ht="14.25" customHeight="1" x14ac:dyDescent="0.25">
      <c r="A557" s="8"/>
      <c r="B557" s="10"/>
      <c r="C557" s="8"/>
      <c r="D557" s="8"/>
    </row>
    <row r="558" spans="1:4" ht="14.25" customHeight="1" x14ac:dyDescent="0.25">
      <c r="A558" s="8"/>
      <c r="B558" s="10"/>
      <c r="C558" s="8"/>
      <c r="D558" s="8"/>
    </row>
    <row r="559" spans="1:4" ht="14.25" customHeight="1" x14ac:dyDescent="0.25">
      <c r="A559" s="8"/>
      <c r="B559" s="10"/>
      <c r="C559" s="8"/>
      <c r="D559" s="8"/>
    </row>
    <row r="560" spans="1:4" ht="14.25" customHeight="1" x14ac:dyDescent="0.25">
      <c r="A560" s="8"/>
      <c r="B560" s="10"/>
      <c r="C560" s="8"/>
      <c r="D560" s="8"/>
    </row>
    <row r="561" spans="1:4" ht="14.25" customHeight="1" x14ac:dyDescent="0.25">
      <c r="A561" s="8"/>
      <c r="B561" s="10"/>
      <c r="C561" s="8"/>
      <c r="D561" s="8"/>
    </row>
    <row r="562" spans="1:4" ht="14.25" customHeight="1" x14ac:dyDescent="0.25">
      <c r="A562" s="8"/>
      <c r="B562" s="10"/>
      <c r="C562" s="8"/>
      <c r="D562" s="8"/>
    </row>
    <row r="563" spans="1:4" ht="14.25" customHeight="1" x14ac:dyDescent="0.25">
      <c r="A563" s="8"/>
      <c r="B563" s="10"/>
      <c r="C563" s="8"/>
      <c r="D563" s="8"/>
    </row>
    <row r="564" spans="1:4" ht="14.25" customHeight="1" x14ac:dyDescent="0.25">
      <c r="A564" s="8"/>
      <c r="B564" s="10"/>
      <c r="C564" s="8"/>
      <c r="D564" s="8"/>
    </row>
    <row r="565" spans="1:4" ht="14.25" customHeight="1" x14ac:dyDescent="0.25">
      <c r="A565" s="8"/>
      <c r="B565" s="10"/>
      <c r="C565" s="8"/>
      <c r="D565" s="8"/>
    </row>
    <row r="566" spans="1:4" ht="14.25" customHeight="1" x14ac:dyDescent="0.25">
      <c r="A566" s="8"/>
      <c r="B566" s="10"/>
      <c r="C566" s="8"/>
      <c r="D566" s="8"/>
    </row>
    <row r="567" spans="1:4" ht="14.25" customHeight="1" x14ac:dyDescent="0.25">
      <c r="A567" s="8"/>
      <c r="B567" s="10"/>
      <c r="C567" s="8"/>
      <c r="D567" s="8"/>
    </row>
    <row r="568" spans="1:4" ht="14.25" customHeight="1" x14ac:dyDescent="0.25">
      <c r="A568" s="8"/>
      <c r="B568" s="10"/>
      <c r="C568" s="8"/>
      <c r="D568" s="8"/>
    </row>
    <row r="569" spans="1:4" ht="14.25" customHeight="1" x14ac:dyDescent="0.25">
      <c r="A569" s="8"/>
      <c r="B569" s="10"/>
      <c r="C569" s="8"/>
      <c r="D569" s="8"/>
    </row>
    <row r="570" spans="1:4" ht="14.25" customHeight="1" x14ac:dyDescent="0.25">
      <c r="A570" s="8"/>
      <c r="B570" s="10"/>
      <c r="C570" s="8"/>
      <c r="D570" s="8"/>
    </row>
    <row r="571" spans="1:4" ht="14.25" customHeight="1" x14ac:dyDescent="0.25">
      <c r="A571" s="8"/>
      <c r="B571" s="10"/>
      <c r="C571" s="8"/>
      <c r="D571" s="8"/>
    </row>
    <row r="572" spans="1:4" ht="14.25" customHeight="1" x14ac:dyDescent="0.25">
      <c r="A572" s="8"/>
      <c r="B572" s="10"/>
      <c r="C572" s="8"/>
      <c r="D572" s="8"/>
    </row>
    <row r="573" spans="1:4" ht="14.25" customHeight="1" x14ac:dyDescent="0.25">
      <c r="A573" s="8"/>
      <c r="B573" s="10"/>
      <c r="C573" s="8"/>
      <c r="D573" s="8"/>
    </row>
    <row r="574" spans="1:4" ht="14.25" customHeight="1" x14ac:dyDescent="0.25">
      <c r="A574" s="8"/>
      <c r="B574" s="10"/>
      <c r="C574" s="8"/>
      <c r="D574" s="8"/>
    </row>
    <row r="575" spans="1:4" ht="14.25" customHeight="1" x14ac:dyDescent="0.25">
      <c r="A575" s="8"/>
      <c r="B575" s="10"/>
      <c r="C575" s="8"/>
      <c r="D575" s="8"/>
    </row>
    <row r="576" spans="1:4" ht="14.25" customHeight="1" x14ac:dyDescent="0.25">
      <c r="A576" s="8"/>
      <c r="B576" s="10"/>
      <c r="C576" s="8"/>
      <c r="D576" s="8"/>
    </row>
    <row r="577" spans="1:4" ht="14.25" customHeight="1" x14ac:dyDescent="0.25">
      <c r="A577" s="8"/>
      <c r="B577" s="10"/>
      <c r="C577" s="8"/>
      <c r="D577" s="8"/>
    </row>
    <row r="578" spans="1:4" ht="14.25" customHeight="1" x14ac:dyDescent="0.25">
      <c r="A578" s="8"/>
      <c r="B578" s="10"/>
      <c r="C578" s="8"/>
      <c r="D578" s="8"/>
    </row>
    <row r="579" spans="1:4" ht="14.25" customHeight="1" x14ac:dyDescent="0.25">
      <c r="A579" s="8"/>
      <c r="B579" s="10"/>
      <c r="C579" s="8"/>
      <c r="D579" s="8"/>
    </row>
    <row r="580" spans="1:4" ht="14.25" customHeight="1" x14ac:dyDescent="0.25">
      <c r="A580" s="8"/>
      <c r="B580" s="10"/>
      <c r="C580" s="8"/>
      <c r="D580" s="8"/>
    </row>
    <row r="581" spans="1:4" ht="14.25" customHeight="1" x14ac:dyDescent="0.25">
      <c r="A581" s="8"/>
      <c r="B581" s="10"/>
      <c r="C581" s="8"/>
      <c r="D581" s="8"/>
    </row>
    <row r="582" spans="1:4" ht="14.25" customHeight="1" x14ac:dyDescent="0.25">
      <c r="A582" s="8"/>
      <c r="B582" s="10"/>
      <c r="C582" s="8"/>
      <c r="D582" s="8"/>
    </row>
    <row r="583" spans="1:4" ht="14.25" customHeight="1" x14ac:dyDescent="0.25">
      <c r="A583" s="8"/>
      <c r="B583" s="10"/>
      <c r="C583" s="8"/>
      <c r="D583" s="8"/>
    </row>
    <row r="584" spans="1:4" ht="14.25" customHeight="1" x14ac:dyDescent="0.25">
      <c r="A584" s="8"/>
      <c r="B584" s="10"/>
      <c r="C584" s="8"/>
      <c r="D584" s="8"/>
    </row>
    <row r="585" spans="1:4" ht="14.25" customHeight="1" x14ac:dyDescent="0.25">
      <c r="A585" s="8"/>
      <c r="B585" s="10"/>
      <c r="C585" s="8"/>
      <c r="D585" s="8"/>
    </row>
    <row r="586" spans="1:4" ht="14.25" customHeight="1" x14ac:dyDescent="0.25">
      <c r="A586" s="8"/>
      <c r="B586" s="10"/>
      <c r="C586" s="8"/>
      <c r="D586" s="8"/>
    </row>
    <row r="587" spans="1:4" ht="14.25" customHeight="1" x14ac:dyDescent="0.25">
      <c r="A587" s="8"/>
      <c r="B587" s="10"/>
      <c r="C587" s="8"/>
      <c r="D587" s="8"/>
    </row>
    <row r="588" spans="1:4" ht="14.25" customHeight="1" x14ac:dyDescent="0.25">
      <c r="A588" s="8"/>
      <c r="B588" s="10"/>
      <c r="C588" s="8"/>
      <c r="D588" s="8"/>
    </row>
    <row r="589" spans="1:4" ht="14.25" customHeight="1" x14ac:dyDescent="0.25">
      <c r="A589" s="8"/>
      <c r="B589" s="10"/>
      <c r="C589" s="8"/>
      <c r="D589" s="8"/>
    </row>
    <row r="590" spans="1:4" ht="14.25" customHeight="1" x14ac:dyDescent="0.25">
      <c r="A590" s="8"/>
      <c r="B590" s="10"/>
      <c r="C590" s="8"/>
      <c r="D590" s="8"/>
    </row>
    <row r="591" spans="1:4" ht="14.25" customHeight="1" x14ac:dyDescent="0.25">
      <c r="A591" s="8"/>
      <c r="B591" s="10"/>
      <c r="C591" s="8"/>
      <c r="D591" s="8"/>
    </row>
    <row r="592" spans="1:4" ht="14.25" customHeight="1" x14ac:dyDescent="0.25">
      <c r="A592" s="8"/>
      <c r="B592" s="10"/>
      <c r="C592" s="8"/>
      <c r="D592" s="8"/>
    </row>
    <row r="593" spans="1:4" ht="14.25" customHeight="1" x14ac:dyDescent="0.25">
      <c r="A593" s="8"/>
      <c r="B593" s="10"/>
      <c r="C593" s="8"/>
      <c r="D593" s="8"/>
    </row>
    <row r="594" spans="1:4" ht="14.25" customHeight="1" x14ac:dyDescent="0.25">
      <c r="A594" s="8"/>
      <c r="B594" s="10"/>
      <c r="C594" s="8"/>
      <c r="D594" s="8"/>
    </row>
    <row r="595" spans="1:4" ht="14.25" customHeight="1" x14ac:dyDescent="0.25">
      <c r="A595" s="8"/>
      <c r="B595" s="10"/>
      <c r="C595" s="8"/>
      <c r="D595" s="8"/>
    </row>
    <row r="596" spans="1:4" ht="14.25" customHeight="1" x14ac:dyDescent="0.25">
      <c r="A596" s="8"/>
      <c r="B596" s="10"/>
      <c r="C596" s="8"/>
      <c r="D596" s="8"/>
    </row>
    <row r="597" spans="1:4" ht="14.25" customHeight="1" x14ac:dyDescent="0.25">
      <c r="A597" s="8"/>
      <c r="B597" s="10"/>
      <c r="C597" s="8"/>
      <c r="D597" s="8"/>
    </row>
    <row r="598" spans="1:4" ht="14.25" customHeight="1" x14ac:dyDescent="0.25">
      <c r="A598" s="8"/>
      <c r="B598" s="10"/>
      <c r="C598" s="8"/>
      <c r="D598" s="8"/>
    </row>
    <row r="599" spans="1:4" ht="14.25" customHeight="1" x14ac:dyDescent="0.25">
      <c r="A599" s="8"/>
      <c r="B599" s="10"/>
      <c r="C599" s="8"/>
      <c r="D599" s="8"/>
    </row>
    <row r="600" spans="1:4" ht="14.25" customHeight="1" x14ac:dyDescent="0.25">
      <c r="A600" s="8"/>
      <c r="B600" s="10"/>
      <c r="C600" s="8"/>
      <c r="D600" s="8"/>
    </row>
    <row r="601" spans="1:4" ht="14.25" customHeight="1" x14ac:dyDescent="0.25">
      <c r="A601" s="8"/>
      <c r="B601" s="10"/>
      <c r="C601" s="8"/>
      <c r="D601" s="8"/>
    </row>
    <row r="602" spans="1:4" ht="14.25" customHeight="1" x14ac:dyDescent="0.25">
      <c r="A602" s="8"/>
      <c r="B602" s="10"/>
      <c r="C602" s="8"/>
      <c r="D602" s="8"/>
    </row>
    <row r="603" spans="1:4" ht="14.25" customHeight="1" x14ac:dyDescent="0.25">
      <c r="A603" s="8"/>
      <c r="B603" s="10"/>
      <c r="C603" s="8"/>
      <c r="D603" s="8"/>
    </row>
    <row r="604" spans="1:4" ht="14.25" customHeight="1" x14ac:dyDescent="0.25">
      <c r="A604" s="8"/>
      <c r="B604" s="10"/>
      <c r="C604" s="8"/>
      <c r="D604" s="8"/>
    </row>
    <row r="605" spans="1:4" ht="14.25" customHeight="1" x14ac:dyDescent="0.25">
      <c r="A605" s="8"/>
      <c r="B605" s="10"/>
      <c r="C605" s="8"/>
      <c r="D605" s="8"/>
    </row>
    <row r="606" spans="1:4" ht="14.25" customHeight="1" x14ac:dyDescent="0.25">
      <c r="A606" s="8"/>
      <c r="B606" s="10"/>
      <c r="C606" s="8"/>
      <c r="D606" s="8"/>
    </row>
    <row r="607" spans="1:4" ht="14.25" customHeight="1" x14ac:dyDescent="0.25">
      <c r="A607" s="8"/>
      <c r="B607" s="10"/>
      <c r="C607" s="8"/>
      <c r="D607" s="8"/>
    </row>
    <row r="608" spans="1:4" ht="14.25" customHeight="1" x14ac:dyDescent="0.25">
      <c r="A608" s="8"/>
      <c r="B608" s="10"/>
      <c r="C608" s="8"/>
      <c r="D608" s="8"/>
    </row>
    <row r="609" spans="1:4" ht="14.25" customHeight="1" x14ac:dyDescent="0.25">
      <c r="A609" s="8"/>
      <c r="B609" s="10"/>
      <c r="C609" s="8"/>
      <c r="D609" s="8"/>
    </row>
    <row r="610" spans="1:4" ht="14.25" customHeight="1" x14ac:dyDescent="0.25">
      <c r="A610" s="8"/>
      <c r="B610" s="10"/>
      <c r="C610" s="8"/>
      <c r="D610" s="8"/>
    </row>
    <row r="611" spans="1:4" ht="14.25" customHeight="1" x14ac:dyDescent="0.25">
      <c r="A611" s="8"/>
      <c r="B611" s="10"/>
      <c r="C611" s="8"/>
      <c r="D611" s="8"/>
    </row>
    <row r="612" spans="1:4" ht="14.25" customHeight="1" x14ac:dyDescent="0.25">
      <c r="A612" s="8"/>
      <c r="B612" s="10"/>
      <c r="C612" s="8"/>
      <c r="D612" s="8"/>
    </row>
    <row r="613" spans="1:4" ht="14.25" customHeight="1" x14ac:dyDescent="0.25">
      <c r="A613" s="8"/>
      <c r="B613" s="10"/>
      <c r="C613" s="8"/>
      <c r="D613" s="8"/>
    </row>
    <row r="614" spans="1:4" ht="14.25" customHeight="1" x14ac:dyDescent="0.25">
      <c r="A614" s="8"/>
      <c r="B614" s="10"/>
      <c r="C614" s="8"/>
      <c r="D614" s="8"/>
    </row>
    <row r="615" spans="1:4" ht="14.25" customHeight="1" x14ac:dyDescent="0.25">
      <c r="A615" s="8"/>
      <c r="B615" s="10"/>
      <c r="C615" s="8"/>
      <c r="D615" s="8"/>
    </row>
    <row r="616" spans="1:4" ht="14.25" customHeight="1" x14ac:dyDescent="0.25">
      <c r="A616" s="8"/>
      <c r="B616" s="10"/>
      <c r="C616" s="8"/>
      <c r="D616" s="8"/>
    </row>
    <row r="617" spans="1:4" ht="14.25" customHeight="1" x14ac:dyDescent="0.25">
      <c r="A617" s="8"/>
      <c r="B617" s="10"/>
      <c r="C617" s="8"/>
      <c r="D617" s="8"/>
    </row>
    <row r="618" spans="1:4" ht="14.25" customHeight="1" x14ac:dyDescent="0.25">
      <c r="A618" s="8"/>
      <c r="B618" s="10"/>
      <c r="C618" s="8"/>
      <c r="D618" s="8"/>
    </row>
    <row r="619" spans="1:4" ht="14.25" customHeight="1" x14ac:dyDescent="0.25">
      <c r="A619" s="8"/>
      <c r="B619" s="10"/>
      <c r="C619" s="8"/>
      <c r="D619" s="8"/>
    </row>
    <row r="620" spans="1:4" ht="14.25" customHeight="1" x14ac:dyDescent="0.25">
      <c r="A620" s="8"/>
      <c r="B620" s="10"/>
      <c r="C620" s="8"/>
      <c r="D620" s="8"/>
    </row>
    <row r="621" spans="1:4" ht="14.25" customHeight="1" x14ac:dyDescent="0.25">
      <c r="A621" s="8"/>
      <c r="B621" s="10"/>
      <c r="C621" s="8"/>
      <c r="D621" s="8"/>
    </row>
    <row r="622" spans="1:4" ht="14.25" customHeight="1" x14ac:dyDescent="0.25">
      <c r="A622" s="8"/>
      <c r="B622" s="10"/>
      <c r="C622" s="8"/>
      <c r="D622" s="8"/>
    </row>
    <row r="623" spans="1:4" ht="14.25" customHeight="1" x14ac:dyDescent="0.25">
      <c r="A623" s="8"/>
      <c r="B623" s="10"/>
      <c r="C623" s="8"/>
      <c r="D623" s="8"/>
    </row>
    <row r="624" spans="1:4" ht="14.25" customHeight="1" x14ac:dyDescent="0.25">
      <c r="A624" s="8"/>
      <c r="B624" s="10"/>
      <c r="C624" s="8"/>
      <c r="D624" s="8"/>
    </row>
    <row r="625" spans="1:4" ht="14.25" customHeight="1" x14ac:dyDescent="0.25">
      <c r="A625" s="8"/>
      <c r="B625" s="10"/>
      <c r="C625" s="8"/>
      <c r="D625" s="8"/>
    </row>
    <row r="626" spans="1:4" ht="14.25" customHeight="1" x14ac:dyDescent="0.25">
      <c r="A626" s="8"/>
      <c r="B626" s="10"/>
      <c r="C626" s="8"/>
      <c r="D626" s="8"/>
    </row>
    <row r="627" spans="1:4" ht="14.25" customHeight="1" x14ac:dyDescent="0.25">
      <c r="A627" s="8"/>
      <c r="B627" s="10"/>
      <c r="C627" s="8"/>
      <c r="D627" s="8"/>
    </row>
    <row r="628" spans="1:4" ht="14.25" customHeight="1" x14ac:dyDescent="0.25">
      <c r="A628" s="8"/>
      <c r="B628" s="10"/>
      <c r="C628" s="8"/>
      <c r="D628" s="8"/>
    </row>
    <row r="629" spans="1:4" ht="14.25" customHeight="1" x14ac:dyDescent="0.25">
      <c r="A629" s="8"/>
      <c r="B629" s="10"/>
      <c r="C629" s="8"/>
      <c r="D629" s="8"/>
    </row>
    <row r="630" spans="1:4" ht="14.25" customHeight="1" x14ac:dyDescent="0.25">
      <c r="A630" s="8"/>
      <c r="B630" s="10"/>
      <c r="C630" s="8"/>
      <c r="D630" s="8"/>
    </row>
    <row r="631" spans="1:4" ht="14.25" customHeight="1" x14ac:dyDescent="0.25">
      <c r="A631" s="8"/>
      <c r="B631" s="10"/>
      <c r="C631" s="8"/>
      <c r="D631" s="8"/>
    </row>
    <row r="632" spans="1:4" ht="14.25" customHeight="1" x14ac:dyDescent="0.25">
      <c r="A632" s="8"/>
      <c r="B632" s="10"/>
      <c r="C632" s="8"/>
      <c r="D632" s="8"/>
    </row>
    <row r="633" spans="1:4" ht="14.25" customHeight="1" x14ac:dyDescent="0.25">
      <c r="A633" s="8"/>
      <c r="B633" s="10"/>
      <c r="C633" s="8"/>
      <c r="D633" s="8"/>
    </row>
    <row r="634" spans="1:4" ht="14.25" customHeight="1" x14ac:dyDescent="0.25">
      <c r="A634" s="8"/>
      <c r="B634" s="10"/>
      <c r="C634" s="8"/>
      <c r="D634" s="8"/>
    </row>
    <row r="635" spans="1:4" ht="14.25" customHeight="1" x14ac:dyDescent="0.25">
      <c r="A635" s="8"/>
      <c r="B635" s="10"/>
      <c r="C635" s="8"/>
      <c r="D635" s="8"/>
    </row>
    <row r="636" spans="1:4" ht="14.25" customHeight="1" x14ac:dyDescent="0.25">
      <c r="A636" s="8"/>
      <c r="B636" s="10"/>
      <c r="C636" s="8"/>
      <c r="D636" s="8"/>
    </row>
    <row r="637" spans="1:4" ht="14.25" customHeight="1" x14ac:dyDescent="0.25">
      <c r="A637" s="8"/>
      <c r="B637" s="10"/>
      <c r="C637" s="8"/>
      <c r="D637" s="8"/>
    </row>
    <row r="638" spans="1:4" ht="14.25" customHeight="1" x14ac:dyDescent="0.25">
      <c r="A638" s="8"/>
      <c r="B638" s="10"/>
      <c r="C638" s="8"/>
      <c r="D638" s="8"/>
    </row>
    <row r="639" spans="1:4" ht="14.25" customHeight="1" x14ac:dyDescent="0.25">
      <c r="A639" s="8"/>
      <c r="B639" s="10"/>
      <c r="C639" s="8"/>
      <c r="D639" s="8"/>
    </row>
    <row r="640" spans="1:4" ht="14.25" customHeight="1" x14ac:dyDescent="0.25">
      <c r="A640" s="8"/>
      <c r="B640" s="10"/>
      <c r="C640" s="8"/>
      <c r="D640" s="8"/>
    </row>
    <row r="641" spans="1:4" ht="14.25" customHeight="1" x14ac:dyDescent="0.25">
      <c r="A641" s="8"/>
      <c r="B641" s="10"/>
      <c r="C641" s="8"/>
      <c r="D641" s="8"/>
    </row>
    <row r="642" spans="1:4" ht="14.25" customHeight="1" x14ac:dyDescent="0.25">
      <c r="A642" s="8"/>
      <c r="B642" s="10"/>
      <c r="C642" s="8"/>
      <c r="D642" s="8"/>
    </row>
    <row r="643" spans="1:4" ht="14.25" customHeight="1" x14ac:dyDescent="0.25">
      <c r="A643" s="8"/>
      <c r="B643" s="10"/>
      <c r="C643" s="8"/>
      <c r="D643" s="8"/>
    </row>
    <row r="644" spans="1:4" ht="14.25" customHeight="1" x14ac:dyDescent="0.25">
      <c r="A644" s="8"/>
      <c r="B644" s="10"/>
      <c r="C644" s="8"/>
      <c r="D644" s="8"/>
    </row>
    <row r="645" spans="1:4" ht="14.25" customHeight="1" x14ac:dyDescent="0.25">
      <c r="A645" s="8"/>
      <c r="B645" s="10"/>
      <c r="C645" s="8"/>
      <c r="D645" s="8"/>
    </row>
    <row r="646" spans="1:4" ht="14.25" customHeight="1" x14ac:dyDescent="0.25">
      <c r="A646" s="8"/>
      <c r="B646" s="10"/>
      <c r="C646" s="8"/>
      <c r="D646" s="8"/>
    </row>
    <row r="647" spans="1:4" ht="14.25" customHeight="1" x14ac:dyDescent="0.25">
      <c r="A647" s="8"/>
      <c r="B647" s="10"/>
      <c r="C647" s="8"/>
      <c r="D647" s="8"/>
    </row>
    <row r="648" spans="1:4" ht="14.25" customHeight="1" x14ac:dyDescent="0.25">
      <c r="A648" s="8"/>
      <c r="B648" s="10"/>
      <c r="C648" s="8"/>
      <c r="D648" s="8"/>
    </row>
    <row r="649" spans="1:4" ht="14.25" customHeight="1" x14ac:dyDescent="0.25">
      <c r="A649" s="8"/>
      <c r="B649" s="10"/>
      <c r="C649" s="8"/>
      <c r="D649" s="8"/>
    </row>
    <row r="650" spans="1:4" ht="14.25" customHeight="1" x14ac:dyDescent="0.25">
      <c r="A650" s="8"/>
      <c r="B650" s="10"/>
      <c r="C650" s="8"/>
      <c r="D650" s="8"/>
    </row>
    <row r="651" spans="1:4" ht="14.25" customHeight="1" x14ac:dyDescent="0.25">
      <c r="A651" s="8"/>
      <c r="B651" s="10"/>
      <c r="C651" s="8"/>
      <c r="D651" s="8"/>
    </row>
    <row r="652" spans="1:4" ht="14.25" customHeight="1" x14ac:dyDescent="0.25">
      <c r="A652" s="8"/>
      <c r="B652" s="10"/>
      <c r="C652" s="8"/>
      <c r="D652" s="8"/>
    </row>
    <row r="653" spans="1:4" ht="14.25" customHeight="1" x14ac:dyDescent="0.25">
      <c r="A653" s="8"/>
      <c r="B653" s="10"/>
      <c r="C653" s="8"/>
      <c r="D653" s="8"/>
    </row>
    <row r="654" spans="1:4" ht="14.25" customHeight="1" x14ac:dyDescent="0.25">
      <c r="A654" s="8"/>
      <c r="B654" s="10"/>
      <c r="C654" s="8"/>
      <c r="D654" s="8"/>
    </row>
    <row r="655" spans="1:4" ht="14.25" customHeight="1" x14ac:dyDescent="0.25">
      <c r="A655" s="8"/>
      <c r="B655" s="10"/>
      <c r="C655" s="8"/>
      <c r="D655" s="8"/>
    </row>
    <row r="656" spans="1:4" ht="14.25" customHeight="1" x14ac:dyDescent="0.25">
      <c r="A656" s="8"/>
      <c r="B656" s="10"/>
      <c r="C656" s="8"/>
      <c r="D656" s="8"/>
    </row>
    <row r="657" spans="1:4" ht="14.25" customHeight="1" x14ac:dyDescent="0.25">
      <c r="A657" s="8"/>
      <c r="B657" s="10"/>
      <c r="C657" s="8"/>
      <c r="D657" s="8"/>
    </row>
    <row r="658" spans="1:4" ht="14.25" customHeight="1" x14ac:dyDescent="0.25">
      <c r="A658" s="8"/>
      <c r="B658" s="10"/>
      <c r="C658" s="8"/>
      <c r="D658" s="8"/>
    </row>
    <row r="659" spans="1:4" ht="14.25" customHeight="1" x14ac:dyDescent="0.25">
      <c r="A659" s="8"/>
      <c r="B659" s="10"/>
      <c r="C659" s="8"/>
      <c r="D659" s="8"/>
    </row>
    <row r="660" spans="1:4" ht="14.25" customHeight="1" x14ac:dyDescent="0.25">
      <c r="A660" s="8"/>
      <c r="B660" s="10"/>
      <c r="C660" s="8"/>
      <c r="D660" s="8"/>
    </row>
    <row r="661" spans="1:4" ht="14.25" customHeight="1" x14ac:dyDescent="0.25">
      <c r="A661" s="8"/>
      <c r="B661" s="10"/>
      <c r="C661" s="8"/>
      <c r="D661" s="8"/>
    </row>
    <row r="662" spans="1:4" ht="14.25" customHeight="1" x14ac:dyDescent="0.25">
      <c r="A662" s="8"/>
      <c r="B662" s="10"/>
      <c r="C662" s="8"/>
      <c r="D662" s="8"/>
    </row>
    <row r="663" spans="1:4" ht="14.25" customHeight="1" x14ac:dyDescent="0.25">
      <c r="A663" s="8"/>
      <c r="B663" s="10"/>
      <c r="C663" s="8"/>
      <c r="D663" s="8"/>
    </row>
    <row r="664" spans="1:4" ht="14.25" customHeight="1" x14ac:dyDescent="0.25">
      <c r="A664" s="8"/>
      <c r="B664" s="10"/>
      <c r="C664" s="8"/>
      <c r="D664" s="8"/>
    </row>
    <row r="665" spans="1:4" ht="14.25" customHeight="1" x14ac:dyDescent="0.25">
      <c r="A665" s="8"/>
      <c r="B665" s="10"/>
      <c r="C665" s="8"/>
      <c r="D665" s="8"/>
    </row>
    <row r="666" spans="1:4" ht="14.25" customHeight="1" x14ac:dyDescent="0.25">
      <c r="A666" s="8"/>
      <c r="B666" s="10"/>
      <c r="C666" s="8"/>
      <c r="D666" s="8"/>
    </row>
    <row r="667" spans="1:4" ht="14.25" customHeight="1" x14ac:dyDescent="0.25">
      <c r="A667" s="8"/>
      <c r="B667" s="10"/>
      <c r="C667" s="8"/>
      <c r="D667" s="8"/>
    </row>
    <row r="668" spans="1:4" ht="14.25" customHeight="1" x14ac:dyDescent="0.25">
      <c r="A668" s="8"/>
      <c r="B668" s="10"/>
      <c r="C668" s="8"/>
      <c r="D668" s="8"/>
    </row>
    <row r="669" spans="1:4" ht="14.25" customHeight="1" x14ac:dyDescent="0.25">
      <c r="A669" s="8"/>
      <c r="B669" s="10"/>
      <c r="C669" s="8"/>
      <c r="D669" s="8"/>
    </row>
    <row r="670" spans="1:4" ht="14.25" customHeight="1" x14ac:dyDescent="0.25">
      <c r="A670" s="8"/>
      <c r="B670" s="10"/>
      <c r="C670" s="8"/>
      <c r="D670" s="8"/>
    </row>
    <row r="671" spans="1:4" ht="14.25" customHeight="1" x14ac:dyDescent="0.25">
      <c r="A671" s="8"/>
      <c r="B671" s="10"/>
      <c r="C671" s="8"/>
      <c r="D671" s="8"/>
    </row>
    <row r="672" spans="1:4" ht="14.25" customHeight="1" x14ac:dyDescent="0.25">
      <c r="A672" s="8"/>
      <c r="B672" s="10"/>
      <c r="C672" s="8"/>
      <c r="D672" s="8"/>
    </row>
    <row r="673" spans="1:4" ht="14.25" customHeight="1" x14ac:dyDescent="0.25">
      <c r="A673" s="8"/>
      <c r="B673" s="10"/>
      <c r="C673" s="8"/>
      <c r="D673" s="8"/>
    </row>
    <row r="674" spans="1:4" ht="14.25" customHeight="1" x14ac:dyDescent="0.25">
      <c r="A674" s="8"/>
      <c r="B674" s="10"/>
      <c r="C674" s="8"/>
      <c r="D674" s="8"/>
    </row>
    <row r="675" spans="1:4" ht="14.25" customHeight="1" x14ac:dyDescent="0.25">
      <c r="A675" s="8"/>
      <c r="B675" s="10"/>
      <c r="C675" s="8"/>
      <c r="D675" s="8"/>
    </row>
    <row r="676" spans="1:4" ht="14.25" customHeight="1" x14ac:dyDescent="0.25">
      <c r="A676" s="8"/>
      <c r="B676" s="10"/>
      <c r="C676" s="8"/>
      <c r="D676" s="8"/>
    </row>
    <row r="677" spans="1:4" ht="14.25" customHeight="1" x14ac:dyDescent="0.25">
      <c r="A677" s="8"/>
      <c r="B677" s="10"/>
      <c r="C677" s="8"/>
      <c r="D677" s="8"/>
    </row>
    <row r="678" spans="1:4" ht="14.25" customHeight="1" x14ac:dyDescent="0.25">
      <c r="A678" s="8"/>
      <c r="B678" s="10"/>
      <c r="C678" s="8"/>
      <c r="D678" s="8"/>
    </row>
    <row r="679" spans="1:4" ht="14.25" customHeight="1" x14ac:dyDescent="0.25">
      <c r="A679" s="8"/>
      <c r="B679" s="10"/>
      <c r="C679" s="8"/>
      <c r="D679" s="8"/>
    </row>
    <row r="680" spans="1:4" ht="14.25" customHeight="1" x14ac:dyDescent="0.25">
      <c r="A680" s="8"/>
      <c r="B680" s="10"/>
      <c r="C680" s="8"/>
      <c r="D680" s="8"/>
    </row>
    <row r="681" spans="1:4" ht="14.25" customHeight="1" x14ac:dyDescent="0.25">
      <c r="A681" s="8"/>
      <c r="B681" s="10"/>
      <c r="C681" s="8"/>
      <c r="D681" s="8"/>
    </row>
    <row r="682" spans="1:4" ht="14.25" customHeight="1" x14ac:dyDescent="0.25">
      <c r="A682" s="8"/>
      <c r="B682" s="10"/>
      <c r="C682" s="8"/>
      <c r="D682" s="8"/>
    </row>
    <row r="683" spans="1:4" ht="14.25" customHeight="1" x14ac:dyDescent="0.25">
      <c r="A683" s="8"/>
      <c r="B683" s="10"/>
      <c r="C683" s="8"/>
      <c r="D683" s="8"/>
    </row>
    <row r="684" spans="1:4" ht="14.25" customHeight="1" x14ac:dyDescent="0.25">
      <c r="A684" s="8"/>
      <c r="B684" s="10"/>
      <c r="C684" s="8"/>
      <c r="D684" s="8"/>
    </row>
    <row r="685" spans="1:4" ht="14.25" customHeight="1" x14ac:dyDescent="0.25">
      <c r="A685" s="8"/>
      <c r="B685" s="10"/>
      <c r="C685" s="8"/>
      <c r="D685" s="8"/>
    </row>
    <row r="686" spans="1:4" ht="14.25" customHeight="1" x14ac:dyDescent="0.25">
      <c r="A686" s="8"/>
      <c r="B686" s="10"/>
      <c r="C686" s="8"/>
      <c r="D686" s="8"/>
    </row>
    <row r="687" spans="1:4" ht="14.25" customHeight="1" x14ac:dyDescent="0.25">
      <c r="A687" s="8"/>
      <c r="B687" s="10"/>
      <c r="C687" s="8"/>
      <c r="D687" s="8"/>
    </row>
    <row r="688" spans="1:4" ht="14.25" customHeight="1" x14ac:dyDescent="0.25">
      <c r="A688" s="8"/>
      <c r="B688" s="10"/>
      <c r="C688" s="8"/>
      <c r="D688" s="8"/>
    </row>
    <row r="689" spans="1:4" ht="14.25" customHeight="1" x14ac:dyDescent="0.25">
      <c r="A689" s="8"/>
      <c r="B689" s="10"/>
      <c r="C689" s="8"/>
      <c r="D689" s="8"/>
    </row>
    <row r="690" spans="1:4" ht="14.25" customHeight="1" x14ac:dyDescent="0.25">
      <c r="A690" s="8"/>
      <c r="B690" s="10"/>
      <c r="C690" s="8"/>
      <c r="D690" s="8"/>
    </row>
    <row r="691" spans="1:4" ht="14.25" customHeight="1" x14ac:dyDescent="0.25">
      <c r="A691" s="8"/>
      <c r="B691" s="10"/>
      <c r="C691" s="8"/>
      <c r="D691" s="8"/>
    </row>
    <row r="692" spans="1:4" ht="14.25" customHeight="1" x14ac:dyDescent="0.25">
      <c r="A692" s="8"/>
      <c r="B692" s="10"/>
      <c r="C692" s="8"/>
      <c r="D692" s="8"/>
    </row>
    <row r="693" spans="1:4" ht="14.25" customHeight="1" x14ac:dyDescent="0.25">
      <c r="A693" s="8"/>
      <c r="B693" s="10"/>
      <c r="C693" s="8"/>
      <c r="D693" s="8"/>
    </row>
    <row r="694" spans="1:4" ht="14.25" customHeight="1" x14ac:dyDescent="0.25">
      <c r="A694" s="8"/>
      <c r="B694" s="10"/>
      <c r="C694" s="8"/>
      <c r="D694" s="8"/>
    </row>
    <row r="695" spans="1:4" ht="14.25" customHeight="1" x14ac:dyDescent="0.25">
      <c r="A695" s="8"/>
      <c r="B695" s="10"/>
      <c r="C695" s="8"/>
      <c r="D695" s="8"/>
    </row>
    <row r="696" spans="1:4" ht="14.25" customHeight="1" x14ac:dyDescent="0.25">
      <c r="A696" s="8"/>
      <c r="B696" s="10"/>
      <c r="C696" s="8"/>
      <c r="D696" s="8"/>
    </row>
    <row r="697" spans="1:4" ht="14.25" customHeight="1" x14ac:dyDescent="0.25">
      <c r="A697" s="8"/>
      <c r="B697" s="10"/>
      <c r="C697" s="8"/>
      <c r="D697" s="8"/>
    </row>
    <row r="698" spans="1:4" ht="14.25" customHeight="1" x14ac:dyDescent="0.25">
      <c r="A698" s="8"/>
      <c r="B698" s="10"/>
      <c r="C698" s="8"/>
      <c r="D698" s="8"/>
    </row>
    <row r="699" spans="1:4" ht="14.25" customHeight="1" x14ac:dyDescent="0.25">
      <c r="A699" s="8"/>
      <c r="B699" s="10"/>
      <c r="C699" s="8"/>
      <c r="D699" s="8"/>
    </row>
    <row r="700" spans="1:4" ht="14.25" customHeight="1" x14ac:dyDescent="0.25">
      <c r="A700" s="8"/>
      <c r="B700" s="10"/>
      <c r="C700" s="8"/>
      <c r="D700" s="8"/>
    </row>
    <row r="701" spans="1:4" ht="14.25" customHeight="1" x14ac:dyDescent="0.25">
      <c r="A701" s="8"/>
      <c r="B701" s="10"/>
      <c r="C701" s="8"/>
      <c r="D701" s="8"/>
    </row>
    <row r="702" spans="1:4" ht="14.25" customHeight="1" x14ac:dyDescent="0.25">
      <c r="A702" s="8"/>
      <c r="B702" s="10"/>
      <c r="C702" s="8"/>
      <c r="D702" s="8"/>
    </row>
    <row r="703" spans="1:4" ht="14.25" customHeight="1" x14ac:dyDescent="0.25">
      <c r="A703" s="8"/>
      <c r="B703" s="10"/>
      <c r="C703" s="8"/>
      <c r="D703" s="8"/>
    </row>
    <row r="704" spans="1:4" ht="14.25" customHeight="1" x14ac:dyDescent="0.25">
      <c r="A704" s="8"/>
      <c r="B704" s="10"/>
      <c r="C704" s="8"/>
      <c r="D704" s="8"/>
    </row>
    <row r="705" spans="1:4" ht="14.25" customHeight="1" x14ac:dyDescent="0.25">
      <c r="A705" s="8"/>
      <c r="B705" s="10"/>
      <c r="C705" s="8"/>
      <c r="D705" s="8"/>
    </row>
    <row r="706" spans="1:4" ht="14.25" customHeight="1" x14ac:dyDescent="0.25">
      <c r="A706" s="8"/>
      <c r="B706" s="10"/>
      <c r="C706" s="8"/>
      <c r="D706" s="8"/>
    </row>
    <row r="707" spans="1:4" ht="14.25" customHeight="1" x14ac:dyDescent="0.25">
      <c r="A707" s="8"/>
      <c r="B707" s="10"/>
      <c r="C707" s="8"/>
      <c r="D707" s="8"/>
    </row>
    <row r="708" spans="1:4" ht="14.25" customHeight="1" x14ac:dyDescent="0.25">
      <c r="A708" s="8"/>
      <c r="B708" s="10"/>
      <c r="C708" s="8"/>
      <c r="D708" s="8"/>
    </row>
    <row r="709" spans="1:4" ht="14.25" customHeight="1" x14ac:dyDescent="0.25">
      <c r="A709" s="8"/>
      <c r="B709" s="10"/>
      <c r="C709" s="8"/>
      <c r="D709" s="8"/>
    </row>
    <row r="710" spans="1:4" ht="14.25" customHeight="1" x14ac:dyDescent="0.25">
      <c r="A710" s="8"/>
      <c r="B710" s="10"/>
      <c r="C710" s="8"/>
      <c r="D710" s="8"/>
    </row>
    <row r="711" spans="1:4" ht="14.25" customHeight="1" x14ac:dyDescent="0.25">
      <c r="A711" s="8"/>
      <c r="B711" s="10"/>
      <c r="C711" s="8"/>
      <c r="D711" s="8"/>
    </row>
    <row r="712" spans="1:4" ht="14.25" customHeight="1" x14ac:dyDescent="0.25">
      <c r="A712" s="8"/>
      <c r="B712" s="10"/>
      <c r="C712" s="8"/>
      <c r="D712" s="8"/>
    </row>
    <row r="713" spans="1:4" ht="14.25" customHeight="1" x14ac:dyDescent="0.25">
      <c r="A713" s="8"/>
      <c r="B713" s="10"/>
      <c r="C713" s="8"/>
      <c r="D713" s="8"/>
    </row>
    <row r="714" spans="1:4" ht="14.25" customHeight="1" x14ac:dyDescent="0.25">
      <c r="A714" s="8"/>
      <c r="B714" s="10"/>
      <c r="C714" s="8"/>
      <c r="D714" s="8"/>
    </row>
    <row r="715" spans="1:4" ht="14.25" customHeight="1" x14ac:dyDescent="0.25">
      <c r="A715" s="8"/>
      <c r="B715" s="10"/>
      <c r="C715" s="8"/>
      <c r="D715" s="8"/>
    </row>
    <row r="716" spans="1:4" ht="14.25" customHeight="1" x14ac:dyDescent="0.25">
      <c r="A716" s="8"/>
      <c r="B716" s="10"/>
      <c r="C716" s="8"/>
      <c r="D716" s="8"/>
    </row>
    <row r="717" spans="1:4" ht="14.25" customHeight="1" x14ac:dyDescent="0.25">
      <c r="A717" s="8"/>
      <c r="B717" s="10"/>
      <c r="C717" s="8"/>
      <c r="D717" s="8"/>
    </row>
    <row r="718" spans="1:4" ht="14.25" customHeight="1" x14ac:dyDescent="0.25">
      <c r="A718" s="8"/>
      <c r="B718" s="10"/>
      <c r="C718" s="8"/>
      <c r="D718" s="8"/>
    </row>
    <row r="719" spans="1:4" ht="14.25" customHeight="1" x14ac:dyDescent="0.25">
      <c r="A719" s="8"/>
      <c r="B719" s="10"/>
      <c r="C719" s="8"/>
      <c r="D719" s="8"/>
    </row>
    <row r="720" spans="1:4" ht="14.25" customHeight="1" x14ac:dyDescent="0.25">
      <c r="A720" s="8"/>
      <c r="B720" s="10"/>
      <c r="C720" s="8"/>
      <c r="D720" s="8"/>
    </row>
    <row r="721" spans="1:4" ht="14.25" customHeight="1" x14ac:dyDescent="0.25">
      <c r="A721" s="8"/>
      <c r="B721" s="10"/>
      <c r="C721" s="8"/>
      <c r="D721" s="8"/>
    </row>
    <row r="722" spans="1:4" ht="14.25" customHeight="1" x14ac:dyDescent="0.25">
      <c r="A722" s="8"/>
      <c r="B722" s="10"/>
      <c r="C722" s="8"/>
      <c r="D722" s="8"/>
    </row>
    <row r="723" spans="1:4" ht="14.25" customHeight="1" x14ac:dyDescent="0.25">
      <c r="A723" s="8"/>
      <c r="B723" s="10"/>
      <c r="C723" s="8"/>
      <c r="D723" s="8"/>
    </row>
    <row r="724" spans="1:4" ht="14.25" customHeight="1" x14ac:dyDescent="0.25">
      <c r="A724" s="8"/>
      <c r="B724" s="10"/>
      <c r="C724" s="8"/>
      <c r="D724" s="8"/>
    </row>
    <row r="725" spans="1:4" ht="14.25" customHeight="1" x14ac:dyDescent="0.25">
      <c r="A725" s="8"/>
      <c r="B725" s="10"/>
      <c r="C725" s="8"/>
      <c r="D725" s="8"/>
    </row>
    <row r="726" spans="1:4" ht="14.25" customHeight="1" x14ac:dyDescent="0.25">
      <c r="A726" s="8"/>
      <c r="B726" s="10"/>
      <c r="C726" s="8"/>
      <c r="D726" s="8"/>
    </row>
    <row r="727" spans="1:4" ht="14.25" customHeight="1" x14ac:dyDescent="0.25">
      <c r="A727" s="8"/>
      <c r="B727" s="10"/>
      <c r="C727" s="8"/>
      <c r="D727" s="8"/>
    </row>
    <row r="728" spans="1:4" ht="14.25" customHeight="1" x14ac:dyDescent="0.25">
      <c r="A728" s="8"/>
      <c r="B728" s="10"/>
      <c r="C728" s="8"/>
      <c r="D728" s="8"/>
    </row>
    <row r="729" spans="1:4" ht="14.25" customHeight="1" x14ac:dyDescent="0.25">
      <c r="A729" s="8"/>
      <c r="B729" s="10"/>
      <c r="C729" s="8"/>
      <c r="D729" s="8"/>
    </row>
    <row r="730" spans="1:4" ht="14.25" customHeight="1" x14ac:dyDescent="0.25">
      <c r="A730" s="8"/>
      <c r="B730" s="10"/>
      <c r="C730" s="8"/>
      <c r="D730" s="8"/>
    </row>
    <row r="731" spans="1:4" ht="14.25" customHeight="1" x14ac:dyDescent="0.25">
      <c r="A731" s="8"/>
      <c r="B731" s="10"/>
      <c r="C731" s="8"/>
      <c r="D731" s="8"/>
    </row>
    <row r="732" spans="1:4" ht="14.25" customHeight="1" x14ac:dyDescent="0.25">
      <c r="A732" s="8"/>
      <c r="B732" s="10"/>
      <c r="C732" s="8"/>
      <c r="D732" s="8"/>
    </row>
    <row r="733" spans="1:4" ht="14.25" customHeight="1" x14ac:dyDescent="0.25">
      <c r="A733" s="8"/>
      <c r="B733" s="10"/>
      <c r="C733" s="8"/>
      <c r="D733" s="8"/>
    </row>
    <row r="734" spans="1:4" ht="14.25" customHeight="1" x14ac:dyDescent="0.25">
      <c r="A734" s="8"/>
      <c r="B734" s="10"/>
      <c r="C734" s="8"/>
      <c r="D734" s="8"/>
    </row>
    <row r="735" spans="1:4" ht="14.25" customHeight="1" x14ac:dyDescent="0.25">
      <c r="A735" s="8"/>
      <c r="B735" s="10"/>
      <c r="C735" s="8"/>
      <c r="D735" s="8"/>
    </row>
    <row r="736" spans="1:4" ht="14.25" customHeight="1" x14ac:dyDescent="0.25">
      <c r="A736" s="8"/>
      <c r="B736" s="10"/>
      <c r="C736" s="8"/>
      <c r="D736" s="8"/>
    </row>
    <row r="737" spans="1:4" ht="14.25" customHeight="1" x14ac:dyDescent="0.25">
      <c r="A737" s="8"/>
      <c r="B737" s="10"/>
      <c r="C737" s="8"/>
      <c r="D737" s="8"/>
    </row>
    <row r="738" spans="1:4" ht="14.25" customHeight="1" x14ac:dyDescent="0.25">
      <c r="A738" s="8"/>
      <c r="B738" s="10"/>
      <c r="C738" s="8"/>
      <c r="D738" s="8"/>
    </row>
    <row r="739" spans="1:4" ht="14.25" customHeight="1" x14ac:dyDescent="0.25">
      <c r="A739" s="8"/>
      <c r="B739" s="10"/>
      <c r="C739" s="8"/>
      <c r="D739" s="8"/>
    </row>
    <row r="740" spans="1:4" ht="14.25" customHeight="1" x14ac:dyDescent="0.25">
      <c r="A740" s="8"/>
      <c r="B740" s="10"/>
      <c r="C740" s="8"/>
      <c r="D740" s="8"/>
    </row>
    <row r="741" spans="1:4" ht="14.25" customHeight="1" x14ac:dyDescent="0.25">
      <c r="A741" s="8"/>
      <c r="B741" s="10"/>
      <c r="C741" s="8"/>
      <c r="D741" s="8"/>
    </row>
    <row r="742" spans="1:4" ht="14.25" customHeight="1" x14ac:dyDescent="0.25">
      <c r="A742" s="8"/>
      <c r="B742" s="10"/>
      <c r="C742" s="8"/>
      <c r="D742" s="8"/>
    </row>
    <row r="743" spans="1:4" ht="14.25" customHeight="1" x14ac:dyDescent="0.25">
      <c r="A743" s="8"/>
      <c r="B743" s="10"/>
      <c r="C743" s="8"/>
      <c r="D743" s="8"/>
    </row>
    <row r="744" spans="1:4" ht="14.25" customHeight="1" x14ac:dyDescent="0.25">
      <c r="A744" s="8"/>
      <c r="B744" s="10"/>
      <c r="C744" s="8"/>
      <c r="D744" s="8"/>
    </row>
    <row r="745" spans="1:4" ht="14.25" customHeight="1" x14ac:dyDescent="0.25">
      <c r="A745" s="8"/>
      <c r="B745" s="10"/>
      <c r="C745" s="8"/>
      <c r="D745" s="8"/>
    </row>
    <row r="746" spans="1:4" ht="14.25" customHeight="1" x14ac:dyDescent="0.25">
      <c r="A746" s="8"/>
      <c r="B746" s="10"/>
      <c r="C746" s="8"/>
      <c r="D746" s="8"/>
    </row>
    <row r="747" spans="1:4" ht="14.25" customHeight="1" x14ac:dyDescent="0.25">
      <c r="A747" s="8"/>
      <c r="B747" s="10"/>
      <c r="C747" s="8"/>
      <c r="D747" s="8"/>
    </row>
    <row r="748" spans="1:4" ht="14.25" customHeight="1" x14ac:dyDescent="0.25">
      <c r="A748" s="8"/>
      <c r="B748" s="10"/>
      <c r="C748" s="8"/>
      <c r="D748" s="8"/>
    </row>
    <row r="749" spans="1:4" ht="14.25" customHeight="1" x14ac:dyDescent="0.25">
      <c r="A749" s="8"/>
      <c r="B749" s="10"/>
      <c r="C749" s="8"/>
      <c r="D749" s="8"/>
    </row>
    <row r="750" spans="1:4" ht="14.25" customHeight="1" x14ac:dyDescent="0.25">
      <c r="A750" s="8"/>
      <c r="B750" s="10"/>
      <c r="C750" s="8"/>
      <c r="D750" s="8"/>
    </row>
    <row r="751" spans="1:4" ht="14.25" customHeight="1" x14ac:dyDescent="0.25">
      <c r="A751" s="8"/>
      <c r="B751" s="10"/>
      <c r="C751" s="8"/>
      <c r="D751" s="8"/>
    </row>
    <row r="752" spans="1:4" ht="14.25" customHeight="1" x14ac:dyDescent="0.25">
      <c r="A752" s="8"/>
      <c r="B752" s="10"/>
      <c r="C752" s="8"/>
      <c r="D752" s="8"/>
    </row>
    <row r="753" spans="1:4" ht="14.25" customHeight="1" x14ac:dyDescent="0.25">
      <c r="A753" s="8"/>
      <c r="B753" s="10"/>
      <c r="C753" s="8"/>
      <c r="D753" s="8"/>
    </row>
    <row r="754" spans="1:4" ht="14.25" customHeight="1" x14ac:dyDescent="0.25">
      <c r="A754" s="8"/>
      <c r="B754" s="10"/>
      <c r="C754" s="8"/>
      <c r="D754" s="8"/>
    </row>
    <row r="755" spans="1:4" ht="14.25" customHeight="1" x14ac:dyDescent="0.25">
      <c r="A755" s="8"/>
      <c r="B755" s="10"/>
      <c r="C755" s="8"/>
      <c r="D755" s="8"/>
    </row>
    <row r="756" spans="1:4" ht="14.25" customHeight="1" x14ac:dyDescent="0.25">
      <c r="A756" s="8"/>
      <c r="B756" s="10"/>
      <c r="C756" s="8"/>
      <c r="D756" s="8"/>
    </row>
    <row r="757" spans="1:4" ht="14.25" customHeight="1" x14ac:dyDescent="0.25">
      <c r="A757" s="8"/>
      <c r="B757" s="10"/>
      <c r="C757" s="8"/>
      <c r="D757" s="8"/>
    </row>
    <row r="758" spans="1:4" ht="14.25" customHeight="1" x14ac:dyDescent="0.25">
      <c r="A758" s="8"/>
      <c r="B758" s="10"/>
      <c r="C758" s="8"/>
      <c r="D758" s="8"/>
    </row>
    <row r="759" spans="1:4" ht="14.25" customHeight="1" x14ac:dyDescent="0.25">
      <c r="A759" s="8"/>
      <c r="B759" s="10"/>
      <c r="C759" s="8"/>
      <c r="D759" s="8"/>
    </row>
    <row r="760" spans="1:4" ht="14.25" customHeight="1" x14ac:dyDescent="0.25">
      <c r="A760" s="8"/>
      <c r="B760" s="10"/>
      <c r="C760" s="8"/>
      <c r="D760" s="8"/>
    </row>
    <row r="761" spans="1:4" ht="14.25" customHeight="1" x14ac:dyDescent="0.25">
      <c r="A761" s="8"/>
      <c r="B761" s="10"/>
      <c r="C761" s="8"/>
      <c r="D761" s="8"/>
    </row>
    <row r="762" spans="1:4" ht="14.25" customHeight="1" x14ac:dyDescent="0.25">
      <c r="A762" s="8"/>
      <c r="B762" s="10"/>
      <c r="C762" s="8"/>
      <c r="D762" s="8"/>
    </row>
    <row r="763" spans="1:4" ht="14.25" customHeight="1" x14ac:dyDescent="0.25">
      <c r="A763" s="8"/>
      <c r="B763" s="10"/>
      <c r="C763" s="8"/>
      <c r="D763" s="8"/>
    </row>
    <row r="764" spans="1:4" ht="14.25" customHeight="1" x14ac:dyDescent="0.25">
      <c r="A764" s="8"/>
      <c r="B764" s="10"/>
      <c r="C764" s="8"/>
      <c r="D764" s="8"/>
    </row>
    <row r="765" spans="1:4" ht="14.25" customHeight="1" x14ac:dyDescent="0.25">
      <c r="A765" s="8"/>
      <c r="B765" s="10"/>
      <c r="C765" s="8"/>
      <c r="D765" s="8"/>
    </row>
    <row r="766" spans="1:4" ht="14.25" customHeight="1" x14ac:dyDescent="0.25">
      <c r="A766" s="8"/>
      <c r="B766" s="10"/>
      <c r="C766" s="8"/>
      <c r="D766" s="8"/>
    </row>
    <row r="767" spans="1:4" ht="14.25" customHeight="1" x14ac:dyDescent="0.25">
      <c r="A767" s="8"/>
      <c r="B767" s="10"/>
      <c r="C767" s="8"/>
      <c r="D767" s="8"/>
    </row>
    <row r="768" spans="1:4" ht="14.25" customHeight="1" x14ac:dyDescent="0.25">
      <c r="A768" s="8"/>
      <c r="B768" s="10"/>
      <c r="C768" s="8"/>
      <c r="D768" s="8"/>
    </row>
    <row r="769" spans="1:4" ht="14.25" customHeight="1" x14ac:dyDescent="0.25">
      <c r="A769" s="8"/>
      <c r="B769" s="10"/>
      <c r="C769" s="8"/>
      <c r="D769" s="8"/>
    </row>
    <row r="770" spans="1:4" ht="14.25" customHeight="1" x14ac:dyDescent="0.25">
      <c r="A770" s="8"/>
      <c r="B770" s="10"/>
      <c r="C770" s="8"/>
      <c r="D770" s="8"/>
    </row>
    <row r="771" spans="1:4" ht="14.25" customHeight="1" x14ac:dyDescent="0.25">
      <c r="A771" s="8"/>
      <c r="B771" s="10"/>
      <c r="C771" s="8"/>
      <c r="D771" s="8"/>
    </row>
    <row r="772" spans="1:4" ht="14.25" customHeight="1" x14ac:dyDescent="0.25">
      <c r="A772" s="8"/>
      <c r="B772" s="10"/>
      <c r="C772" s="8"/>
      <c r="D772" s="8"/>
    </row>
    <row r="773" spans="1:4" ht="14.25" customHeight="1" x14ac:dyDescent="0.25">
      <c r="A773" s="8"/>
      <c r="B773" s="10"/>
      <c r="C773" s="8"/>
      <c r="D773" s="8"/>
    </row>
    <row r="774" spans="1:4" ht="14.25" customHeight="1" x14ac:dyDescent="0.25">
      <c r="A774" s="8"/>
      <c r="B774" s="10"/>
      <c r="C774" s="8"/>
      <c r="D774" s="8"/>
    </row>
    <row r="775" spans="1:4" ht="14.25" customHeight="1" x14ac:dyDescent="0.25">
      <c r="A775" s="8"/>
      <c r="B775" s="10"/>
      <c r="C775" s="8"/>
      <c r="D775" s="8"/>
    </row>
    <row r="776" spans="1:4" ht="14.25" customHeight="1" x14ac:dyDescent="0.25">
      <c r="A776" s="8"/>
      <c r="B776" s="10"/>
      <c r="C776" s="8"/>
      <c r="D776" s="8"/>
    </row>
    <row r="777" spans="1:4" ht="14.25" customHeight="1" x14ac:dyDescent="0.25">
      <c r="A777" s="8"/>
      <c r="B777" s="10"/>
      <c r="C777" s="8"/>
      <c r="D777" s="8"/>
    </row>
    <row r="778" spans="1:4" ht="14.25" customHeight="1" x14ac:dyDescent="0.25">
      <c r="A778" s="8"/>
      <c r="B778" s="10"/>
      <c r="C778" s="8"/>
      <c r="D778" s="8"/>
    </row>
    <row r="779" spans="1:4" ht="14.25" customHeight="1" x14ac:dyDescent="0.25">
      <c r="A779" s="8"/>
      <c r="B779" s="10"/>
      <c r="C779" s="8"/>
      <c r="D779" s="8"/>
    </row>
    <row r="780" spans="1:4" ht="14.25" customHeight="1" x14ac:dyDescent="0.25">
      <c r="A780" s="8"/>
      <c r="B780" s="10"/>
      <c r="C780" s="8"/>
      <c r="D780" s="8"/>
    </row>
    <row r="781" spans="1:4" ht="14.25" customHeight="1" x14ac:dyDescent="0.25">
      <c r="A781" s="8"/>
      <c r="B781" s="10"/>
      <c r="C781" s="8"/>
      <c r="D781" s="8"/>
    </row>
    <row r="782" spans="1:4" ht="14.25" customHeight="1" x14ac:dyDescent="0.25">
      <c r="A782" s="8"/>
      <c r="B782" s="10"/>
      <c r="C782" s="8"/>
      <c r="D782" s="8"/>
    </row>
    <row r="783" spans="1:4" ht="14.25" customHeight="1" x14ac:dyDescent="0.25">
      <c r="A783" s="8"/>
      <c r="B783" s="10"/>
      <c r="C783" s="8"/>
      <c r="D783" s="8"/>
    </row>
    <row r="784" spans="1:4" ht="14.25" customHeight="1" x14ac:dyDescent="0.25">
      <c r="A784" s="8"/>
      <c r="B784" s="10"/>
      <c r="C784" s="8"/>
      <c r="D784" s="8"/>
    </row>
    <row r="785" spans="1:4" ht="14.25" customHeight="1" x14ac:dyDescent="0.25">
      <c r="A785" s="8"/>
      <c r="B785" s="10"/>
      <c r="C785" s="8"/>
      <c r="D785" s="8"/>
    </row>
    <row r="786" spans="1:4" ht="14.25" customHeight="1" x14ac:dyDescent="0.25">
      <c r="A786" s="8"/>
      <c r="B786" s="10"/>
      <c r="C786" s="8"/>
      <c r="D786" s="8"/>
    </row>
    <row r="787" spans="1:4" ht="14.25" customHeight="1" x14ac:dyDescent="0.25">
      <c r="A787" s="8"/>
      <c r="B787" s="10"/>
      <c r="C787" s="8"/>
      <c r="D787" s="8"/>
    </row>
    <row r="788" spans="1:4" ht="14.25" customHeight="1" x14ac:dyDescent="0.25">
      <c r="A788" s="8"/>
      <c r="B788" s="10"/>
      <c r="C788" s="8"/>
      <c r="D788" s="8"/>
    </row>
    <row r="789" spans="1:4" ht="14.25" customHeight="1" x14ac:dyDescent="0.25">
      <c r="A789" s="8"/>
      <c r="B789" s="10"/>
      <c r="C789" s="8"/>
      <c r="D789" s="8"/>
    </row>
    <row r="790" spans="1:4" ht="14.25" customHeight="1" x14ac:dyDescent="0.25">
      <c r="A790" s="8"/>
      <c r="B790" s="10"/>
      <c r="C790" s="8"/>
      <c r="D790" s="8"/>
    </row>
    <row r="791" spans="1:4" ht="14.25" customHeight="1" x14ac:dyDescent="0.25">
      <c r="A791" s="8"/>
      <c r="B791" s="10"/>
      <c r="C791" s="8"/>
      <c r="D791" s="8"/>
    </row>
    <row r="792" spans="1:4" ht="14.25" customHeight="1" x14ac:dyDescent="0.25">
      <c r="A792" s="8"/>
      <c r="B792" s="10"/>
      <c r="C792" s="8"/>
      <c r="D792" s="8"/>
    </row>
    <row r="793" spans="1:4" ht="14.25" customHeight="1" x14ac:dyDescent="0.25">
      <c r="A793" s="8"/>
      <c r="B793" s="10"/>
      <c r="C793" s="8"/>
      <c r="D793" s="8"/>
    </row>
    <row r="794" spans="1:4" ht="14.25" customHeight="1" x14ac:dyDescent="0.25">
      <c r="A794" s="8"/>
      <c r="B794" s="10"/>
      <c r="C794" s="8"/>
      <c r="D794" s="8"/>
    </row>
    <row r="795" spans="1:4" ht="14.25" customHeight="1" x14ac:dyDescent="0.25">
      <c r="A795" s="8"/>
      <c r="B795" s="10"/>
      <c r="C795" s="8"/>
      <c r="D795" s="8"/>
    </row>
    <row r="796" spans="1:4" ht="14.25" customHeight="1" x14ac:dyDescent="0.25">
      <c r="A796" s="8"/>
      <c r="B796" s="10"/>
      <c r="C796" s="8"/>
      <c r="D796" s="8"/>
    </row>
    <row r="797" spans="1:4" ht="14.25" customHeight="1" x14ac:dyDescent="0.25">
      <c r="A797" s="8"/>
      <c r="B797" s="10"/>
      <c r="C797" s="8"/>
      <c r="D797" s="8"/>
    </row>
    <row r="798" spans="1:4" ht="14.25" customHeight="1" x14ac:dyDescent="0.25">
      <c r="A798" s="8"/>
      <c r="B798" s="10"/>
      <c r="C798" s="8"/>
      <c r="D798" s="8"/>
    </row>
    <row r="799" spans="1:4" ht="14.25" customHeight="1" x14ac:dyDescent="0.25">
      <c r="A799" s="8"/>
      <c r="B799" s="10"/>
      <c r="C799" s="8"/>
      <c r="D799" s="8"/>
    </row>
    <row r="800" spans="1:4" ht="14.25" customHeight="1" x14ac:dyDescent="0.25">
      <c r="A800" s="8"/>
      <c r="B800" s="10"/>
      <c r="C800" s="8"/>
      <c r="D800" s="8"/>
    </row>
    <row r="801" spans="1:4" ht="14.25" customHeight="1" x14ac:dyDescent="0.25">
      <c r="A801" s="8"/>
      <c r="B801" s="10"/>
      <c r="C801" s="8"/>
      <c r="D801" s="8"/>
    </row>
    <row r="802" spans="1:4" ht="14.25" customHeight="1" x14ac:dyDescent="0.25">
      <c r="A802" s="8"/>
      <c r="B802" s="10"/>
      <c r="C802" s="8"/>
      <c r="D802" s="8"/>
    </row>
    <row r="803" spans="1:4" ht="14.25" customHeight="1" x14ac:dyDescent="0.25">
      <c r="A803" s="8"/>
      <c r="B803" s="10"/>
      <c r="C803" s="8"/>
      <c r="D803" s="8"/>
    </row>
    <row r="804" spans="1:4" ht="14.25" customHeight="1" x14ac:dyDescent="0.25">
      <c r="A804" s="8"/>
      <c r="B804" s="10"/>
      <c r="C804" s="8"/>
      <c r="D804" s="8"/>
    </row>
    <row r="805" spans="1:4" ht="14.25" customHeight="1" x14ac:dyDescent="0.25">
      <c r="A805" s="8"/>
      <c r="B805" s="10"/>
      <c r="C805" s="8"/>
      <c r="D805" s="8"/>
    </row>
    <row r="806" spans="1:4" ht="14.25" customHeight="1" x14ac:dyDescent="0.25">
      <c r="A806" s="8"/>
      <c r="B806" s="10"/>
      <c r="C806" s="8"/>
      <c r="D806" s="8"/>
    </row>
    <row r="807" spans="1:4" ht="14.25" customHeight="1" x14ac:dyDescent="0.25">
      <c r="A807" s="8"/>
      <c r="B807" s="10"/>
      <c r="C807" s="8"/>
      <c r="D807" s="8"/>
    </row>
    <row r="808" spans="1:4" ht="14.25" customHeight="1" x14ac:dyDescent="0.25">
      <c r="A808" s="8"/>
      <c r="B808" s="10"/>
      <c r="C808" s="8"/>
      <c r="D808" s="8"/>
    </row>
    <row r="809" spans="1:4" ht="14.25" customHeight="1" x14ac:dyDescent="0.25">
      <c r="A809" s="8"/>
      <c r="B809" s="10"/>
      <c r="C809" s="8"/>
      <c r="D809" s="8"/>
    </row>
    <row r="810" spans="1:4" ht="14.25" customHeight="1" x14ac:dyDescent="0.25">
      <c r="A810" s="8"/>
      <c r="B810" s="10"/>
      <c r="C810" s="8"/>
      <c r="D810" s="8"/>
    </row>
    <row r="811" spans="1:4" ht="14.25" customHeight="1" x14ac:dyDescent="0.25">
      <c r="A811" s="8"/>
      <c r="B811" s="10"/>
      <c r="C811" s="8"/>
      <c r="D811" s="8"/>
    </row>
    <row r="812" spans="1:4" ht="14.25" customHeight="1" x14ac:dyDescent="0.25">
      <c r="A812" s="8"/>
      <c r="B812" s="10"/>
      <c r="C812" s="8"/>
      <c r="D812" s="8"/>
    </row>
    <row r="813" spans="1:4" ht="14.25" customHeight="1" x14ac:dyDescent="0.25">
      <c r="A813" s="8"/>
      <c r="B813" s="10"/>
      <c r="C813" s="8"/>
      <c r="D813" s="8"/>
    </row>
    <row r="814" spans="1:4" ht="14.25" customHeight="1" x14ac:dyDescent="0.25">
      <c r="A814" s="8"/>
      <c r="B814" s="10"/>
      <c r="C814" s="8"/>
      <c r="D814" s="8"/>
    </row>
    <row r="815" spans="1:4" ht="14.25" customHeight="1" x14ac:dyDescent="0.25">
      <c r="A815" s="8"/>
      <c r="B815" s="10"/>
      <c r="C815" s="8"/>
      <c r="D815" s="8"/>
    </row>
    <row r="816" spans="1:4" ht="14.25" customHeight="1" x14ac:dyDescent="0.25">
      <c r="A816" s="8"/>
      <c r="B816" s="10"/>
      <c r="C816" s="8"/>
      <c r="D816" s="8"/>
    </row>
    <row r="817" spans="1:4" ht="14.25" customHeight="1" x14ac:dyDescent="0.25">
      <c r="A817" s="8"/>
      <c r="B817" s="10"/>
      <c r="C817" s="8"/>
      <c r="D817" s="8"/>
    </row>
    <row r="818" spans="1:4" ht="14.25" customHeight="1" x14ac:dyDescent="0.25">
      <c r="A818" s="8"/>
      <c r="B818" s="10"/>
      <c r="C818" s="8"/>
      <c r="D818" s="8"/>
    </row>
    <row r="819" spans="1:4" ht="14.25" customHeight="1" x14ac:dyDescent="0.25">
      <c r="A819" s="8"/>
      <c r="B819" s="10"/>
      <c r="C819" s="8"/>
      <c r="D819" s="8"/>
    </row>
    <row r="820" spans="1:4" ht="14.25" customHeight="1" x14ac:dyDescent="0.25">
      <c r="A820" s="8"/>
      <c r="B820" s="10"/>
      <c r="C820" s="8"/>
      <c r="D820" s="8"/>
    </row>
    <row r="821" spans="1:4" ht="14.25" customHeight="1" x14ac:dyDescent="0.25">
      <c r="A821" s="8"/>
      <c r="B821" s="10"/>
      <c r="C821" s="8"/>
      <c r="D821" s="8"/>
    </row>
    <row r="822" spans="1:4" ht="14.25" customHeight="1" x14ac:dyDescent="0.25">
      <c r="A822" s="8"/>
      <c r="B822" s="10"/>
      <c r="C822" s="8"/>
      <c r="D822" s="8"/>
    </row>
    <row r="823" spans="1:4" ht="14.25" customHeight="1" x14ac:dyDescent="0.25">
      <c r="A823" s="8"/>
      <c r="B823" s="10"/>
      <c r="C823" s="8"/>
      <c r="D823" s="8"/>
    </row>
    <row r="824" spans="1:4" ht="14.25" customHeight="1" x14ac:dyDescent="0.25">
      <c r="A824" s="8"/>
      <c r="B824" s="10"/>
      <c r="C824" s="8"/>
      <c r="D824" s="8"/>
    </row>
    <row r="825" spans="1:4" ht="14.25" customHeight="1" x14ac:dyDescent="0.25">
      <c r="A825" s="8"/>
      <c r="B825" s="10"/>
      <c r="C825" s="8"/>
      <c r="D825" s="8"/>
    </row>
    <row r="826" spans="1:4" ht="14.25" customHeight="1" x14ac:dyDescent="0.25">
      <c r="A826" s="8"/>
      <c r="B826" s="10"/>
      <c r="C826" s="8"/>
      <c r="D826" s="8"/>
    </row>
    <row r="827" spans="1:4" ht="14.25" customHeight="1" x14ac:dyDescent="0.25">
      <c r="A827" s="8"/>
      <c r="B827" s="10"/>
      <c r="C827" s="8"/>
      <c r="D827" s="8"/>
    </row>
    <row r="828" spans="1:4" ht="14.25" customHeight="1" x14ac:dyDescent="0.25">
      <c r="A828" s="8"/>
      <c r="B828" s="10"/>
      <c r="C828" s="8"/>
      <c r="D828" s="8"/>
    </row>
    <row r="829" spans="1:4" ht="14.25" customHeight="1" x14ac:dyDescent="0.25">
      <c r="A829" s="8"/>
      <c r="B829" s="10"/>
      <c r="C829" s="8"/>
      <c r="D829" s="8"/>
    </row>
    <row r="830" spans="1:4" ht="14.25" customHeight="1" x14ac:dyDescent="0.25">
      <c r="A830" s="8"/>
      <c r="B830" s="10"/>
      <c r="C830" s="8"/>
      <c r="D830" s="8"/>
    </row>
    <row r="831" spans="1:4" ht="14.25" customHeight="1" x14ac:dyDescent="0.25">
      <c r="A831" s="8"/>
      <c r="B831" s="10"/>
      <c r="C831" s="8"/>
      <c r="D831" s="8"/>
    </row>
    <row r="832" spans="1:4" ht="14.25" customHeight="1" x14ac:dyDescent="0.25">
      <c r="A832" s="8"/>
      <c r="B832" s="10"/>
      <c r="C832" s="8"/>
      <c r="D832" s="8"/>
    </row>
    <row r="833" spans="1:4" ht="14.25" customHeight="1" x14ac:dyDescent="0.25">
      <c r="A833" s="8"/>
      <c r="B833" s="10"/>
      <c r="C833" s="8"/>
      <c r="D833" s="8"/>
    </row>
    <row r="834" spans="1:4" ht="14.25" customHeight="1" x14ac:dyDescent="0.25">
      <c r="A834" s="8"/>
      <c r="B834" s="10"/>
      <c r="C834" s="8"/>
      <c r="D834" s="8"/>
    </row>
    <row r="835" spans="1:4" ht="14.25" customHeight="1" x14ac:dyDescent="0.25">
      <c r="A835" s="8"/>
      <c r="B835" s="10"/>
      <c r="C835" s="8"/>
      <c r="D835" s="8"/>
    </row>
    <row r="836" spans="1:4" ht="14.25" customHeight="1" x14ac:dyDescent="0.25">
      <c r="A836" s="8"/>
      <c r="B836" s="10"/>
      <c r="C836" s="8"/>
      <c r="D836" s="8"/>
    </row>
    <row r="837" spans="1:4" ht="14.25" customHeight="1" x14ac:dyDescent="0.25">
      <c r="A837" s="8"/>
      <c r="B837" s="10"/>
      <c r="C837" s="8"/>
      <c r="D837" s="8"/>
    </row>
    <row r="838" spans="1:4" ht="14.25" customHeight="1" x14ac:dyDescent="0.25">
      <c r="A838" s="8"/>
      <c r="B838" s="10"/>
      <c r="C838" s="8"/>
      <c r="D838" s="8"/>
    </row>
    <row r="839" spans="1:4" ht="14.25" customHeight="1" x14ac:dyDescent="0.25">
      <c r="A839" s="8"/>
      <c r="B839" s="10"/>
      <c r="C839" s="8"/>
      <c r="D839" s="8"/>
    </row>
    <row r="840" spans="1:4" ht="14.25" customHeight="1" x14ac:dyDescent="0.25">
      <c r="A840" s="8"/>
      <c r="B840" s="10"/>
      <c r="C840" s="8"/>
      <c r="D840" s="8"/>
    </row>
    <row r="841" spans="1:4" ht="14.25" customHeight="1" x14ac:dyDescent="0.25">
      <c r="A841" s="8"/>
      <c r="B841" s="10"/>
      <c r="C841" s="8"/>
      <c r="D841" s="8"/>
    </row>
    <row r="842" spans="1:4" ht="14.25" customHeight="1" x14ac:dyDescent="0.25">
      <c r="A842" s="8"/>
      <c r="B842" s="10"/>
      <c r="C842" s="8"/>
      <c r="D842" s="8"/>
    </row>
    <row r="843" spans="1:4" ht="14.25" customHeight="1" x14ac:dyDescent="0.25">
      <c r="A843" s="8"/>
      <c r="B843" s="10"/>
      <c r="C843" s="8"/>
      <c r="D843" s="8"/>
    </row>
    <row r="844" spans="1:4" ht="14.25" customHeight="1" x14ac:dyDescent="0.25">
      <c r="A844" s="8"/>
      <c r="B844" s="10"/>
      <c r="C844" s="8"/>
      <c r="D844" s="8"/>
    </row>
    <row r="845" spans="1:4" ht="14.25" customHeight="1" x14ac:dyDescent="0.25">
      <c r="A845" s="8"/>
      <c r="B845" s="10"/>
      <c r="C845" s="8"/>
      <c r="D845" s="8"/>
    </row>
    <row r="846" spans="1:4" ht="14.25" customHeight="1" x14ac:dyDescent="0.25">
      <c r="A846" s="8"/>
      <c r="B846" s="10"/>
      <c r="C846" s="8"/>
      <c r="D846" s="8"/>
    </row>
    <row r="847" spans="1:4" ht="14.25" customHeight="1" x14ac:dyDescent="0.25">
      <c r="A847" s="8"/>
      <c r="B847" s="10"/>
      <c r="C847" s="8"/>
      <c r="D847" s="8"/>
    </row>
    <row r="848" spans="1:4" ht="14.25" customHeight="1" x14ac:dyDescent="0.25">
      <c r="A848" s="8"/>
      <c r="B848" s="10"/>
      <c r="C848" s="8"/>
      <c r="D848" s="8"/>
    </row>
    <row r="849" spans="1:4" ht="14.25" customHeight="1" x14ac:dyDescent="0.25">
      <c r="A849" s="8"/>
      <c r="B849" s="10"/>
      <c r="C849" s="8"/>
      <c r="D849" s="8"/>
    </row>
    <row r="850" spans="1:4" ht="14.25" customHeight="1" x14ac:dyDescent="0.25">
      <c r="A850" s="8"/>
      <c r="B850" s="10"/>
      <c r="C850" s="8"/>
      <c r="D850" s="8"/>
    </row>
    <row r="851" spans="1:4" ht="14.25" customHeight="1" x14ac:dyDescent="0.25">
      <c r="A851" s="8"/>
      <c r="B851" s="10"/>
      <c r="C851" s="8"/>
      <c r="D851" s="8"/>
    </row>
    <row r="852" spans="1:4" ht="14.25" customHeight="1" x14ac:dyDescent="0.25">
      <c r="A852" s="8"/>
      <c r="B852" s="10"/>
      <c r="C852" s="8"/>
      <c r="D852" s="8"/>
    </row>
    <row r="853" spans="1:4" ht="14.25" customHeight="1" x14ac:dyDescent="0.25">
      <c r="A853" s="8"/>
      <c r="B853" s="10"/>
      <c r="C853" s="8"/>
      <c r="D853" s="8"/>
    </row>
    <row r="854" spans="1:4" ht="14.25" customHeight="1" x14ac:dyDescent="0.25">
      <c r="A854" s="8"/>
      <c r="B854" s="10"/>
      <c r="C854" s="8"/>
      <c r="D854" s="8"/>
    </row>
    <row r="855" spans="1:4" ht="14.25" customHeight="1" x14ac:dyDescent="0.25">
      <c r="A855" s="8"/>
      <c r="B855" s="10"/>
      <c r="C855" s="8"/>
      <c r="D855" s="8"/>
    </row>
    <row r="856" spans="1:4" ht="14.25" customHeight="1" x14ac:dyDescent="0.25">
      <c r="A856" s="8"/>
      <c r="B856" s="10"/>
      <c r="C856" s="8"/>
      <c r="D856" s="8"/>
    </row>
    <row r="857" spans="1:4" ht="14.25" customHeight="1" x14ac:dyDescent="0.25">
      <c r="A857" s="8"/>
      <c r="B857" s="10"/>
      <c r="C857" s="8"/>
      <c r="D857" s="8"/>
    </row>
    <row r="858" spans="1:4" ht="14.25" customHeight="1" x14ac:dyDescent="0.25">
      <c r="A858" s="8"/>
      <c r="B858" s="10"/>
      <c r="C858" s="8"/>
      <c r="D858" s="8"/>
    </row>
    <row r="859" spans="1:4" ht="14.25" customHeight="1" x14ac:dyDescent="0.25">
      <c r="A859" s="8"/>
      <c r="B859" s="10"/>
      <c r="C859" s="8"/>
      <c r="D859" s="8"/>
    </row>
    <row r="860" spans="1:4" ht="14.25" customHeight="1" x14ac:dyDescent="0.25">
      <c r="A860" s="8"/>
      <c r="B860" s="10"/>
      <c r="C860" s="8"/>
      <c r="D860" s="8"/>
    </row>
    <row r="861" spans="1:4" ht="14.25" customHeight="1" x14ac:dyDescent="0.25">
      <c r="A861" s="8"/>
      <c r="B861" s="10"/>
      <c r="C861" s="8"/>
      <c r="D861" s="8"/>
    </row>
    <row r="862" spans="1:4" ht="14.25" customHeight="1" x14ac:dyDescent="0.25">
      <c r="A862" s="8"/>
      <c r="B862" s="10"/>
      <c r="C862" s="8"/>
      <c r="D862" s="8"/>
    </row>
    <row r="863" spans="1:4" ht="14.25" customHeight="1" x14ac:dyDescent="0.25">
      <c r="A863" s="8"/>
      <c r="B863" s="10"/>
      <c r="C863" s="8"/>
      <c r="D863" s="8"/>
    </row>
    <row r="864" spans="1:4" ht="14.25" customHeight="1" x14ac:dyDescent="0.25">
      <c r="A864" s="8"/>
      <c r="B864" s="10"/>
      <c r="C864" s="8"/>
      <c r="D864" s="8"/>
    </row>
    <row r="865" spans="1:4" ht="14.25" customHeight="1" x14ac:dyDescent="0.25">
      <c r="A865" s="8"/>
      <c r="B865" s="10"/>
      <c r="C865" s="8"/>
      <c r="D865" s="8"/>
    </row>
    <row r="866" spans="1:4" ht="14.25" customHeight="1" x14ac:dyDescent="0.25">
      <c r="A866" s="8"/>
      <c r="B866" s="10"/>
      <c r="C866" s="8"/>
      <c r="D866" s="8"/>
    </row>
    <row r="867" spans="1:4" ht="14.25" customHeight="1" x14ac:dyDescent="0.25">
      <c r="A867" s="8"/>
      <c r="B867" s="10"/>
      <c r="C867" s="8"/>
      <c r="D867" s="8"/>
    </row>
    <row r="868" spans="1:4" ht="14.25" customHeight="1" x14ac:dyDescent="0.25">
      <c r="A868" s="8"/>
      <c r="B868" s="10"/>
      <c r="C868" s="8"/>
      <c r="D868" s="8"/>
    </row>
    <row r="869" spans="1:4" ht="14.25" customHeight="1" x14ac:dyDescent="0.25">
      <c r="A869" s="8"/>
      <c r="B869" s="10"/>
      <c r="C869" s="8"/>
      <c r="D869" s="8"/>
    </row>
    <row r="870" spans="1:4" ht="14.25" customHeight="1" x14ac:dyDescent="0.25">
      <c r="A870" s="8"/>
      <c r="B870" s="10"/>
      <c r="C870" s="8"/>
      <c r="D870" s="8"/>
    </row>
    <row r="871" spans="1:4" ht="14.25" customHeight="1" x14ac:dyDescent="0.25">
      <c r="A871" s="8"/>
      <c r="B871" s="10"/>
      <c r="C871" s="8"/>
      <c r="D871" s="8"/>
    </row>
    <row r="872" spans="1:4" ht="14.25" customHeight="1" x14ac:dyDescent="0.25">
      <c r="A872" s="8"/>
      <c r="B872" s="10"/>
      <c r="C872" s="8"/>
      <c r="D872" s="8"/>
    </row>
    <row r="873" spans="1:4" ht="14.25" customHeight="1" x14ac:dyDescent="0.25">
      <c r="A873" s="8"/>
      <c r="B873" s="10"/>
      <c r="C873" s="8"/>
      <c r="D873" s="8"/>
    </row>
    <row r="874" spans="1:4" ht="14.25" customHeight="1" x14ac:dyDescent="0.25">
      <c r="A874" s="8"/>
      <c r="B874" s="10"/>
      <c r="C874" s="8"/>
      <c r="D874" s="8"/>
    </row>
    <row r="875" spans="1:4" ht="14.25" customHeight="1" x14ac:dyDescent="0.25">
      <c r="A875" s="8"/>
      <c r="B875" s="10"/>
      <c r="C875" s="8"/>
      <c r="D875" s="8"/>
    </row>
    <row r="876" spans="1:4" ht="14.25" customHeight="1" x14ac:dyDescent="0.25">
      <c r="A876" s="8"/>
      <c r="B876" s="10"/>
      <c r="C876" s="8"/>
      <c r="D876" s="8"/>
    </row>
    <row r="877" spans="1:4" ht="14.25" customHeight="1" x14ac:dyDescent="0.25">
      <c r="A877" s="8"/>
      <c r="B877" s="10"/>
      <c r="C877" s="8"/>
      <c r="D877" s="8"/>
    </row>
    <row r="878" spans="1:4" ht="14.25" customHeight="1" x14ac:dyDescent="0.25">
      <c r="A878" s="8"/>
      <c r="B878" s="10"/>
      <c r="C878" s="8"/>
      <c r="D878" s="8"/>
    </row>
    <row r="879" spans="1:4" ht="14.25" customHeight="1" x14ac:dyDescent="0.25">
      <c r="A879" s="8"/>
      <c r="B879" s="10"/>
      <c r="C879" s="8"/>
      <c r="D879" s="8"/>
    </row>
    <row r="880" spans="1:4" ht="14.25" customHeight="1" x14ac:dyDescent="0.25">
      <c r="A880" s="8"/>
      <c r="B880" s="10"/>
      <c r="C880" s="8"/>
      <c r="D880" s="8"/>
    </row>
    <row r="881" spans="1:4" ht="14.25" customHeight="1" x14ac:dyDescent="0.25">
      <c r="A881" s="8"/>
      <c r="B881" s="10"/>
      <c r="C881" s="8"/>
      <c r="D881" s="8"/>
    </row>
    <row r="882" spans="1:4" ht="14.25" customHeight="1" x14ac:dyDescent="0.25">
      <c r="A882" s="8"/>
      <c r="B882" s="10"/>
      <c r="C882" s="8"/>
      <c r="D882" s="8"/>
    </row>
    <row r="883" spans="1:4" ht="14.25" customHeight="1" x14ac:dyDescent="0.25">
      <c r="A883" s="8"/>
      <c r="B883" s="10"/>
      <c r="C883" s="8"/>
      <c r="D883" s="8"/>
    </row>
    <row r="884" spans="1:4" ht="14.25" customHeight="1" x14ac:dyDescent="0.25">
      <c r="A884" s="8"/>
      <c r="B884" s="10"/>
      <c r="C884" s="8"/>
      <c r="D884" s="8"/>
    </row>
    <row r="885" spans="1:4" ht="14.25" customHeight="1" x14ac:dyDescent="0.25">
      <c r="A885" s="8"/>
      <c r="B885" s="10"/>
      <c r="C885" s="8"/>
      <c r="D885" s="8"/>
    </row>
    <row r="886" spans="1:4" ht="14.25" customHeight="1" x14ac:dyDescent="0.25">
      <c r="A886" s="8"/>
      <c r="B886" s="10"/>
      <c r="C886" s="8"/>
      <c r="D886" s="8"/>
    </row>
    <row r="887" spans="1:4" ht="14.25" customHeight="1" x14ac:dyDescent="0.25">
      <c r="A887" s="8"/>
      <c r="B887" s="10"/>
      <c r="C887" s="8"/>
      <c r="D887" s="8"/>
    </row>
    <row r="888" spans="1:4" ht="14.25" customHeight="1" x14ac:dyDescent="0.25">
      <c r="A888" s="8"/>
      <c r="B888" s="10"/>
      <c r="C888" s="8"/>
      <c r="D888" s="8"/>
    </row>
    <row r="889" spans="1:4" ht="14.25" customHeight="1" x14ac:dyDescent="0.25">
      <c r="A889" s="8"/>
      <c r="B889" s="10"/>
      <c r="C889" s="8"/>
      <c r="D889" s="8"/>
    </row>
    <row r="890" spans="1:4" ht="14.25" customHeight="1" x14ac:dyDescent="0.25">
      <c r="A890" s="8"/>
      <c r="B890" s="10"/>
      <c r="C890" s="8"/>
      <c r="D890" s="8"/>
    </row>
    <row r="891" spans="1:4" ht="14.25" customHeight="1" x14ac:dyDescent="0.25">
      <c r="A891" s="8"/>
      <c r="B891" s="10"/>
      <c r="C891" s="8"/>
      <c r="D891" s="8"/>
    </row>
    <row r="892" spans="1:4" ht="14.25" customHeight="1" x14ac:dyDescent="0.25">
      <c r="A892" s="8"/>
      <c r="B892" s="10"/>
      <c r="C892" s="8"/>
      <c r="D892" s="8"/>
    </row>
    <row r="893" spans="1:4" ht="14.25" customHeight="1" x14ac:dyDescent="0.25">
      <c r="A893" s="8"/>
      <c r="B893" s="10"/>
      <c r="C893" s="8"/>
      <c r="D893" s="8"/>
    </row>
    <row r="894" spans="1:4" ht="14.25" customHeight="1" x14ac:dyDescent="0.25">
      <c r="A894" s="8"/>
      <c r="B894" s="10"/>
      <c r="C894" s="8"/>
      <c r="D894" s="8"/>
    </row>
    <row r="895" spans="1:4" ht="14.25" customHeight="1" x14ac:dyDescent="0.25">
      <c r="A895" s="8"/>
      <c r="B895" s="10"/>
      <c r="C895" s="8"/>
      <c r="D895" s="8"/>
    </row>
    <row r="896" spans="1:4" ht="14.25" customHeight="1" x14ac:dyDescent="0.25">
      <c r="A896" s="8"/>
      <c r="B896" s="10"/>
      <c r="C896" s="8"/>
      <c r="D896" s="8"/>
    </row>
    <row r="897" spans="1:4" ht="14.25" customHeight="1" x14ac:dyDescent="0.25">
      <c r="A897" s="8"/>
      <c r="B897" s="10"/>
      <c r="C897" s="8"/>
      <c r="D897" s="8"/>
    </row>
    <row r="898" spans="1:4" ht="14.25" customHeight="1" x14ac:dyDescent="0.25">
      <c r="A898" s="8"/>
      <c r="B898" s="10"/>
      <c r="C898" s="8"/>
      <c r="D898" s="8"/>
    </row>
    <row r="899" spans="1:4" ht="14.25" customHeight="1" x14ac:dyDescent="0.25">
      <c r="A899" s="8"/>
      <c r="B899" s="10"/>
      <c r="C899" s="8"/>
      <c r="D899" s="8"/>
    </row>
    <row r="900" spans="1:4" ht="14.25" customHeight="1" x14ac:dyDescent="0.25">
      <c r="A900" s="8"/>
      <c r="B900" s="10"/>
      <c r="C900" s="8"/>
      <c r="D900" s="8"/>
    </row>
    <row r="901" spans="1:4" ht="14.25" customHeight="1" x14ac:dyDescent="0.25">
      <c r="A901" s="8"/>
      <c r="B901" s="10"/>
      <c r="C901" s="8"/>
      <c r="D901" s="8"/>
    </row>
    <row r="902" spans="1:4" ht="14.25" customHeight="1" x14ac:dyDescent="0.25">
      <c r="A902" s="8"/>
      <c r="B902" s="10"/>
      <c r="C902" s="8"/>
      <c r="D902" s="8"/>
    </row>
    <row r="903" spans="1:4" ht="14.25" customHeight="1" x14ac:dyDescent="0.25">
      <c r="A903" s="8"/>
      <c r="B903" s="10"/>
      <c r="C903" s="8"/>
      <c r="D903" s="8"/>
    </row>
    <row r="904" spans="1:4" ht="14.25" customHeight="1" x14ac:dyDescent="0.25">
      <c r="A904" s="8"/>
      <c r="B904" s="10"/>
      <c r="C904" s="8"/>
      <c r="D904" s="8"/>
    </row>
    <row r="905" spans="1:4" ht="14.25" customHeight="1" x14ac:dyDescent="0.25">
      <c r="A905" s="8"/>
      <c r="B905" s="10"/>
      <c r="C905" s="8"/>
      <c r="D905" s="8"/>
    </row>
    <row r="906" spans="1:4" ht="14.25" customHeight="1" x14ac:dyDescent="0.25">
      <c r="A906" s="8"/>
      <c r="B906" s="10"/>
      <c r="C906" s="8"/>
      <c r="D906" s="8"/>
    </row>
    <row r="907" spans="1:4" ht="14.25" customHeight="1" x14ac:dyDescent="0.25">
      <c r="A907" s="8"/>
      <c r="B907" s="10"/>
      <c r="C907" s="8"/>
      <c r="D907" s="8"/>
    </row>
    <row r="908" spans="1:4" ht="14.25" customHeight="1" x14ac:dyDescent="0.25">
      <c r="A908" s="8"/>
      <c r="B908" s="10"/>
      <c r="C908" s="8"/>
      <c r="D908" s="8"/>
    </row>
    <row r="909" spans="1:4" ht="14.25" customHeight="1" x14ac:dyDescent="0.25">
      <c r="A909" s="8"/>
      <c r="B909" s="10"/>
      <c r="C909" s="8"/>
      <c r="D909" s="8"/>
    </row>
    <row r="910" spans="1:4" ht="14.25" customHeight="1" x14ac:dyDescent="0.25">
      <c r="A910" s="8"/>
      <c r="B910" s="10"/>
      <c r="C910" s="8"/>
      <c r="D910" s="8"/>
    </row>
    <row r="911" spans="1:4" ht="14.25" customHeight="1" x14ac:dyDescent="0.25">
      <c r="A911" s="8"/>
      <c r="B911" s="10"/>
      <c r="C911" s="8"/>
      <c r="D911" s="8"/>
    </row>
    <row r="912" spans="1:4" ht="14.25" customHeight="1" x14ac:dyDescent="0.25">
      <c r="A912" s="8"/>
      <c r="B912" s="10"/>
      <c r="C912" s="8"/>
      <c r="D912" s="8"/>
    </row>
    <row r="913" spans="1:4" ht="14.25" customHeight="1" x14ac:dyDescent="0.25">
      <c r="A913" s="8"/>
      <c r="B913" s="10"/>
      <c r="C913" s="8"/>
      <c r="D913" s="8"/>
    </row>
    <row r="914" spans="1:4" ht="14.25" customHeight="1" x14ac:dyDescent="0.25">
      <c r="A914" s="8"/>
      <c r="B914" s="10"/>
      <c r="C914" s="8"/>
      <c r="D914" s="8"/>
    </row>
    <row r="915" spans="1:4" ht="14.25" customHeight="1" x14ac:dyDescent="0.25">
      <c r="A915" s="8"/>
      <c r="B915" s="10"/>
      <c r="C915" s="8"/>
      <c r="D915" s="8"/>
    </row>
    <row r="916" spans="1:4" ht="14.25" customHeight="1" x14ac:dyDescent="0.25">
      <c r="A916" s="8"/>
      <c r="B916" s="10"/>
      <c r="C916" s="8"/>
      <c r="D916" s="8"/>
    </row>
    <row r="917" spans="1:4" ht="14.25" customHeight="1" x14ac:dyDescent="0.25">
      <c r="A917" s="8"/>
      <c r="B917" s="10"/>
      <c r="C917" s="8"/>
      <c r="D917" s="8"/>
    </row>
    <row r="918" spans="1:4" ht="14.25" customHeight="1" x14ac:dyDescent="0.25">
      <c r="A918" s="8"/>
      <c r="B918" s="10"/>
      <c r="C918" s="8"/>
      <c r="D918" s="8"/>
    </row>
    <row r="919" spans="1:4" ht="14.25" customHeight="1" x14ac:dyDescent="0.25">
      <c r="A919" s="8"/>
      <c r="B919" s="10"/>
      <c r="C919" s="8"/>
      <c r="D919" s="8"/>
    </row>
    <row r="920" spans="1:4" ht="14.25" customHeight="1" x14ac:dyDescent="0.25">
      <c r="A920" s="8"/>
      <c r="B920" s="10"/>
      <c r="C920" s="8"/>
      <c r="D920" s="8"/>
    </row>
    <row r="921" spans="1:4" ht="14.25" customHeight="1" x14ac:dyDescent="0.25">
      <c r="A921" s="8"/>
      <c r="B921" s="10"/>
      <c r="C921" s="8"/>
      <c r="D921" s="8"/>
    </row>
    <row r="922" spans="1:4" ht="14.25" customHeight="1" x14ac:dyDescent="0.25">
      <c r="A922" s="8"/>
      <c r="B922" s="10"/>
      <c r="C922" s="8"/>
      <c r="D922" s="8"/>
    </row>
    <row r="923" spans="1:4" ht="14.25" customHeight="1" x14ac:dyDescent="0.25">
      <c r="A923" s="8"/>
      <c r="B923" s="10"/>
      <c r="C923" s="8"/>
      <c r="D923" s="8"/>
    </row>
    <row r="924" spans="1:4" ht="14.25" customHeight="1" x14ac:dyDescent="0.25">
      <c r="A924" s="8"/>
      <c r="B924" s="10"/>
      <c r="C924" s="8"/>
      <c r="D924" s="8"/>
    </row>
    <row r="925" spans="1:4" ht="14.25" customHeight="1" x14ac:dyDescent="0.25">
      <c r="A925" s="8"/>
      <c r="B925" s="10"/>
      <c r="C925" s="8"/>
      <c r="D925" s="8"/>
    </row>
    <row r="926" spans="1:4" ht="14.25" customHeight="1" x14ac:dyDescent="0.25">
      <c r="A926" s="8"/>
      <c r="B926" s="10"/>
      <c r="C926" s="8"/>
      <c r="D926" s="8"/>
    </row>
    <row r="927" spans="1:4" ht="14.25" customHeight="1" x14ac:dyDescent="0.25">
      <c r="A927" s="8"/>
      <c r="B927" s="10"/>
      <c r="C927" s="8"/>
      <c r="D927" s="8"/>
    </row>
    <row r="928" spans="1:4" ht="14.25" customHeight="1" x14ac:dyDescent="0.25">
      <c r="A928" s="8"/>
      <c r="B928" s="10"/>
      <c r="C928" s="8"/>
      <c r="D928" s="8"/>
    </row>
    <row r="929" spans="1:4" ht="14.25" customHeight="1" x14ac:dyDescent="0.25">
      <c r="A929" s="8"/>
      <c r="B929" s="10"/>
      <c r="C929" s="8"/>
      <c r="D929" s="8"/>
    </row>
    <row r="930" spans="1:4" ht="14.25" customHeight="1" x14ac:dyDescent="0.25">
      <c r="A930" s="8"/>
      <c r="B930" s="10"/>
      <c r="C930" s="8"/>
      <c r="D930" s="8"/>
    </row>
    <row r="931" spans="1:4" ht="14.25" customHeight="1" x14ac:dyDescent="0.25">
      <c r="A931" s="8"/>
      <c r="B931" s="10"/>
      <c r="C931" s="8"/>
      <c r="D931" s="8"/>
    </row>
    <row r="932" spans="1:4" ht="14.25" customHeight="1" x14ac:dyDescent="0.25">
      <c r="A932" s="8"/>
      <c r="B932" s="10"/>
      <c r="C932" s="8"/>
      <c r="D932" s="8"/>
    </row>
    <row r="933" spans="1:4" ht="14.25" customHeight="1" x14ac:dyDescent="0.25">
      <c r="A933" s="8"/>
      <c r="B933" s="10"/>
      <c r="C933" s="8"/>
      <c r="D933" s="8"/>
    </row>
    <row r="934" spans="1:4" ht="14.25" customHeight="1" x14ac:dyDescent="0.25">
      <c r="A934" s="8"/>
      <c r="B934" s="10"/>
      <c r="C934" s="8"/>
      <c r="D934" s="8"/>
    </row>
    <row r="935" spans="1:4" ht="14.25" customHeight="1" x14ac:dyDescent="0.25">
      <c r="A935" s="8"/>
      <c r="B935" s="10"/>
      <c r="C935" s="8"/>
      <c r="D935" s="8"/>
    </row>
    <row r="936" spans="1:4" ht="14.25" customHeight="1" x14ac:dyDescent="0.25">
      <c r="A936" s="8"/>
      <c r="B936" s="10"/>
      <c r="C936" s="8"/>
      <c r="D936" s="8"/>
    </row>
    <row r="937" spans="1:4" ht="14.25" customHeight="1" x14ac:dyDescent="0.25">
      <c r="A937" s="8"/>
      <c r="B937" s="10"/>
      <c r="C937" s="8"/>
      <c r="D937" s="8"/>
    </row>
    <row r="938" spans="1:4" ht="14.25" customHeight="1" x14ac:dyDescent="0.25">
      <c r="A938" s="8"/>
      <c r="B938" s="10"/>
      <c r="C938" s="8"/>
      <c r="D938" s="8"/>
    </row>
    <row r="939" spans="1:4" ht="14.25" customHeight="1" x14ac:dyDescent="0.25">
      <c r="A939" s="8"/>
      <c r="B939" s="10"/>
      <c r="C939" s="8"/>
      <c r="D939" s="8"/>
    </row>
    <row r="940" spans="1:4" ht="14.25" customHeight="1" x14ac:dyDescent="0.25">
      <c r="A940" s="8"/>
      <c r="B940" s="10"/>
      <c r="C940" s="8"/>
      <c r="D940" s="8"/>
    </row>
    <row r="941" spans="1:4" ht="14.25" customHeight="1" x14ac:dyDescent="0.25">
      <c r="A941" s="8"/>
      <c r="B941" s="10"/>
      <c r="C941" s="8"/>
      <c r="D941" s="8"/>
    </row>
    <row r="942" spans="1:4" ht="14.25" customHeight="1" x14ac:dyDescent="0.25">
      <c r="A942" s="8"/>
      <c r="B942" s="10"/>
      <c r="C942" s="8"/>
      <c r="D942" s="8"/>
    </row>
    <row r="943" spans="1:4" ht="14.25" customHeight="1" x14ac:dyDescent="0.25">
      <c r="A943" s="8"/>
      <c r="B943" s="10"/>
      <c r="C943" s="8"/>
      <c r="D943" s="8"/>
    </row>
    <row r="944" spans="1:4" ht="14.25" customHeight="1" x14ac:dyDescent="0.25">
      <c r="A944" s="8"/>
      <c r="B944" s="10"/>
      <c r="C944" s="8"/>
      <c r="D944" s="8"/>
    </row>
    <row r="945" spans="1:4" ht="14.25" customHeight="1" x14ac:dyDescent="0.25">
      <c r="A945" s="8"/>
      <c r="B945" s="10"/>
      <c r="C945" s="8"/>
      <c r="D945" s="8"/>
    </row>
    <row r="946" spans="1:4" ht="14.25" customHeight="1" x14ac:dyDescent="0.25">
      <c r="A946" s="8"/>
      <c r="B946" s="10"/>
      <c r="C946" s="8"/>
      <c r="D946" s="8"/>
    </row>
    <row r="947" spans="1:4" ht="14.25" customHeight="1" x14ac:dyDescent="0.25">
      <c r="A947" s="8"/>
      <c r="B947" s="10"/>
      <c r="C947" s="8"/>
      <c r="D947" s="8"/>
    </row>
    <row r="948" spans="1:4" ht="14.25" customHeight="1" x14ac:dyDescent="0.25">
      <c r="A948" s="8"/>
      <c r="B948" s="10"/>
      <c r="C948" s="8"/>
      <c r="D948" s="8"/>
    </row>
    <row r="949" spans="1:4" ht="14.25" customHeight="1" x14ac:dyDescent="0.25">
      <c r="A949" s="8"/>
      <c r="B949" s="10"/>
      <c r="C949" s="8"/>
      <c r="D949" s="8"/>
    </row>
    <row r="950" spans="1:4" ht="14.25" customHeight="1" x14ac:dyDescent="0.25">
      <c r="A950" s="8"/>
      <c r="B950" s="10"/>
      <c r="C950" s="8"/>
      <c r="D950" s="8"/>
    </row>
    <row r="951" spans="1:4" ht="14.25" customHeight="1" x14ac:dyDescent="0.25">
      <c r="A951" s="8"/>
      <c r="B951" s="10"/>
      <c r="C951" s="8"/>
      <c r="D951" s="8"/>
    </row>
    <row r="952" spans="1:4" ht="14.25" customHeight="1" x14ac:dyDescent="0.25">
      <c r="A952" s="8"/>
      <c r="B952" s="10"/>
      <c r="C952" s="8"/>
      <c r="D952" s="8"/>
    </row>
    <row r="953" spans="1:4" ht="14.25" customHeight="1" x14ac:dyDescent="0.25">
      <c r="A953" s="8"/>
      <c r="B953" s="10"/>
      <c r="C953" s="8"/>
      <c r="D953" s="8"/>
    </row>
    <row r="954" spans="1:4" ht="14.25" customHeight="1" x14ac:dyDescent="0.25">
      <c r="A954" s="8"/>
      <c r="B954" s="10"/>
      <c r="C954" s="8"/>
      <c r="D954" s="8"/>
    </row>
    <row r="955" spans="1:4" ht="14.25" customHeight="1" x14ac:dyDescent="0.25">
      <c r="A955" s="8"/>
      <c r="B955" s="10"/>
      <c r="C955" s="8"/>
      <c r="D955" s="8"/>
    </row>
    <row r="956" spans="1:4" ht="14.25" customHeight="1" x14ac:dyDescent="0.25">
      <c r="A956" s="8"/>
      <c r="B956" s="10"/>
      <c r="C956" s="8"/>
      <c r="D956" s="8"/>
    </row>
    <row r="957" spans="1:4" ht="14.25" customHeight="1" x14ac:dyDescent="0.25">
      <c r="A957" s="8"/>
      <c r="B957" s="10"/>
      <c r="C957" s="8"/>
      <c r="D957" s="8"/>
    </row>
    <row r="958" spans="1:4" ht="14.25" customHeight="1" x14ac:dyDescent="0.25">
      <c r="A958" s="8"/>
      <c r="B958" s="10"/>
      <c r="C958" s="8"/>
      <c r="D958" s="8"/>
    </row>
    <row r="959" spans="1:4" ht="14.25" customHeight="1" x14ac:dyDescent="0.25">
      <c r="A959" s="8"/>
      <c r="B959" s="10"/>
      <c r="C959" s="8"/>
      <c r="D959" s="8"/>
    </row>
    <row r="960" spans="1:4" ht="14.25" customHeight="1" x14ac:dyDescent="0.25">
      <c r="A960" s="8"/>
      <c r="B960" s="10"/>
      <c r="C960" s="8"/>
      <c r="D960" s="8"/>
    </row>
    <row r="961" spans="1:4" ht="14.25" customHeight="1" x14ac:dyDescent="0.25">
      <c r="A961" s="8"/>
      <c r="B961" s="10"/>
      <c r="C961" s="8"/>
      <c r="D961" s="8"/>
    </row>
    <row r="962" spans="1:4" ht="14.25" customHeight="1" x14ac:dyDescent="0.25">
      <c r="A962" s="8"/>
      <c r="B962" s="10"/>
      <c r="C962" s="8"/>
      <c r="D962" s="8"/>
    </row>
    <row r="963" spans="1:4" ht="14.25" customHeight="1" x14ac:dyDescent="0.25">
      <c r="A963" s="8"/>
      <c r="B963" s="10"/>
      <c r="C963" s="8"/>
      <c r="D963" s="8"/>
    </row>
    <row r="964" spans="1:4" ht="14.25" customHeight="1" x14ac:dyDescent="0.25">
      <c r="A964" s="8"/>
      <c r="B964" s="10"/>
      <c r="C964" s="8"/>
      <c r="D964" s="8"/>
    </row>
    <row r="965" spans="1:4" ht="14.25" customHeight="1" x14ac:dyDescent="0.25">
      <c r="A965" s="8"/>
      <c r="B965" s="10"/>
      <c r="C965" s="8"/>
      <c r="D965" s="8"/>
    </row>
    <row r="966" spans="1:4" ht="14.25" customHeight="1" x14ac:dyDescent="0.25">
      <c r="A966" s="8"/>
      <c r="B966" s="10"/>
      <c r="C966" s="8"/>
      <c r="D966" s="8"/>
    </row>
    <row r="967" spans="1:4" ht="14.25" customHeight="1" x14ac:dyDescent="0.25">
      <c r="A967" s="8"/>
      <c r="B967" s="10"/>
      <c r="C967" s="8"/>
      <c r="D967" s="8"/>
    </row>
    <row r="968" spans="1:4" ht="14.25" customHeight="1" x14ac:dyDescent="0.25">
      <c r="A968" s="8"/>
      <c r="B968" s="10"/>
      <c r="C968" s="8"/>
      <c r="D968" s="8"/>
    </row>
    <row r="969" spans="1:4" ht="14.25" customHeight="1" x14ac:dyDescent="0.25">
      <c r="A969" s="8"/>
      <c r="B969" s="10"/>
      <c r="C969" s="8"/>
      <c r="D969" s="8"/>
    </row>
    <row r="970" spans="1:4" ht="14.25" customHeight="1" x14ac:dyDescent="0.25">
      <c r="A970" s="8"/>
      <c r="B970" s="10"/>
      <c r="C970" s="8"/>
      <c r="D970" s="8"/>
    </row>
    <row r="971" spans="1:4" ht="14.25" customHeight="1" x14ac:dyDescent="0.25">
      <c r="A971" s="8"/>
      <c r="B971" s="10"/>
      <c r="C971" s="8"/>
      <c r="D971" s="8"/>
    </row>
    <row r="972" spans="1:4" ht="14.25" customHeight="1" x14ac:dyDescent="0.25">
      <c r="A972" s="8"/>
      <c r="B972" s="10"/>
      <c r="C972" s="8"/>
      <c r="D972" s="8"/>
    </row>
    <row r="973" spans="1:4" ht="14.25" customHeight="1" x14ac:dyDescent="0.25">
      <c r="A973" s="8"/>
      <c r="B973" s="10"/>
      <c r="C973" s="8"/>
      <c r="D973" s="8"/>
    </row>
    <row r="974" spans="1:4" ht="14.25" customHeight="1" x14ac:dyDescent="0.25">
      <c r="A974" s="8"/>
      <c r="B974" s="10"/>
      <c r="C974" s="8"/>
      <c r="D974" s="8"/>
    </row>
    <row r="975" spans="1:4" ht="14.25" customHeight="1" x14ac:dyDescent="0.25">
      <c r="A975" s="8"/>
      <c r="B975" s="10"/>
      <c r="C975" s="8"/>
      <c r="D975" s="8"/>
    </row>
    <row r="976" spans="1:4" ht="14.25" customHeight="1" x14ac:dyDescent="0.25">
      <c r="A976" s="8"/>
      <c r="B976" s="10"/>
      <c r="C976" s="8"/>
      <c r="D976" s="8"/>
    </row>
    <row r="977" spans="1:4" ht="14.25" customHeight="1" x14ac:dyDescent="0.25">
      <c r="A977" s="8"/>
      <c r="B977" s="10"/>
      <c r="C977" s="8"/>
      <c r="D977" s="8"/>
    </row>
    <row r="978" spans="1:4" ht="14.25" customHeight="1" x14ac:dyDescent="0.25">
      <c r="A978" s="8"/>
      <c r="B978" s="10"/>
      <c r="C978" s="8"/>
      <c r="D978" s="8"/>
    </row>
    <row r="979" spans="1:4" ht="14.25" customHeight="1" x14ac:dyDescent="0.25">
      <c r="A979" s="8"/>
      <c r="B979" s="10"/>
      <c r="C979" s="8"/>
      <c r="D979" s="8"/>
    </row>
    <row r="980" spans="1:4" ht="14.25" customHeight="1" x14ac:dyDescent="0.25">
      <c r="A980" s="8"/>
      <c r="B980" s="10"/>
      <c r="C980" s="8"/>
      <c r="D980" s="8"/>
    </row>
    <row r="981" spans="1:4" ht="14.25" customHeight="1" x14ac:dyDescent="0.25">
      <c r="A981" s="8"/>
      <c r="B981" s="10"/>
      <c r="C981" s="8"/>
      <c r="D981" s="8"/>
    </row>
    <row r="982" spans="1:4" ht="14.25" customHeight="1" x14ac:dyDescent="0.25">
      <c r="A982" s="8"/>
      <c r="B982" s="10"/>
      <c r="C982" s="8"/>
      <c r="D982" s="8"/>
    </row>
    <row r="983" spans="1:4" ht="14.25" customHeight="1" x14ac:dyDescent="0.25">
      <c r="A983" s="8"/>
      <c r="B983" s="10"/>
      <c r="C983" s="8"/>
      <c r="D983" s="8"/>
    </row>
    <row r="984" spans="1:4" ht="14.25" customHeight="1" x14ac:dyDescent="0.25">
      <c r="A984" s="8"/>
      <c r="B984" s="10"/>
      <c r="C984" s="8"/>
      <c r="D984" s="8"/>
    </row>
    <row r="985" spans="1:4" ht="14.25" customHeight="1" x14ac:dyDescent="0.25">
      <c r="A985" s="8"/>
      <c r="B985" s="10"/>
      <c r="C985" s="8"/>
      <c r="D985" s="8"/>
    </row>
    <row r="986" spans="1:4" ht="14.25" customHeight="1" x14ac:dyDescent="0.25">
      <c r="A986" s="8"/>
      <c r="B986" s="10"/>
      <c r="C986" s="8"/>
      <c r="D986" s="8"/>
    </row>
    <row r="987" spans="1:4" ht="14.25" customHeight="1" x14ac:dyDescent="0.25">
      <c r="A987" s="8"/>
      <c r="B987" s="10"/>
      <c r="C987" s="8"/>
      <c r="D987" s="8"/>
    </row>
    <row r="988" spans="1:4" ht="14.25" customHeight="1" x14ac:dyDescent="0.25">
      <c r="A988" s="8"/>
      <c r="B988" s="10"/>
      <c r="C988" s="8"/>
      <c r="D988" s="8"/>
    </row>
    <row r="989" spans="1:4" ht="14.25" customHeight="1" x14ac:dyDescent="0.25">
      <c r="A989" s="8"/>
      <c r="B989" s="10"/>
      <c r="C989" s="8"/>
      <c r="D989" s="8"/>
    </row>
    <row r="990" spans="1:4" ht="14.25" customHeight="1" x14ac:dyDescent="0.25">
      <c r="A990" s="8"/>
      <c r="B990" s="10"/>
      <c r="C990" s="8"/>
      <c r="D990" s="8"/>
    </row>
    <row r="991" spans="1:4" ht="14.25" customHeight="1" x14ac:dyDescent="0.25">
      <c r="A991" s="8"/>
      <c r="B991" s="10"/>
      <c r="C991" s="8"/>
      <c r="D991" s="8"/>
    </row>
    <row r="992" spans="1:4" ht="14.25" customHeight="1" x14ac:dyDescent="0.25">
      <c r="A992" s="8"/>
      <c r="B992" s="10"/>
      <c r="C992" s="8"/>
      <c r="D992" s="8"/>
    </row>
    <row r="993" spans="1:4" ht="14.25" customHeight="1" x14ac:dyDescent="0.25">
      <c r="A993" s="8"/>
      <c r="B993" s="10"/>
      <c r="C993" s="8"/>
      <c r="D993" s="8"/>
    </row>
    <row r="994" spans="1:4" ht="14.25" customHeight="1" x14ac:dyDescent="0.25">
      <c r="A994" s="8"/>
      <c r="B994" s="10"/>
      <c r="C994" s="8"/>
      <c r="D994" s="8"/>
    </row>
    <row r="995" spans="1:4" ht="14.25" customHeight="1" x14ac:dyDescent="0.25">
      <c r="A995" s="8"/>
      <c r="B995" s="10"/>
      <c r="C995" s="8"/>
      <c r="D995" s="8"/>
    </row>
    <row r="996" spans="1:4" ht="14.25" customHeight="1" x14ac:dyDescent="0.25">
      <c r="A996" s="8"/>
      <c r="B996" s="10"/>
      <c r="C996" s="8"/>
      <c r="D996" s="8"/>
    </row>
    <row r="997" spans="1:4" ht="14.25" customHeight="1" x14ac:dyDescent="0.25">
      <c r="A997" s="8"/>
      <c r="B997" s="10"/>
      <c r="C997" s="8"/>
      <c r="D997" s="8"/>
    </row>
    <row r="998" spans="1:4" ht="14.25" customHeight="1" x14ac:dyDescent="0.25">
      <c r="A998" s="8"/>
      <c r="B998" s="10"/>
      <c r="C998" s="8"/>
      <c r="D998" s="8"/>
    </row>
    <row r="999" spans="1:4" ht="14.25" customHeight="1" x14ac:dyDescent="0.25">
      <c r="A999" s="8"/>
      <c r="B999" s="10"/>
      <c r="C999" s="8"/>
      <c r="D999" s="8"/>
    </row>
    <row r="1000" spans="1:4" ht="14.25" customHeight="1" x14ac:dyDescent="0.25">
      <c r="A1000" s="8"/>
      <c r="B1000" s="10"/>
      <c r="C1000" s="8"/>
      <c r="D1000" s="8"/>
    </row>
  </sheetData>
  <phoneticPr fontId="1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E1005"/>
  <sheetViews>
    <sheetView topLeftCell="A13" workbookViewId="0"/>
  </sheetViews>
  <sheetFormatPr defaultColWidth="14.42578125" defaultRowHeight="15" x14ac:dyDescent="0.25"/>
  <cols>
    <col min="1" max="1" width="21.7109375" customWidth="1"/>
    <col min="2" max="4" width="8.7109375" customWidth="1"/>
    <col min="5" max="5" width="9" customWidth="1"/>
    <col min="6" max="8" width="8.7109375" customWidth="1"/>
    <col min="9" max="9" width="25.140625" customWidth="1"/>
    <col min="10" max="30" width="8.7109375" customWidth="1"/>
    <col min="31" max="31" width="7.5703125" customWidth="1"/>
  </cols>
  <sheetData>
    <row r="1" spans="1:12" ht="14.25" customHeight="1" x14ac:dyDescent="0.25">
      <c r="A1" s="8" t="s">
        <v>51</v>
      </c>
      <c r="B1" s="8" t="s">
        <v>52</v>
      </c>
      <c r="C1" s="8" t="s">
        <v>54</v>
      </c>
      <c r="D1" s="8" t="s">
        <v>55</v>
      </c>
      <c r="E1" s="9" t="s">
        <v>16</v>
      </c>
      <c r="F1" s="8" t="s">
        <v>60</v>
      </c>
      <c r="G1" s="8" t="s">
        <v>61</v>
      </c>
      <c r="H1" s="8" t="s">
        <v>56</v>
      </c>
      <c r="I1" s="2" t="s">
        <v>303</v>
      </c>
      <c r="J1" s="2" t="s">
        <v>304</v>
      </c>
      <c r="K1" s="2" t="s">
        <v>3</v>
      </c>
    </row>
    <row r="2" spans="1:12" ht="14.25" customHeight="1" x14ac:dyDescent="0.25">
      <c r="A2" s="8" t="s">
        <v>95</v>
      </c>
      <c r="B2" s="8">
        <v>2025</v>
      </c>
      <c r="C2" s="8" t="s">
        <v>96</v>
      </c>
      <c r="D2" s="8" t="s">
        <v>46</v>
      </c>
      <c r="E2" s="9" t="s">
        <v>305</v>
      </c>
      <c r="F2" s="8">
        <f t="shared" ref="F2:F52" si="0">IF(ISNUMBER(FIND("-", E2)), LEFT(E2, FIND("-", E2) - 1) * 1, E2 * 1)</f>
        <v>4</v>
      </c>
      <c r="G2" s="8">
        <f t="shared" ref="G2:G52" si="1">IF(ISNUMBER(FIND("-", E2)), MID(E2, FIND("-", E2) + 1, LEN(E2)) * 1, E2 * 1)</f>
        <v>17</v>
      </c>
      <c r="H2" s="8">
        <f t="shared" ref="H2:H52" si="2">IF(ISNUMBER(FIND("-",E2)),(LEFT(E2,FIND("-",E2)-1) + MID(E2,FIND("-",E2)+1,LEN(E2))) / 2,E2*1)</f>
        <v>10.5</v>
      </c>
      <c r="I2" s="1">
        <v>10.029999999999999</v>
      </c>
      <c r="J2" s="1">
        <v>23844</v>
      </c>
      <c r="L2" s="2" t="s">
        <v>306</v>
      </c>
    </row>
    <row r="3" spans="1:12" ht="14.25" customHeight="1" x14ac:dyDescent="0.25">
      <c r="A3" s="8" t="s">
        <v>95</v>
      </c>
      <c r="B3" s="8">
        <v>2025</v>
      </c>
      <c r="C3" s="8" t="s">
        <v>96</v>
      </c>
      <c r="D3" s="8" t="s">
        <v>47</v>
      </c>
      <c r="E3" s="9" t="s">
        <v>305</v>
      </c>
      <c r="F3" s="8">
        <f t="shared" si="0"/>
        <v>4</v>
      </c>
      <c r="G3" s="8">
        <f t="shared" si="1"/>
        <v>17</v>
      </c>
      <c r="H3" s="8">
        <f t="shared" si="2"/>
        <v>10.5</v>
      </c>
      <c r="I3" s="1">
        <v>10.029999999999999</v>
      </c>
      <c r="J3" s="1">
        <v>23844</v>
      </c>
      <c r="L3" s="2" t="s">
        <v>306</v>
      </c>
    </row>
    <row r="4" spans="1:12" ht="14.25" customHeight="1" x14ac:dyDescent="0.25">
      <c r="A4" s="8" t="s">
        <v>95</v>
      </c>
      <c r="B4" s="8">
        <v>2025</v>
      </c>
      <c r="C4" s="8" t="s">
        <v>96</v>
      </c>
      <c r="D4" s="8" t="s">
        <v>48</v>
      </c>
      <c r="E4" s="9" t="s">
        <v>305</v>
      </c>
      <c r="F4" s="8">
        <f t="shared" si="0"/>
        <v>4</v>
      </c>
      <c r="G4" s="8">
        <f t="shared" si="1"/>
        <v>17</v>
      </c>
      <c r="H4" s="8">
        <f t="shared" si="2"/>
        <v>10.5</v>
      </c>
      <c r="I4" s="1">
        <v>10.029999999999999</v>
      </c>
      <c r="J4" s="1">
        <v>23844</v>
      </c>
      <c r="L4" s="2" t="s">
        <v>306</v>
      </c>
    </row>
    <row r="5" spans="1:12" ht="14.25" customHeight="1" x14ac:dyDescent="0.25">
      <c r="A5" s="8" t="s">
        <v>98</v>
      </c>
      <c r="B5" s="8">
        <v>2025</v>
      </c>
      <c r="C5" s="8" t="s">
        <v>70</v>
      </c>
      <c r="D5" s="8" t="s">
        <v>48</v>
      </c>
      <c r="E5" s="9" t="s">
        <v>307</v>
      </c>
      <c r="F5" s="8">
        <f t="shared" si="0"/>
        <v>4</v>
      </c>
      <c r="G5" s="8">
        <f t="shared" si="1"/>
        <v>4</v>
      </c>
      <c r="H5" s="8">
        <f t="shared" si="2"/>
        <v>4</v>
      </c>
      <c r="I5" s="1">
        <v>9.6999999999999993</v>
      </c>
      <c r="J5" s="1">
        <v>605.21</v>
      </c>
      <c r="L5" s="2" t="s">
        <v>308</v>
      </c>
    </row>
    <row r="6" spans="1:12" ht="14.25" customHeight="1" x14ac:dyDescent="0.25">
      <c r="A6" s="8" t="s">
        <v>98</v>
      </c>
      <c r="B6" s="8">
        <v>2025</v>
      </c>
      <c r="C6" s="8" t="s">
        <v>70</v>
      </c>
      <c r="D6" s="8" t="s">
        <v>48</v>
      </c>
      <c r="E6" s="9" t="s">
        <v>309</v>
      </c>
      <c r="F6" s="8">
        <f t="shared" si="0"/>
        <v>24</v>
      </c>
      <c r="G6" s="8">
        <f t="shared" si="1"/>
        <v>24</v>
      </c>
      <c r="H6" s="8">
        <f t="shared" si="2"/>
        <v>24</v>
      </c>
      <c r="I6" s="1">
        <v>9.6999999999999993</v>
      </c>
      <c r="J6" s="1">
        <v>605.21</v>
      </c>
      <c r="L6" s="2" t="s">
        <v>308</v>
      </c>
    </row>
    <row r="7" spans="1:12" ht="14.25" customHeight="1" x14ac:dyDescent="0.25">
      <c r="A7" s="8" t="s">
        <v>98</v>
      </c>
      <c r="B7" s="8">
        <v>2025</v>
      </c>
      <c r="C7" s="8" t="s">
        <v>70</v>
      </c>
      <c r="D7" s="8" t="s">
        <v>48</v>
      </c>
      <c r="E7" s="9" t="s">
        <v>310</v>
      </c>
      <c r="F7" s="8">
        <f t="shared" si="0"/>
        <v>52</v>
      </c>
      <c r="G7" s="8">
        <f t="shared" si="1"/>
        <v>52</v>
      </c>
      <c r="H7" s="8">
        <f t="shared" si="2"/>
        <v>52</v>
      </c>
      <c r="I7" s="1">
        <v>9.6999999999999993</v>
      </c>
      <c r="J7" s="1">
        <v>605.21</v>
      </c>
      <c r="L7" s="2" t="s">
        <v>308</v>
      </c>
    </row>
    <row r="8" spans="1:12" ht="14.25" customHeight="1" x14ac:dyDescent="0.25">
      <c r="A8" s="8" t="s">
        <v>186</v>
      </c>
      <c r="B8" s="8">
        <v>2024</v>
      </c>
      <c r="C8" s="8" t="s">
        <v>208</v>
      </c>
      <c r="D8" s="8" t="s">
        <v>46</v>
      </c>
      <c r="E8" s="9">
        <v>19</v>
      </c>
      <c r="F8" s="8">
        <f t="shared" si="0"/>
        <v>19</v>
      </c>
      <c r="G8" s="8">
        <f t="shared" si="1"/>
        <v>19</v>
      </c>
      <c r="H8" s="8">
        <f t="shared" si="2"/>
        <v>19</v>
      </c>
      <c r="I8" s="1">
        <v>4.5</v>
      </c>
      <c r="J8" s="1" t="s">
        <v>311</v>
      </c>
      <c r="K8" s="2" t="s">
        <v>312</v>
      </c>
    </row>
    <row r="9" spans="1:12" ht="14.25" customHeight="1" x14ac:dyDescent="0.25">
      <c r="A9" s="8" t="s">
        <v>186</v>
      </c>
      <c r="B9" s="8">
        <v>2024</v>
      </c>
      <c r="C9" s="8" t="s">
        <v>208</v>
      </c>
      <c r="D9" s="8" t="s">
        <v>46</v>
      </c>
      <c r="E9" s="9">
        <v>23</v>
      </c>
      <c r="F9" s="8">
        <f t="shared" si="0"/>
        <v>23</v>
      </c>
      <c r="G9" s="8">
        <f t="shared" si="1"/>
        <v>23</v>
      </c>
      <c r="H9" s="8">
        <f t="shared" si="2"/>
        <v>23</v>
      </c>
      <c r="I9" s="1">
        <v>7</v>
      </c>
      <c r="J9" s="1" t="s">
        <v>311</v>
      </c>
      <c r="K9" s="2" t="s">
        <v>313</v>
      </c>
    </row>
    <row r="10" spans="1:12" ht="14.25" customHeight="1" x14ac:dyDescent="0.25">
      <c r="A10" s="8" t="s">
        <v>186</v>
      </c>
      <c r="B10" s="8">
        <v>2024</v>
      </c>
      <c r="C10" s="8" t="s">
        <v>208</v>
      </c>
      <c r="D10" s="8" t="s">
        <v>46</v>
      </c>
      <c r="E10" s="9">
        <v>56</v>
      </c>
      <c r="F10" s="8">
        <f t="shared" si="0"/>
        <v>56</v>
      </c>
      <c r="G10" s="8">
        <f t="shared" si="1"/>
        <v>56</v>
      </c>
      <c r="H10" s="8">
        <f t="shared" si="2"/>
        <v>56</v>
      </c>
      <c r="I10" s="1">
        <v>4.5</v>
      </c>
      <c r="J10" s="1" t="s">
        <v>311</v>
      </c>
      <c r="K10" s="2" t="s">
        <v>314</v>
      </c>
    </row>
    <row r="11" spans="1:12" ht="14.25" customHeight="1" x14ac:dyDescent="0.25">
      <c r="A11" s="8" t="s">
        <v>186</v>
      </c>
      <c r="B11" s="8">
        <v>2024</v>
      </c>
      <c r="C11" s="8" t="s">
        <v>208</v>
      </c>
      <c r="D11" s="8" t="s">
        <v>46</v>
      </c>
      <c r="E11" s="9">
        <v>61</v>
      </c>
      <c r="F11" s="8">
        <f t="shared" si="0"/>
        <v>61</v>
      </c>
      <c r="G11" s="8">
        <f t="shared" si="1"/>
        <v>61</v>
      </c>
      <c r="H11" s="8">
        <f t="shared" si="2"/>
        <v>61</v>
      </c>
      <c r="I11" s="1">
        <v>7</v>
      </c>
      <c r="J11" s="1" t="s">
        <v>311</v>
      </c>
      <c r="K11" s="2" t="s">
        <v>314</v>
      </c>
    </row>
    <row r="12" spans="1:12" ht="14.25" customHeight="1" x14ac:dyDescent="0.25">
      <c r="A12" s="8" t="s">
        <v>186</v>
      </c>
      <c r="B12" s="8">
        <v>2024</v>
      </c>
      <c r="C12" s="8" t="s">
        <v>208</v>
      </c>
      <c r="D12" s="8" t="s">
        <v>47</v>
      </c>
      <c r="E12" s="9">
        <v>19</v>
      </c>
      <c r="F12" s="8">
        <f t="shared" si="0"/>
        <v>19</v>
      </c>
      <c r="G12" s="8">
        <f t="shared" si="1"/>
        <v>19</v>
      </c>
      <c r="H12" s="8">
        <f t="shared" si="2"/>
        <v>19</v>
      </c>
      <c r="I12" s="1">
        <v>4.5</v>
      </c>
      <c r="J12" s="1" t="s">
        <v>311</v>
      </c>
      <c r="K12" s="2" t="s">
        <v>312</v>
      </c>
    </row>
    <row r="13" spans="1:12" ht="14.25" customHeight="1" x14ac:dyDescent="0.25">
      <c r="A13" s="8" t="s">
        <v>186</v>
      </c>
      <c r="B13" s="8">
        <v>2024</v>
      </c>
      <c r="C13" s="8" t="s">
        <v>208</v>
      </c>
      <c r="D13" s="8" t="s">
        <v>47</v>
      </c>
      <c r="E13" s="9">
        <v>23</v>
      </c>
      <c r="F13" s="8">
        <f t="shared" si="0"/>
        <v>23</v>
      </c>
      <c r="G13" s="8">
        <f t="shared" si="1"/>
        <v>23</v>
      </c>
      <c r="H13" s="8">
        <f t="shared" si="2"/>
        <v>23</v>
      </c>
      <c r="I13" s="1">
        <v>7</v>
      </c>
      <c r="J13" s="1" t="s">
        <v>311</v>
      </c>
      <c r="K13" s="2" t="s">
        <v>312</v>
      </c>
    </row>
    <row r="14" spans="1:12" ht="14.25" customHeight="1" x14ac:dyDescent="0.25">
      <c r="A14" s="8" t="s">
        <v>186</v>
      </c>
      <c r="B14" s="8">
        <v>2024</v>
      </c>
      <c r="C14" s="8" t="s">
        <v>208</v>
      </c>
      <c r="D14" s="8" t="s">
        <v>47</v>
      </c>
      <c r="E14" s="9">
        <v>56</v>
      </c>
      <c r="F14" s="8">
        <f t="shared" si="0"/>
        <v>56</v>
      </c>
      <c r="G14" s="8">
        <f t="shared" si="1"/>
        <v>56</v>
      </c>
      <c r="H14" s="8">
        <f t="shared" si="2"/>
        <v>56</v>
      </c>
      <c r="I14" s="1">
        <v>4.5</v>
      </c>
      <c r="J14" s="1" t="s">
        <v>311</v>
      </c>
      <c r="K14" s="2" t="s">
        <v>314</v>
      </c>
    </row>
    <row r="15" spans="1:12" ht="14.25" customHeight="1" x14ac:dyDescent="0.25">
      <c r="A15" s="8" t="s">
        <v>186</v>
      </c>
      <c r="B15" s="8">
        <v>2024</v>
      </c>
      <c r="C15" s="8" t="s">
        <v>208</v>
      </c>
      <c r="D15" s="8" t="s">
        <v>47</v>
      </c>
      <c r="E15" s="9">
        <v>61</v>
      </c>
      <c r="F15" s="8">
        <f t="shared" si="0"/>
        <v>61</v>
      </c>
      <c r="G15" s="8">
        <f t="shared" si="1"/>
        <v>61</v>
      </c>
      <c r="H15" s="8">
        <f t="shared" si="2"/>
        <v>61</v>
      </c>
      <c r="I15" s="1">
        <v>7</v>
      </c>
      <c r="J15" s="1" t="s">
        <v>311</v>
      </c>
      <c r="K15" s="2" t="s">
        <v>314</v>
      </c>
    </row>
    <row r="16" spans="1:12" ht="14.25" customHeight="1" x14ac:dyDescent="0.25">
      <c r="A16" s="8" t="s">
        <v>315</v>
      </c>
      <c r="B16" s="8">
        <v>2024</v>
      </c>
      <c r="C16" s="8" t="s">
        <v>88</v>
      </c>
      <c r="D16" s="8" t="s">
        <v>48</v>
      </c>
      <c r="E16" s="9">
        <v>15</v>
      </c>
      <c r="F16" s="8">
        <f t="shared" si="0"/>
        <v>15</v>
      </c>
      <c r="G16" s="8">
        <f t="shared" si="1"/>
        <v>15</v>
      </c>
      <c r="H16" s="8">
        <f t="shared" si="2"/>
        <v>15</v>
      </c>
      <c r="I16" s="1">
        <v>33.43</v>
      </c>
      <c r="J16" s="1">
        <v>6392</v>
      </c>
      <c r="L16" s="2" t="s">
        <v>316</v>
      </c>
    </row>
    <row r="17" spans="1:31" ht="14.25" customHeight="1" x14ac:dyDescent="0.25">
      <c r="A17" s="8" t="s">
        <v>231</v>
      </c>
      <c r="B17" s="8">
        <v>2023</v>
      </c>
      <c r="C17" s="8" t="s">
        <v>70</v>
      </c>
      <c r="D17" s="8" t="s">
        <v>46</v>
      </c>
      <c r="E17" s="9">
        <v>9</v>
      </c>
      <c r="F17" s="8">
        <f t="shared" si="0"/>
        <v>9</v>
      </c>
      <c r="G17" s="8">
        <f t="shared" si="1"/>
        <v>9</v>
      </c>
      <c r="H17" s="8">
        <f t="shared" si="2"/>
        <v>9</v>
      </c>
      <c r="I17" s="1">
        <v>26.04</v>
      </c>
      <c r="J17" s="1">
        <v>12658</v>
      </c>
      <c r="L17" s="2" t="s">
        <v>317</v>
      </c>
    </row>
    <row r="18" spans="1:31" ht="14.25" customHeight="1" x14ac:dyDescent="0.25">
      <c r="A18" s="8" t="s">
        <v>231</v>
      </c>
      <c r="B18" s="8">
        <v>2023</v>
      </c>
      <c r="C18" s="8" t="s">
        <v>70</v>
      </c>
      <c r="D18" s="8" t="s">
        <v>47</v>
      </c>
      <c r="E18" s="9">
        <v>9</v>
      </c>
      <c r="F18" s="8">
        <f t="shared" si="0"/>
        <v>9</v>
      </c>
      <c r="G18" s="8">
        <f t="shared" si="1"/>
        <v>9</v>
      </c>
      <c r="H18" s="8">
        <f t="shared" si="2"/>
        <v>9</v>
      </c>
      <c r="I18" s="1">
        <v>26.04</v>
      </c>
      <c r="J18" s="1">
        <v>12658</v>
      </c>
      <c r="L18" s="2" t="s">
        <v>317</v>
      </c>
    </row>
    <row r="19" spans="1:31" ht="14.25" customHeight="1" x14ac:dyDescent="0.25">
      <c r="A19" s="8" t="s">
        <v>231</v>
      </c>
      <c r="B19" s="8">
        <v>2023</v>
      </c>
      <c r="C19" s="8" t="s">
        <v>70</v>
      </c>
      <c r="D19" s="8" t="s">
        <v>48</v>
      </c>
      <c r="E19" s="9">
        <v>9</v>
      </c>
      <c r="F19" s="8">
        <f t="shared" si="0"/>
        <v>9</v>
      </c>
      <c r="G19" s="8">
        <f t="shared" si="1"/>
        <v>9</v>
      </c>
      <c r="H19" s="8">
        <f t="shared" si="2"/>
        <v>9</v>
      </c>
      <c r="I19" s="1">
        <v>26.04</v>
      </c>
      <c r="J19" s="1">
        <v>12658</v>
      </c>
      <c r="L19" s="2" t="s">
        <v>317</v>
      </c>
    </row>
    <row r="20" spans="1:31" ht="14.25" customHeight="1" x14ac:dyDescent="0.25">
      <c r="A20" s="8" t="s">
        <v>235</v>
      </c>
      <c r="B20" s="8">
        <v>2023</v>
      </c>
      <c r="C20" s="8" t="s">
        <v>142</v>
      </c>
      <c r="D20" s="8" t="s">
        <v>46</v>
      </c>
      <c r="E20" s="9">
        <v>100</v>
      </c>
      <c r="F20" s="8">
        <f t="shared" si="0"/>
        <v>100</v>
      </c>
      <c r="G20" s="8">
        <f t="shared" si="1"/>
        <v>100</v>
      </c>
      <c r="H20" s="8">
        <f t="shared" si="2"/>
        <v>100</v>
      </c>
      <c r="I20" s="1">
        <v>11.3</v>
      </c>
      <c r="J20" s="1">
        <v>7110</v>
      </c>
      <c r="L20" s="2" t="s">
        <v>318</v>
      </c>
    </row>
    <row r="21" spans="1:31" ht="14.25" customHeight="1" x14ac:dyDescent="0.25">
      <c r="A21" s="8" t="s">
        <v>186</v>
      </c>
      <c r="B21" s="8">
        <v>2022</v>
      </c>
      <c r="C21" s="8" t="s">
        <v>208</v>
      </c>
      <c r="D21" s="8" t="s">
        <v>46</v>
      </c>
      <c r="E21" s="9">
        <v>19</v>
      </c>
      <c r="F21" s="8">
        <f t="shared" si="0"/>
        <v>19</v>
      </c>
      <c r="G21" s="8">
        <f t="shared" si="1"/>
        <v>19</v>
      </c>
      <c r="H21" s="8">
        <f t="shared" si="2"/>
        <v>19</v>
      </c>
      <c r="I21" s="1">
        <v>4.5</v>
      </c>
      <c r="J21" s="1" t="s">
        <v>311</v>
      </c>
      <c r="K21" s="2" t="s">
        <v>211</v>
      </c>
    </row>
    <row r="22" spans="1:31" ht="14.25" customHeight="1" x14ac:dyDescent="0.25">
      <c r="A22" s="8" t="s">
        <v>186</v>
      </c>
      <c r="B22" s="8">
        <v>2022</v>
      </c>
      <c r="C22" s="8" t="s">
        <v>208</v>
      </c>
      <c r="D22" s="8" t="s">
        <v>46</v>
      </c>
      <c r="E22" s="9">
        <v>23</v>
      </c>
      <c r="F22" s="8">
        <f t="shared" si="0"/>
        <v>23</v>
      </c>
      <c r="G22" s="8">
        <f t="shared" si="1"/>
        <v>23</v>
      </c>
      <c r="H22" s="8">
        <f t="shared" si="2"/>
        <v>23</v>
      </c>
      <c r="I22" s="1">
        <v>7</v>
      </c>
      <c r="J22" s="1" t="s">
        <v>311</v>
      </c>
      <c r="K22" s="2" t="s">
        <v>211</v>
      </c>
    </row>
    <row r="23" spans="1:31" ht="14.25" customHeight="1" x14ac:dyDescent="0.25">
      <c r="A23" s="8" t="s">
        <v>186</v>
      </c>
      <c r="B23" s="8">
        <v>2022</v>
      </c>
      <c r="C23" s="8" t="s">
        <v>208</v>
      </c>
      <c r="D23" s="8" t="s">
        <v>46</v>
      </c>
      <c r="E23" s="9">
        <v>56</v>
      </c>
      <c r="F23" s="8">
        <f t="shared" si="0"/>
        <v>56</v>
      </c>
      <c r="G23" s="8">
        <f t="shared" si="1"/>
        <v>56</v>
      </c>
      <c r="H23" s="8">
        <f t="shared" si="2"/>
        <v>56</v>
      </c>
      <c r="I23" s="1">
        <v>4.5</v>
      </c>
      <c r="J23" s="1" t="s">
        <v>311</v>
      </c>
      <c r="K23" s="2" t="s">
        <v>213</v>
      </c>
    </row>
    <row r="24" spans="1:31" ht="14.25" customHeight="1" x14ac:dyDescent="0.25">
      <c r="A24" s="8" t="s">
        <v>186</v>
      </c>
      <c r="B24" s="8">
        <v>2022</v>
      </c>
      <c r="C24" s="8" t="s">
        <v>208</v>
      </c>
      <c r="D24" s="8" t="s">
        <v>46</v>
      </c>
      <c r="E24" s="9">
        <v>61</v>
      </c>
      <c r="F24" s="8">
        <f t="shared" si="0"/>
        <v>61</v>
      </c>
      <c r="G24" s="8">
        <f t="shared" si="1"/>
        <v>61</v>
      </c>
      <c r="H24" s="8">
        <f t="shared" si="2"/>
        <v>61</v>
      </c>
      <c r="I24" s="1">
        <v>7</v>
      </c>
      <c r="J24" s="1" t="s">
        <v>311</v>
      </c>
      <c r="K24" s="2" t="s">
        <v>213</v>
      </c>
    </row>
    <row r="25" spans="1:31" ht="14.25" customHeight="1" x14ac:dyDescent="0.25">
      <c r="A25" s="8" t="s">
        <v>319</v>
      </c>
      <c r="B25" s="8">
        <v>2022</v>
      </c>
      <c r="C25" s="8" t="s">
        <v>70</v>
      </c>
      <c r="D25" s="8" t="s">
        <v>46</v>
      </c>
      <c r="E25" s="9">
        <v>12</v>
      </c>
      <c r="F25" s="8">
        <f t="shared" si="0"/>
        <v>12</v>
      </c>
      <c r="G25" s="8">
        <f t="shared" si="1"/>
        <v>12</v>
      </c>
      <c r="H25" s="8">
        <f t="shared" si="2"/>
        <v>12</v>
      </c>
      <c r="I25" s="1">
        <v>25</v>
      </c>
      <c r="J25" s="1">
        <v>12658</v>
      </c>
      <c r="L25" s="2" t="s">
        <v>317</v>
      </c>
    </row>
    <row r="26" spans="1:31" ht="14.25" customHeight="1" x14ac:dyDescent="0.25">
      <c r="A26" s="8" t="s">
        <v>319</v>
      </c>
      <c r="B26" s="8">
        <v>2022</v>
      </c>
      <c r="C26" s="8" t="s">
        <v>70</v>
      </c>
      <c r="D26" s="8" t="s">
        <v>48</v>
      </c>
      <c r="E26" s="9">
        <v>12</v>
      </c>
      <c r="F26" s="8">
        <f t="shared" si="0"/>
        <v>12</v>
      </c>
      <c r="G26" s="8">
        <f t="shared" si="1"/>
        <v>12</v>
      </c>
      <c r="H26" s="8">
        <f t="shared" si="2"/>
        <v>12</v>
      </c>
      <c r="I26" s="1">
        <v>25</v>
      </c>
      <c r="J26" s="1">
        <v>12658</v>
      </c>
      <c r="L26" s="2" t="s">
        <v>317</v>
      </c>
    </row>
    <row r="27" spans="1:31" ht="14.25" customHeight="1" x14ac:dyDescent="0.25">
      <c r="A27" s="8" t="s">
        <v>236</v>
      </c>
      <c r="B27" s="8">
        <v>2022</v>
      </c>
      <c r="C27" s="8" t="s">
        <v>75</v>
      </c>
      <c r="D27" s="8" t="s">
        <v>46</v>
      </c>
      <c r="E27" s="9">
        <v>20</v>
      </c>
      <c r="F27" s="8">
        <f t="shared" si="0"/>
        <v>20</v>
      </c>
      <c r="G27" s="8">
        <f t="shared" si="1"/>
        <v>20</v>
      </c>
      <c r="H27" s="8">
        <f t="shared" si="2"/>
        <v>20</v>
      </c>
      <c r="I27" s="1">
        <v>6.41</v>
      </c>
      <c r="J27" s="1">
        <v>21690</v>
      </c>
      <c r="L27" s="2" t="s">
        <v>320</v>
      </c>
    </row>
    <row r="28" spans="1:31" ht="14.25" customHeight="1" x14ac:dyDescent="0.25">
      <c r="A28" s="8" t="s">
        <v>236</v>
      </c>
      <c r="B28" s="8">
        <v>2022</v>
      </c>
      <c r="C28" s="8" t="s">
        <v>75</v>
      </c>
      <c r="D28" s="8" t="s">
        <v>46</v>
      </c>
      <c r="E28" s="9">
        <v>30</v>
      </c>
      <c r="F28" s="8">
        <f t="shared" si="0"/>
        <v>30</v>
      </c>
      <c r="G28" s="8">
        <f t="shared" si="1"/>
        <v>30</v>
      </c>
      <c r="H28" s="8">
        <f t="shared" si="2"/>
        <v>30</v>
      </c>
      <c r="I28" s="1">
        <v>9.6199999999999992</v>
      </c>
      <c r="J28" s="1">
        <v>17930</v>
      </c>
      <c r="L28" s="2" t="s">
        <v>321</v>
      </c>
    </row>
    <row r="29" spans="1:31" ht="14.25" customHeight="1" x14ac:dyDescent="0.25">
      <c r="A29" s="8" t="s">
        <v>322</v>
      </c>
      <c r="B29" s="8">
        <v>2021</v>
      </c>
      <c r="C29" s="8" t="s">
        <v>75</v>
      </c>
      <c r="D29" s="8" t="s">
        <v>47</v>
      </c>
      <c r="E29" s="9" t="s">
        <v>323</v>
      </c>
      <c r="F29" s="8">
        <f t="shared" si="0"/>
        <v>0</v>
      </c>
      <c r="G29" s="8">
        <f t="shared" si="1"/>
        <v>60</v>
      </c>
      <c r="H29" s="8">
        <f t="shared" si="2"/>
        <v>30</v>
      </c>
      <c r="I29" s="1">
        <v>7.76</v>
      </c>
      <c r="J29" s="1">
        <v>18040</v>
      </c>
      <c r="L29" s="2" t="s">
        <v>324</v>
      </c>
    </row>
    <row r="30" spans="1:31" ht="14.25" customHeight="1" x14ac:dyDescent="0.25">
      <c r="A30" s="8" t="s">
        <v>254</v>
      </c>
      <c r="B30" s="8">
        <v>2021</v>
      </c>
      <c r="C30" s="8" t="s">
        <v>142</v>
      </c>
      <c r="D30" s="8" t="s">
        <v>47</v>
      </c>
      <c r="E30" s="9">
        <v>74</v>
      </c>
      <c r="F30" s="8">
        <f t="shared" si="0"/>
        <v>74</v>
      </c>
      <c r="G30" s="8">
        <f t="shared" si="1"/>
        <v>74</v>
      </c>
      <c r="H30" s="8">
        <f t="shared" si="2"/>
        <v>74</v>
      </c>
      <c r="I30" s="1">
        <v>4.82</v>
      </c>
      <c r="J30" s="1">
        <v>17529.41</v>
      </c>
      <c r="L30" s="2" t="s">
        <v>325</v>
      </c>
    </row>
    <row r="31" spans="1:31" ht="14.25" customHeight="1" x14ac:dyDescent="0.25">
      <c r="A31" s="8" t="s">
        <v>326</v>
      </c>
      <c r="B31" s="8">
        <v>2021</v>
      </c>
      <c r="C31" s="8" t="s">
        <v>75</v>
      </c>
      <c r="D31" s="8" t="s">
        <v>71</v>
      </c>
      <c r="E31" s="9" t="s">
        <v>67</v>
      </c>
      <c r="F31" s="8">
        <f t="shared" si="0"/>
        <v>5</v>
      </c>
      <c r="G31" s="8">
        <f t="shared" si="1"/>
        <v>20</v>
      </c>
      <c r="H31" s="8">
        <f t="shared" si="2"/>
        <v>12.5</v>
      </c>
      <c r="I31" s="1">
        <v>8.8000000000000007</v>
      </c>
      <c r="J31" s="1">
        <v>1223.5899999999999</v>
      </c>
      <c r="L31" s="2" t="s">
        <v>327</v>
      </c>
      <c r="N31" s="2" t="s">
        <v>328</v>
      </c>
      <c r="O31" s="2" t="s">
        <v>329</v>
      </c>
      <c r="P31" s="2" t="s">
        <v>330</v>
      </c>
      <c r="Q31" s="2" t="s">
        <v>331</v>
      </c>
      <c r="R31" s="2" t="s">
        <v>332</v>
      </c>
      <c r="S31" s="2" t="s">
        <v>333</v>
      </c>
      <c r="T31" s="2" t="s">
        <v>334</v>
      </c>
      <c r="U31" s="2" t="s">
        <v>335</v>
      </c>
      <c r="V31" s="2" t="s">
        <v>336</v>
      </c>
      <c r="W31" s="2" t="s">
        <v>337</v>
      </c>
      <c r="X31" s="2" t="s">
        <v>338</v>
      </c>
      <c r="Y31" s="2" t="s">
        <v>339</v>
      </c>
      <c r="Z31" s="2" t="s">
        <v>340</v>
      </c>
      <c r="AA31" s="2" t="s">
        <v>341</v>
      </c>
      <c r="AB31" s="2" t="s">
        <v>342</v>
      </c>
      <c r="AC31" s="2" t="s">
        <v>343</v>
      </c>
      <c r="AD31" s="2" t="s">
        <v>344</v>
      </c>
      <c r="AE31" s="2" t="s">
        <v>345</v>
      </c>
    </row>
    <row r="32" spans="1:31" ht="14.25" customHeight="1" x14ac:dyDescent="0.25">
      <c r="A32" s="8" t="s">
        <v>257</v>
      </c>
      <c r="B32" s="8">
        <v>2021</v>
      </c>
      <c r="C32" s="8" t="s">
        <v>75</v>
      </c>
      <c r="D32" s="8" t="s">
        <v>47</v>
      </c>
      <c r="E32" s="9" t="s">
        <v>346</v>
      </c>
      <c r="F32" s="8">
        <f t="shared" si="0"/>
        <v>50</v>
      </c>
      <c r="G32" s="8">
        <f t="shared" si="1"/>
        <v>400</v>
      </c>
      <c r="H32" s="8">
        <f t="shared" si="2"/>
        <v>225</v>
      </c>
      <c r="I32" s="1">
        <v>11.7</v>
      </c>
      <c r="J32" s="1">
        <v>48902</v>
      </c>
      <c r="L32" s="2" t="s">
        <v>347</v>
      </c>
      <c r="N32" s="2">
        <v>0.48</v>
      </c>
      <c r="O32" s="2">
        <v>0.13</v>
      </c>
      <c r="P32" s="2">
        <v>0.22</v>
      </c>
      <c r="Q32" s="2">
        <v>0.45</v>
      </c>
      <c r="R32" s="2">
        <v>1.58</v>
      </c>
      <c r="S32" s="2">
        <v>0.25</v>
      </c>
      <c r="T32" s="2">
        <v>1.1599999999999999</v>
      </c>
      <c r="U32" s="2">
        <v>0.8</v>
      </c>
      <c r="V32" s="2">
        <v>0.81</v>
      </c>
      <c r="W32" s="2">
        <v>0.73</v>
      </c>
      <c r="X32" s="2">
        <v>1.62</v>
      </c>
      <c r="Y32" s="2">
        <v>0.26</v>
      </c>
      <c r="Z32" s="2">
        <v>1.88</v>
      </c>
      <c r="AA32" s="2">
        <v>0.55000000000000004</v>
      </c>
      <c r="AB32" s="2">
        <v>0.28999999999999998</v>
      </c>
      <c r="AC32" s="2">
        <v>0.43</v>
      </c>
      <c r="AD32" s="2">
        <v>7.0000000000000007E-2</v>
      </c>
      <c r="AE32" s="2">
        <f t="shared" ref="AE32:AE33" si="3">SUM(N32:AD32)</f>
        <v>11.71</v>
      </c>
    </row>
    <row r="33" spans="1:31" ht="14.25" customHeight="1" x14ac:dyDescent="0.25">
      <c r="A33" s="8" t="s">
        <v>261</v>
      </c>
      <c r="B33" s="8">
        <v>2021</v>
      </c>
      <c r="C33" s="8" t="s">
        <v>75</v>
      </c>
      <c r="D33" s="8" t="s">
        <v>48</v>
      </c>
      <c r="E33" s="9" t="s">
        <v>348</v>
      </c>
      <c r="F33" s="8">
        <f t="shared" si="0"/>
        <v>50</v>
      </c>
      <c r="G33" s="8">
        <f t="shared" si="1"/>
        <v>100</v>
      </c>
      <c r="H33" s="8">
        <f t="shared" si="2"/>
        <v>75</v>
      </c>
      <c r="I33" s="1">
        <v>6.82</v>
      </c>
      <c r="J33" s="1">
        <v>22466</v>
      </c>
      <c r="L33" s="2" t="s">
        <v>349</v>
      </c>
      <c r="N33" s="2">
        <v>4082</v>
      </c>
      <c r="O33" s="2">
        <v>1953</v>
      </c>
      <c r="P33" s="2">
        <v>2621</v>
      </c>
      <c r="Q33" s="2">
        <v>2145</v>
      </c>
      <c r="R33" s="2">
        <v>2502</v>
      </c>
      <c r="S33" s="2">
        <v>1347</v>
      </c>
      <c r="T33" s="2">
        <v>1865</v>
      </c>
      <c r="U33" s="2">
        <v>3623</v>
      </c>
      <c r="V33" s="2">
        <v>122</v>
      </c>
      <c r="W33" s="2">
        <v>1163</v>
      </c>
      <c r="X33" s="2">
        <v>1911</v>
      </c>
      <c r="Y33" s="2">
        <v>1155</v>
      </c>
      <c r="Z33" s="2">
        <v>3344</v>
      </c>
      <c r="AA33" s="2">
        <v>3872</v>
      </c>
      <c r="AB33" s="2">
        <v>4996</v>
      </c>
      <c r="AC33" s="2">
        <v>8604</v>
      </c>
      <c r="AD33" s="2">
        <v>3597</v>
      </c>
      <c r="AE33" s="2">
        <f t="shared" si="3"/>
        <v>48902</v>
      </c>
    </row>
    <row r="34" spans="1:31" ht="14.25" customHeight="1" x14ac:dyDescent="0.25">
      <c r="A34" s="8" t="s">
        <v>264</v>
      </c>
      <c r="B34" s="8">
        <v>2021</v>
      </c>
      <c r="C34" s="8" t="s">
        <v>75</v>
      </c>
      <c r="D34" s="8" t="s">
        <v>48</v>
      </c>
      <c r="E34" s="9" t="s">
        <v>348</v>
      </c>
      <c r="F34" s="8">
        <f t="shared" si="0"/>
        <v>50</v>
      </c>
      <c r="G34" s="8">
        <f t="shared" si="1"/>
        <v>100</v>
      </c>
      <c r="H34" s="8">
        <f t="shared" si="2"/>
        <v>75</v>
      </c>
      <c r="I34" s="1">
        <v>3.9</v>
      </c>
      <c r="J34" s="1">
        <v>1290.5999999999999</v>
      </c>
      <c r="L34" s="2" t="s">
        <v>350</v>
      </c>
    </row>
    <row r="35" spans="1:31" ht="14.25" customHeight="1" x14ac:dyDescent="0.25">
      <c r="A35" s="8" t="s">
        <v>133</v>
      </c>
      <c r="B35" s="8">
        <v>2021</v>
      </c>
      <c r="C35" s="8" t="s">
        <v>351</v>
      </c>
      <c r="D35" s="8" t="s">
        <v>47</v>
      </c>
      <c r="E35" s="9" t="s">
        <v>352</v>
      </c>
      <c r="F35" s="8">
        <f t="shared" si="0"/>
        <v>4</v>
      </c>
      <c r="G35" s="8">
        <f t="shared" si="1"/>
        <v>130</v>
      </c>
      <c r="H35" s="8">
        <f t="shared" si="2"/>
        <v>67</v>
      </c>
      <c r="I35" s="1">
        <v>4.4000000000000004</v>
      </c>
      <c r="J35" s="1">
        <v>14882</v>
      </c>
      <c r="L35" s="2" t="s">
        <v>353</v>
      </c>
    </row>
    <row r="36" spans="1:31" ht="14.25" customHeight="1" x14ac:dyDescent="0.25">
      <c r="A36" s="8" t="s">
        <v>133</v>
      </c>
      <c r="B36" s="8">
        <v>2021</v>
      </c>
      <c r="C36" s="8" t="s">
        <v>351</v>
      </c>
      <c r="D36" s="8" t="s">
        <v>47</v>
      </c>
      <c r="E36" s="9" t="s">
        <v>352</v>
      </c>
      <c r="F36" s="8">
        <f t="shared" si="0"/>
        <v>4</v>
      </c>
      <c r="G36" s="8">
        <f t="shared" si="1"/>
        <v>130</v>
      </c>
      <c r="H36" s="8">
        <f t="shared" si="2"/>
        <v>67</v>
      </c>
      <c r="I36" s="1">
        <v>11.8</v>
      </c>
      <c r="J36" s="1">
        <v>12070</v>
      </c>
      <c r="L36" s="2" t="s">
        <v>354</v>
      </c>
    </row>
    <row r="37" spans="1:31" ht="14.25" customHeight="1" x14ac:dyDescent="0.25">
      <c r="A37" s="8" t="s">
        <v>133</v>
      </c>
      <c r="B37" s="8">
        <v>2021</v>
      </c>
      <c r="C37" s="8" t="s">
        <v>351</v>
      </c>
      <c r="D37" s="8" t="s">
        <v>47</v>
      </c>
      <c r="E37" s="9" t="s">
        <v>352</v>
      </c>
      <c r="F37" s="8">
        <f t="shared" si="0"/>
        <v>4</v>
      </c>
      <c r="G37" s="8">
        <f t="shared" si="1"/>
        <v>130</v>
      </c>
      <c r="H37" s="8">
        <f t="shared" si="2"/>
        <v>67</v>
      </c>
      <c r="I37" s="1">
        <v>7.9</v>
      </c>
      <c r="J37" s="1">
        <v>20724</v>
      </c>
      <c r="L37" s="2" t="s">
        <v>324</v>
      </c>
    </row>
    <row r="38" spans="1:31" ht="14.25" customHeight="1" x14ac:dyDescent="0.25">
      <c r="A38" s="8" t="s">
        <v>141</v>
      </c>
      <c r="B38" s="8">
        <v>2020</v>
      </c>
      <c r="C38" s="8" t="s">
        <v>142</v>
      </c>
      <c r="D38" s="8" t="s">
        <v>71</v>
      </c>
      <c r="E38" s="9" t="s">
        <v>355</v>
      </c>
      <c r="F38" s="8">
        <f t="shared" si="0"/>
        <v>10</v>
      </c>
      <c r="G38" s="8">
        <f t="shared" si="1"/>
        <v>100</v>
      </c>
      <c r="H38" s="8">
        <f t="shared" si="2"/>
        <v>55</v>
      </c>
      <c r="I38" s="1">
        <v>4.82</v>
      </c>
      <c r="J38" s="1">
        <v>17529.41</v>
      </c>
      <c r="L38" s="2" t="s">
        <v>325</v>
      </c>
    </row>
    <row r="39" spans="1:31" ht="14.25" customHeight="1" x14ac:dyDescent="0.25">
      <c r="A39" s="8" t="s">
        <v>143</v>
      </c>
      <c r="B39" s="8">
        <v>2020</v>
      </c>
      <c r="C39" s="8" t="s">
        <v>142</v>
      </c>
      <c r="D39" s="8" t="s">
        <v>46</v>
      </c>
      <c r="E39" s="9" t="s">
        <v>356</v>
      </c>
      <c r="F39" s="8">
        <f t="shared" si="0"/>
        <v>24</v>
      </c>
      <c r="G39" s="8">
        <f t="shared" si="1"/>
        <v>130</v>
      </c>
      <c r="H39" s="8">
        <f t="shared" si="2"/>
        <v>77</v>
      </c>
      <c r="I39" s="1">
        <v>4.5</v>
      </c>
      <c r="J39" s="1">
        <v>14882</v>
      </c>
      <c r="L39" s="2" t="s">
        <v>357</v>
      </c>
    </row>
    <row r="40" spans="1:31" ht="14.25" customHeight="1" x14ac:dyDescent="0.25">
      <c r="A40" s="8" t="s">
        <v>143</v>
      </c>
      <c r="B40" s="8">
        <v>2020</v>
      </c>
      <c r="C40" s="8" t="s">
        <v>142</v>
      </c>
      <c r="D40" s="8" t="s">
        <v>47</v>
      </c>
      <c r="E40" s="9" t="s">
        <v>356</v>
      </c>
      <c r="F40" s="8">
        <f t="shared" si="0"/>
        <v>24</v>
      </c>
      <c r="G40" s="8">
        <f t="shared" si="1"/>
        <v>130</v>
      </c>
      <c r="H40" s="8">
        <f t="shared" si="2"/>
        <v>77</v>
      </c>
      <c r="I40" s="1">
        <v>4.5</v>
      </c>
      <c r="J40" s="1">
        <v>14882</v>
      </c>
      <c r="L40" s="2" t="s">
        <v>357</v>
      </c>
    </row>
    <row r="41" spans="1:31" ht="14.25" customHeight="1" x14ac:dyDescent="0.25">
      <c r="A41" s="8" t="s">
        <v>143</v>
      </c>
      <c r="B41" s="8">
        <v>2020</v>
      </c>
      <c r="C41" s="8" t="s">
        <v>142</v>
      </c>
      <c r="D41" s="8" t="s">
        <v>48</v>
      </c>
      <c r="E41" s="9" t="s">
        <v>356</v>
      </c>
      <c r="F41" s="8">
        <f t="shared" si="0"/>
        <v>24</v>
      </c>
      <c r="G41" s="8">
        <f t="shared" si="1"/>
        <v>130</v>
      </c>
      <c r="H41" s="8">
        <f t="shared" si="2"/>
        <v>77</v>
      </c>
      <c r="I41" s="1">
        <v>4.5</v>
      </c>
      <c r="J41" s="1">
        <v>14882</v>
      </c>
      <c r="L41" s="2" t="s">
        <v>357</v>
      </c>
    </row>
    <row r="42" spans="1:31" ht="14.25" customHeight="1" x14ac:dyDescent="0.25">
      <c r="A42" s="8" t="s">
        <v>144</v>
      </c>
      <c r="B42" s="8">
        <v>2020</v>
      </c>
      <c r="C42" s="8" t="s">
        <v>142</v>
      </c>
      <c r="D42" s="8" t="s">
        <v>46</v>
      </c>
      <c r="E42" s="9" t="s">
        <v>356</v>
      </c>
      <c r="F42" s="8">
        <f t="shared" si="0"/>
        <v>24</v>
      </c>
      <c r="G42" s="8">
        <f t="shared" si="1"/>
        <v>130</v>
      </c>
      <c r="H42" s="8">
        <f t="shared" si="2"/>
        <v>77</v>
      </c>
      <c r="I42" s="1">
        <v>4.5</v>
      </c>
      <c r="J42" s="1">
        <v>14882</v>
      </c>
      <c r="L42" s="2" t="s">
        <v>357</v>
      </c>
    </row>
    <row r="43" spans="1:31" ht="14.25" customHeight="1" x14ac:dyDescent="0.25">
      <c r="A43" s="8" t="s">
        <v>144</v>
      </c>
      <c r="B43" s="8">
        <v>2020</v>
      </c>
      <c r="C43" s="8" t="s">
        <v>142</v>
      </c>
      <c r="D43" s="8" t="s">
        <v>47</v>
      </c>
      <c r="E43" s="9" t="s">
        <v>356</v>
      </c>
      <c r="F43" s="8">
        <f t="shared" si="0"/>
        <v>24</v>
      </c>
      <c r="G43" s="8">
        <f t="shared" si="1"/>
        <v>130</v>
      </c>
      <c r="H43" s="8">
        <f t="shared" si="2"/>
        <v>77</v>
      </c>
      <c r="I43" s="1">
        <v>4.5</v>
      </c>
      <c r="J43" s="1">
        <v>14882</v>
      </c>
      <c r="L43" s="2" t="s">
        <v>357</v>
      </c>
    </row>
    <row r="44" spans="1:31" ht="14.25" customHeight="1" x14ac:dyDescent="0.25">
      <c r="A44" s="8" t="s">
        <v>144</v>
      </c>
      <c r="B44" s="8">
        <v>2020</v>
      </c>
      <c r="C44" s="8" t="s">
        <v>142</v>
      </c>
      <c r="D44" s="8" t="s">
        <v>48</v>
      </c>
      <c r="E44" s="9" t="s">
        <v>356</v>
      </c>
      <c r="F44" s="8">
        <f t="shared" si="0"/>
        <v>24</v>
      </c>
      <c r="G44" s="8">
        <f t="shared" si="1"/>
        <v>130</v>
      </c>
      <c r="H44" s="8">
        <f t="shared" si="2"/>
        <v>77</v>
      </c>
      <c r="I44" s="1">
        <v>4.5</v>
      </c>
      <c r="J44" s="1">
        <v>14882</v>
      </c>
      <c r="L44" s="2" t="s">
        <v>357</v>
      </c>
    </row>
    <row r="45" spans="1:31" ht="14.25" customHeight="1" x14ac:dyDescent="0.25">
      <c r="A45" s="8" t="s">
        <v>278</v>
      </c>
      <c r="B45" s="8">
        <v>2019</v>
      </c>
      <c r="C45" s="8" t="s">
        <v>146</v>
      </c>
      <c r="D45" s="8" t="s">
        <v>46</v>
      </c>
      <c r="E45" s="9" t="s">
        <v>132</v>
      </c>
      <c r="F45" s="8">
        <f t="shared" si="0"/>
        <v>10</v>
      </c>
      <c r="G45" s="8">
        <f t="shared" si="1"/>
        <v>10</v>
      </c>
      <c r="H45" s="8">
        <f t="shared" si="2"/>
        <v>10</v>
      </c>
      <c r="I45" s="1">
        <v>8</v>
      </c>
      <c r="J45" s="1">
        <v>2103</v>
      </c>
      <c r="L45" s="2" t="s">
        <v>358</v>
      </c>
    </row>
    <row r="46" spans="1:31" ht="14.25" customHeight="1" x14ac:dyDescent="0.25">
      <c r="A46" s="8" t="s">
        <v>278</v>
      </c>
      <c r="B46" s="8">
        <v>2019</v>
      </c>
      <c r="C46" s="8" t="s">
        <v>146</v>
      </c>
      <c r="D46" s="8" t="s">
        <v>47</v>
      </c>
      <c r="E46" s="9" t="s">
        <v>132</v>
      </c>
      <c r="F46" s="8">
        <f t="shared" si="0"/>
        <v>10</v>
      </c>
      <c r="G46" s="8">
        <f t="shared" si="1"/>
        <v>10</v>
      </c>
      <c r="H46" s="8">
        <f t="shared" si="2"/>
        <v>10</v>
      </c>
      <c r="I46" s="1">
        <v>8</v>
      </c>
      <c r="J46" s="1">
        <v>2103</v>
      </c>
      <c r="L46" s="2" t="s">
        <v>358</v>
      </c>
    </row>
    <row r="47" spans="1:31" ht="14.25" customHeight="1" x14ac:dyDescent="0.25">
      <c r="A47" s="8" t="s">
        <v>278</v>
      </c>
      <c r="B47" s="8">
        <v>2019</v>
      </c>
      <c r="C47" s="8" t="s">
        <v>146</v>
      </c>
      <c r="D47" s="8" t="s">
        <v>48</v>
      </c>
      <c r="E47" s="9" t="s">
        <v>132</v>
      </c>
      <c r="F47" s="8">
        <f t="shared" si="0"/>
        <v>10</v>
      </c>
      <c r="G47" s="8">
        <f t="shared" si="1"/>
        <v>10</v>
      </c>
      <c r="H47" s="8">
        <f t="shared" si="2"/>
        <v>10</v>
      </c>
      <c r="I47" s="1">
        <v>8</v>
      </c>
      <c r="J47" s="1">
        <v>2103</v>
      </c>
      <c r="L47" s="2" t="s">
        <v>358</v>
      </c>
    </row>
    <row r="48" spans="1:31" ht="14.25" customHeight="1" x14ac:dyDescent="0.25">
      <c r="A48" s="8" t="s">
        <v>133</v>
      </c>
      <c r="B48" s="8">
        <v>2018</v>
      </c>
      <c r="C48" s="8" t="s">
        <v>75</v>
      </c>
      <c r="D48" s="8" t="s">
        <v>46</v>
      </c>
      <c r="E48" s="9" t="s">
        <v>108</v>
      </c>
      <c r="F48" s="8">
        <f t="shared" si="0"/>
        <v>4</v>
      </c>
      <c r="G48" s="8">
        <f t="shared" si="1"/>
        <v>10</v>
      </c>
      <c r="H48" s="8">
        <f t="shared" si="2"/>
        <v>7</v>
      </c>
      <c r="I48" s="1">
        <v>0.17</v>
      </c>
      <c r="J48" s="1">
        <v>210.27</v>
      </c>
      <c r="L48" s="2" t="s">
        <v>359</v>
      </c>
    </row>
    <row r="49" spans="1:16" ht="14.25" customHeight="1" x14ac:dyDescent="0.25">
      <c r="A49" s="8" t="s">
        <v>295</v>
      </c>
      <c r="B49" s="8">
        <v>2017</v>
      </c>
      <c r="C49" s="8" t="s">
        <v>75</v>
      </c>
      <c r="D49" s="8" t="s">
        <v>47</v>
      </c>
      <c r="E49" s="9" t="s">
        <v>360</v>
      </c>
      <c r="F49" s="8">
        <f t="shared" si="0"/>
        <v>200</v>
      </c>
      <c r="G49" s="8">
        <f t="shared" si="1"/>
        <v>1000</v>
      </c>
      <c r="H49" s="8">
        <f t="shared" si="2"/>
        <v>600</v>
      </c>
      <c r="I49" s="1">
        <v>4.2</v>
      </c>
      <c r="J49" s="1">
        <v>54128</v>
      </c>
      <c r="L49" s="2" t="s">
        <v>361</v>
      </c>
      <c r="N49" s="2">
        <v>20899</v>
      </c>
      <c r="O49" s="2">
        <v>2.59</v>
      </c>
      <c r="P49" s="2">
        <f t="shared" ref="P49:P52" si="4">N49*O49</f>
        <v>54128.409999999996</v>
      </c>
    </row>
    <row r="50" spans="1:16" ht="14.25" customHeight="1" x14ac:dyDescent="0.25">
      <c r="A50" s="8" t="s">
        <v>295</v>
      </c>
      <c r="B50" s="8">
        <v>2017</v>
      </c>
      <c r="C50" s="8" t="s">
        <v>75</v>
      </c>
      <c r="D50" s="8" t="s">
        <v>47</v>
      </c>
      <c r="E50" s="9" t="s">
        <v>360</v>
      </c>
      <c r="F50" s="8">
        <f t="shared" si="0"/>
        <v>200</v>
      </c>
      <c r="G50" s="8">
        <f t="shared" si="1"/>
        <v>1000</v>
      </c>
      <c r="H50" s="8">
        <f t="shared" si="2"/>
        <v>600</v>
      </c>
      <c r="I50" s="1">
        <v>4.3</v>
      </c>
      <c r="J50" s="1">
        <v>47120</v>
      </c>
      <c r="L50" s="2" t="s">
        <v>362</v>
      </c>
      <c r="N50" s="2">
        <v>18193</v>
      </c>
      <c r="O50" s="2">
        <v>2.59</v>
      </c>
      <c r="P50" s="2">
        <f t="shared" si="4"/>
        <v>47119.869999999995</v>
      </c>
    </row>
    <row r="51" spans="1:16" ht="14.25" customHeight="1" x14ac:dyDescent="0.25">
      <c r="A51" s="8" t="s">
        <v>298</v>
      </c>
      <c r="B51" s="8">
        <v>2017</v>
      </c>
      <c r="C51" s="8" t="s">
        <v>75</v>
      </c>
      <c r="D51" s="8" t="s">
        <v>47</v>
      </c>
      <c r="E51" s="9" t="s">
        <v>360</v>
      </c>
      <c r="F51" s="8">
        <f t="shared" si="0"/>
        <v>200</v>
      </c>
      <c r="G51" s="8">
        <f t="shared" si="1"/>
        <v>1000</v>
      </c>
      <c r="H51" s="8">
        <f t="shared" si="2"/>
        <v>600</v>
      </c>
      <c r="I51" s="1">
        <v>4.2</v>
      </c>
      <c r="J51" s="1">
        <v>54128</v>
      </c>
      <c r="L51" s="2" t="s">
        <v>361</v>
      </c>
      <c r="N51" s="2">
        <v>20899</v>
      </c>
      <c r="O51" s="2">
        <v>2.59</v>
      </c>
      <c r="P51" s="2">
        <f t="shared" si="4"/>
        <v>54128.409999999996</v>
      </c>
    </row>
    <row r="52" spans="1:16" ht="14.25" customHeight="1" x14ac:dyDescent="0.25">
      <c r="A52" s="8" t="s">
        <v>298</v>
      </c>
      <c r="B52" s="8">
        <v>2017</v>
      </c>
      <c r="C52" s="8" t="s">
        <v>75</v>
      </c>
      <c r="D52" s="8" t="s">
        <v>47</v>
      </c>
      <c r="E52" s="9" t="s">
        <v>360</v>
      </c>
      <c r="F52" s="8">
        <f t="shared" si="0"/>
        <v>200</v>
      </c>
      <c r="G52" s="8">
        <f t="shared" si="1"/>
        <v>1000</v>
      </c>
      <c r="H52" s="8">
        <f t="shared" si="2"/>
        <v>600</v>
      </c>
      <c r="I52" s="1">
        <v>4.3</v>
      </c>
      <c r="J52" s="1">
        <v>47120</v>
      </c>
      <c r="L52" s="2" t="s">
        <v>362</v>
      </c>
      <c r="N52" s="2">
        <v>18193</v>
      </c>
      <c r="O52" s="2">
        <v>2.59</v>
      </c>
      <c r="P52" s="2">
        <f t="shared" si="4"/>
        <v>47119.869999999995</v>
      </c>
    </row>
    <row r="53" spans="1:16" ht="14.25" customHeight="1" x14ac:dyDescent="0.25">
      <c r="A53" s="8"/>
      <c r="B53" s="8"/>
      <c r="C53" s="8"/>
      <c r="D53" s="8"/>
      <c r="E53" s="9"/>
      <c r="F53" s="8"/>
      <c r="G53" s="8"/>
      <c r="H53" s="8"/>
    </row>
    <row r="54" spans="1:16" ht="14.25" customHeight="1" x14ac:dyDescent="0.25">
      <c r="A54" s="8"/>
      <c r="B54" s="8"/>
      <c r="C54" s="8"/>
      <c r="D54" s="8"/>
      <c r="E54" s="9"/>
      <c r="F54" s="8"/>
      <c r="G54" s="8"/>
      <c r="H54" s="8"/>
    </row>
    <row r="55" spans="1:16" ht="14.25" customHeight="1" x14ac:dyDescent="0.25">
      <c r="A55" s="8"/>
      <c r="B55" s="8"/>
      <c r="C55" s="8"/>
      <c r="D55" s="8"/>
      <c r="E55" s="9"/>
      <c r="F55" s="8"/>
      <c r="G55" s="8"/>
      <c r="H55" s="8"/>
    </row>
    <row r="56" spans="1:16" ht="14.25" customHeight="1" x14ac:dyDescent="0.25">
      <c r="A56" s="8"/>
      <c r="B56" s="8"/>
      <c r="C56" s="8"/>
      <c r="D56" s="8"/>
      <c r="E56" s="9"/>
      <c r="F56" s="8"/>
      <c r="G56" s="8"/>
      <c r="H56" s="8"/>
    </row>
    <row r="57" spans="1:16" ht="14.25" customHeight="1" x14ac:dyDescent="0.25">
      <c r="A57" s="8"/>
      <c r="B57" s="8"/>
      <c r="C57" s="8"/>
      <c r="D57" s="8"/>
      <c r="E57" s="9"/>
      <c r="F57" s="8"/>
      <c r="G57" s="8"/>
      <c r="H57" s="8"/>
    </row>
    <row r="58" spans="1:16" ht="14.25" customHeight="1" x14ac:dyDescent="0.25">
      <c r="A58" s="8"/>
      <c r="B58" s="8"/>
      <c r="C58" s="8"/>
      <c r="D58" s="8"/>
      <c r="E58" s="9"/>
      <c r="F58" s="8"/>
      <c r="G58" s="8"/>
      <c r="H58" s="8"/>
    </row>
    <row r="59" spans="1:16" ht="14.25" customHeight="1" x14ac:dyDescent="0.25">
      <c r="A59" s="8"/>
      <c r="B59" s="8"/>
      <c r="C59" s="8"/>
      <c r="D59" s="8"/>
      <c r="E59" s="9"/>
      <c r="F59" s="8"/>
      <c r="G59" s="8"/>
      <c r="H59" s="8"/>
    </row>
    <row r="60" spans="1:16" ht="14.25" customHeight="1" x14ac:dyDescent="0.25">
      <c r="A60" s="8"/>
      <c r="B60" s="8"/>
      <c r="C60" s="8"/>
      <c r="D60" s="8"/>
      <c r="E60" s="9"/>
      <c r="F60" s="8"/>
      <c r="G60" s="8"/>
      <c r="H60" s="8"/>
    </row>
    <row r="61" spans="1:16" ht="14.25" customHeight="1" x14ac:dyDescent="0.25">
      <c r="A61" s="8"/>
      <c r="B61" s="8"/>
      <c r="C61" s="8"/>
      <c r="D61" s="8"/>
      <c r="E61" s="9"/>
      <c r="F61" s="8"/>
      <c r="G61" s="8"/>
      <c r="H61" s="8"/>
    </row>
    <row r="62" spans="1:16" ht="14.25" customHeight="1" x14ac:dyDescent="0.25">
      <c r="A62" s="8"/>
      <c r="B62" s="8"/>
      <c r="C62" s="8"/>
      <c r="D62" s="8"/>
      <c r="E62" s="9"/>
      <c r="F62" s="8"/>
      <c r="G62" s="8"/>
      <c r="H62" s="8"/>
    </row>
    <row r="63" spans="1:16" ht="14.25" customHeight="1" x14ac:dyDescent="0.25">
      <c r="A63" s="8"/>
      <c r="B63" s="8"/>
      <c r="C63" s="8"/>
      <c r="D63" s="8"/>
      <c r="E63" s="9"/>
      <c r="F63" s="8"/>
      <c r="G63" s="8"/>
      <c r="H63" s="8"/>
    </row>
    <row r="64" spans="1:16" ht="14.25" customHeight="1" x14ac:dyDescent="0.25">
      <c r="A64" s="8"/>
      <c r="B64" s="8"/>
      <c r="C64" s="8"/>
      <c r="D64" s="8"/>
      <c r="E64" s="9"/>
      <c r="F64" s="8"/>
      <c r="G64" s="8"/>
      <c r="H64" s="8"/>
    </row>
    <row r="65" spans="1:8" ht="14.25" customHeight="1" x14ac:dyDescent="0.25">
      <c r="A65" s="8"/>
      <c r="B65" s="8"/>
      <c r="C65" s="8"/>
      <c r="D65" s="8"/>
      <c r="E65" s="9"/>
      <c r="F65" s="8"/>
      <c r="G65" s="8"/>
      <c r="H65" s="8"/>
    </row>
    <row r="66" spans="1:8" ht="14.25" customHeight="1" x14ac:dyDescent="0.25">
      <c r="A66" s="8"/>
      <c r="B66" s="8"/>
      <c r="C66" s="8"/>
      <c r="D66" s="8"/>
      <c r="E66" s="9"/>
      <c r="F66" s="8"/>
      <c r="G66" s="8"/>
      <c r="H66" s="8"/>
    </row>
    <row r="67" spans="1:8" ht="14.25" customHeight="1" x14ac:dyDescent="0.25">
      <c r="A67" s="8"/>
      <c r="B67" s="8"/>
      <c r="C67" s="8"/>
      <c r="D67" s="8"/>
      <c r="E67" s="9"/>
      <c r="F67" s="8"/>
      <c r="G67" s="8"/>
      <c r="H67" s="8"/>
    </row>
    <row r="68" spans="1:8" ht="14.25" customHeight="1" x14ac:dyDescent="0.25">
      <c r="A68" s="8"/>
      <c r="B68" s="8"/>
      <c r="C68" s="8"/>
      <c r="D68" s="8"/>
      <c r="E68" s="9"/>
      <c r="F68" s="8"/>
      <c r="G68" s="8"/>
      <c r="H68" s="8"/>
    </row>
    <row r="69" spans="1:8" ht="14.25" customHeight="1" x14ac:dyDescent="0.25">
      <c r="A69" s="8"/>
      <c r="B69" s="8"/>
      <c r="C69" s="8"/>
      <c r="D69" s="8"/>
      <c r="E69" s="9"/>
      <c r="F69" s="8"/>
      <c r="G69" s="8"/>
      <c r="H69" s="8"/>
    </row>
    <row r="70" spans="1:8" ht="14.25" customHeight="1" x14ac:dyDescent="0.25">
      <c r="A70" s="8"/>
      <c r="B70" s="8"/>
      <c r="C70" s="8"/>
      <c r="D70" s="8"/>
      <c r="E70" s="9"/>
      <c r="F70" s="8"/>
      <c r="G70" s="8"/>
      <c r="H70" s="8"/>
    </row>
    <row r="71" spans="1:8" ht="14.25" customHeight="1" x14ac:dyDescent="0.25">
      <c r="A71" s="8"/>
      <c r="B71" s="8"/>
      <c r="C71" s="8"/>
      <c r="D71" s="8"/>
      <c r="E71" s="9"/>
      <c r="F71" s="8"/>
      <c r="G71" s="8"/>
      <c r="H71" s="8"/>
    </row>
    <row r="72" spans="1:8" ht="14.25" customHeight="1" x14ac:dyDescent="0.25">
      <c r="A72" s="8"/>
      <c r="B72" s="8"/>
      <c r="C72" s="8"/>
      <c r="D72" s="8"/>
      <c r="E72" s="9"/>
      <c r="F72" s="8"/>
      <c r="G72" s="8"/>
      <c r="H72" s="8"/>
    </row>
    <row r="73" spans="1:8" ht="14.25" customHeight="1" x14ac:dyDescent="0.25">
      <c r="A73" s="8"/>
      <c r="B73" s="8"/>
      <c r="C73" s="8"/>
      <c r="D73" s="8"/>
      <c r="E73" s="9"/>
      <c r="F73" s="8"/>
      <c r="G73" s="8"/>
      <c r="H73" s="8"/>
    </row>
    <row r="74" spans="1:8" ht="14.25" customHeight="1" x14ac:dyDescent="0.25">
      <c r="A74" s="8"/>
      <c r="B74" s="8"/>
      <c r="C74" s="8"/>
      <c r="D74" s="8"/>
      <c r="E74" s="9"/>
      <c r="F74" s="8"/>
      <c r="G74" s="8"/>
      <c r="H74" s="8"/>
    </row>
    <row r="75" spans="1:8" ht="14.25" customHeight="1" x14ac:dyDescent="0.25">
      <c r="A75" s="8"/>
      <c r="B75" s="8"/>
      <c r="C75" s="8"/>
      <c r="D75" s="8"/>
      <c r="E75" s="9"/>
      <c r="F75" s="8"/>
      <c r="G75" s="8"/>
      <c r="H75" s="8"/>
    </row>
    <row r="76" spans="1:8" ht="14.25" customHeight="1" x14ac:dyDescent="0.25">
      <c r="A76" s="8"/>
      <c r="B76" s="8"/>
      <c r="C76" s="8"/>
      <c r="D76" s="8"/>
      <c r="E76" s="9"/>
      <c r="F76" s="8"/>
      <c r="G76" s="8"/>
      <c r="H76" s="8"/>
    </row>
    <row r="77" spans="1:8" ht="14.25" customHeight="1" x14ac:dyDescent="0.25">
      <c r="A77" s="8"/>
      <c r="B77" s="8"/>
      <c r="C77" s="8"/>
      <c r="D77" s="8"/>
      <c r="E77" s="9"/>
      <c r="F77" s="8"/>
      <c r="G77" s="8"/>
      <c r="H77" s="8"/>
    </row>
    <row r="78" spans="1:8" ht="14.25" customHeight="1" x14ac:dyDescent="0.25">
      <c r="A78" s="8"/>
      <c r="B78" s="8"/>
      <c r="C78" s="8"/>
      <c r="D78" s="8"/>
      <c r="E78" s="9"/>
      <c r="F78" s="8"/>
      <c r="G78" s="8"/>
      <c r="H78" s="8"/>
    </row>
    <row r="79" spans="1:8" ht="14.25" customHeight="1" x14ac:dyDescent="0.25">
      <c r="A79" s="8"/>
      <c r="B79" s="8"/>
      <c r="C79" s="8"/>
      <c r="D79" s="8"/>
      <c r="E79" s="9"/>
      <c r="F79" s="8"/>
      <c r="G79" s="8"/>
      <c r="H79" s="8"/>
    </row>
    <row r="80" spans="1:8" ht="14.25" customHeight="1" x14ac:dyDescent="0.25">
      <c r="A80" s="8"/>
      <c r="B80" s="8"/>
      <c r="C80" s="8"/>
      <c r="D80" s="8"/>
      <c r="E80" s="9"/>
      <c r="F80" s="8"/>
      <c r="G80" s="8"/>
      <c r="H80" s="8"/>
    </row>
    <row r="81" spans="1:8" ht="14.25" customHeight="1" x14ac:dyDescent="0.25">
      <c r="A81" s="8"/>
      <c r="B81" s="8"/>
      <c r="C81" s="8"/>
      <c r="D81" s="8"/>
      <c r="E81" s="9"/>
      <c r="F81" s="8"/>
      <c r="G81" s="8"/>
      <c r="H81" s="8"/>
    </row>
    <row r="82" spans="1:8" ht="14.25" customHeight="1" x14ac:dyDescent="0.25">
      <c r="A82" s="8"/>
      <c r="B82" s="8"/>
      <c r="C82" s="8"/>
      <c r="D82" s="8"/>
      <c r="E82" s="9"/>
      <c r="F82" s="8"/>
      <c r="G82" s="8"/>
      <c r="H82" s="8"/>
    </row>
    <row r="83" spans="1:8" ht="14.25" customHeight="1" x14ac:dyDescent="0.25">
      <c r="A83" s="8"/>
      <c r="B83" s="8"/>
      <c r="C83" s="8"/>
      <c r="D83" s="8"/>
      <c r="E83" s="9"/>
      <c r="F83" s="8"/>
      <c r="G83" s="8"/>
      <c r="H83" s="8"/>
    </row>
    <row r="84" spans="1:8" ht="14.25" customHeight="1" x14ac:dyDescent="0.25">
      <c r="A84" s="8"/>
      <c r="B84" s="8"/>
      <c r="C84" s="8"/>
      <c r="D84" s="8"/>
      <c r="E84" s="9"/>
      <c r="F84" s="8"/>
      <c r="G84" s="8"/>
      <c r="H84" s="8"/>
    </row>
    <row r="85" spans="1:8" ht="14.25" customHeight="1" x14ac:dyDescent="0.25">
      <c r="A85" s="8"/>
      <c r="B85" s="8"/>
      <c r="C85" s="8"/>
      <c r="D85" s="8"/>
      <c r="E85" s="9"/>
      <c r="F85" s="8"/>
      <c r="G85" s="8"/>
      <c r="H85" s="8"/>
    </row>
    <row r="86" spans="1:8" ht="14.25" customHeight="1" x14ac:dyDescent="0.25">
      <c r="A86" s="8"/>
      <c r="B86" s="8"/>
      <c r="C86" s="8"/>
      <c r="D86" s="8"/>
      <c r="E86" s="9"/>
      <c r="F86" s="8"/>
      <c r="G86" s="8"/>
      <c r="H86" s="8"/>
    </row>
    <row r="87" spans="1:8" ht="14.25" customHeight="1" x14ac:dyDescent="0.25">
      <c r="A87" s="8"/>
      <c r="B87" s="8"/>
      <c r="C87" s="8"/>
      <c r="D87" s="8"/>
      <c r="E87" s="9"/>
      <c r="F87" s="8"/>
      <c r="G87" s="8"/>
      <c r="H87" s="8"/>
    </row>
    <row r="88" spans="1:8" ht="14.25" customHeight="1" x14ac:dyDescent="0.25">
      <c r="A88" s="8"/>
      <c r="B88" s="8"/>
      <c r="C88" s="8"/>
      <c r="D88" s="8"/>
      <c r="E88" s="9"/>
      <c r="F88" s="8"/>
      <c r="G88" s="8"/>
      <c r="H88" s="8"/>
    </row>
    <row r="89" spans="1:8" ht="14.25" customHeight="1" x14ac:dyDescent="0.25">
      <c r="A89" s="8"/>
      <c r="B89" s="8"/>
      <c r="C89" s="8"/>
      <c r="D89" s="8"/>
      <c r="E89" s="9"/>
      <c r="F89" s="8"/>
      <c r="G89" s="8"/>
      <c r="H89" s="8"/>
    </row>
    <row r="90" spans="1:8" ht="14.25" customHeight="1" x14ac:dyDescent="0.25">
      <c r="A90" s="8"/>
      <c r="B90" s="8"/>
      <c r="C90" s="8"/>
      <c r="D90" s="8"/>
      <c r="E90" s="9"/>
      <c r="F90" s="8"/>
      <c r="G90" s="8"/>
      <c r="H90" s="8"/>
    </row>
    <row r="91" spans="1:8" ht="14.25" customHeight="1" x14ac:dyDescent="0.25">
      <c r="A91" s="8"/>
      <c r="B91" s="8"/>
      <c r="C91" s="8"/>
      <c r="D91" s="8"/>
      <c r="E91" s="9"/>
      <c r="F91" s="8"/>
      <c r="G91" s="8"/>
      <c r="H91" s="8"/>
    </row>
    <row r="92" spans="1:8" ht="14.25" customHeight="1" x14ac:dyDescent="0.25">
      <c r="A92" s="8"/>
      <c r="B92" s="8"/>
      <c r="C92" s="8"/>
      <c r="D92" s="8"/>
      <c r="E92" s="9"/>
      <c r="F92" s="8"/>
      <c r="G92" s="8"/>
      <c r="H92" s="8"/>
    </row>
    <row r="93" spans="1:8" ht="14.25" customHeight="1" x14ac:dyDescent="0.25">
      <c r="A93" s="8"/>
      <c r="B93" s="8"/>
      <c r="C93" s="8"/>
      <c r="D93" s="8"/>
      <c r="E93" s="9"/>
      <c r="F93" s="8"/>
      <c r="G93" s="8"/>
      <c r="H93" s="8"/>
    </row>
    <row r="94" spans="1:8" ht="14.25" customHeight="1" x14ac:dyDescent="0.25">
      <c r="A94" s="8"/>
      <c r="B94" s="8"/>
      <c r="C94" s="8"/>
      <c r="D94" s="8"/>
      <c r="E94" s="9"/>
      <c r="F94" s="8"/>
      <c r="G94" s="8"/>
      <c r="H94" s="8"/>
    </row>
    <row r="95" spans="1:8" ht="14.25" customHeight="1" x14ac:dyDescent="0.25">
      <c r="A95" s="8"/>
      <c r="B95" s="8"/>
      <c r="C95" s="8"/>
      <c r="D95" s="8"/>
      <c r="E95" s="9"/>
      <c r="F95" s="8"/>
      <c r="G95" s="8"/>
      <c r="H95" s="8"/>
    </row>
    <row r="96" spans="1:8" ht="14.25" customHeight="1" x14ac:dyDescent="0.25">
      <c r="A96" s="8"/>
      <c r="B96" s="8"/>
      <c r="C96" s="8"/>
      <c r="D96" s="8"/>
      <c r="E96" s="9"/>
      <c r="F96" s="8"/>
      <c r="G96" s="8"/>
      <c r="H96" s="8"/>
    </row>
    <row r="97" spans="1:8" ht="14.25" customHeight="1" x14ac:dyDescent="0.25">
      <c r="A97" s="8"/>
      <c r="B97" s="8"/>
      <c r="C97" s="8"/>
      <c r="D97" s="8"/>
      <c r="E97" s="9"/>
      <c r="F97" s="8"/>
      <c r="G97" s="8"/>
      <c r="H97" s="8"/>
    </row>
    <row r="98" spans="1:8" ht="14.25" customHeight="1" x14ac:dyDescent="0.25">
      <c r="A98" s="8"/>
      <c r="B98" s="8"/>
      <c r="C98" s="8"/>
      <c r="D98" s="8"/>
      <c r="E98" s="9"/>
      <c r="F98" s="8"/>
      <c r="G98" s="8"/>
      <c r="H98" s="8"/>
    </row>
    <row r="99" spans="1:8" ht="14.25" customHeight="1" x14ac:dyDescent="0.25">
      <c r="A99" s="8"/>
      <c r="B99" s="8"/>
      <c r="C99" s="8"/>
      <c r="D99" s="8"/>
      <c r="E99" s="9"/>
      <c r="F99" s="8"/>
      <c r="G99" s="8"/>
      <c r="H99" s="8"/>
    </row>
    <row r="100" spans="1:8" ht="14.25" customHeight="1" x14ac:dyDescent="0.25">
      <c r="A100" s="8"/>
      <c r="B100" s="8"/>
      <c r="C100" s="8"/>
      <c r="D100" s="8"/>
      <c r="E100" s="9"/>
      <c r="F100" s="8"/>
      <c r="G100" s="8"/>
      <c r="H100" s="8"/>
    </row>
    <row r="101" spans="1:8" ht="14.25" customHeight="1" x14ac:dyDescent="0.25">
      <c r="A101" s="8"/>
      <c r="B101" s="8"/>
      <c r="C101" s="8"/>
      <c r="D101" s="8"/>
      <c r="E101" s="9"/>
      <c r="F101" s="8"/>
      <c r="G101" s="8"/>
      <c r="H101" s="8"/>
    </row>
    <row r="102" spans="1:8" ht="14.25" customHeight="1" x14ac:dyDescent="0.25">
      <c r="A102" s="8"/>
      <c r="B102" s="8"/>
      <c r="C102" s="8"/>
      <c r="D102" s="8"/>
      <c r="E102" s="9"/>
      <c r="F102" s="8"/>
      <c r="G102" s="8"/>
      <c r="H102" s="8"/>
    </row>
    <row r="103" spans="1:8" ht="14.25" customHeight="1" x14ac:dyDescent="0.25">
      <c r="A103" s="8"/>
      <c r="B103" s="8"/>
      <c r="C103" s="8"/>
      <c r="D103" s="8"/>
      <c r="E103" s="9"/>
      <c r="F103" s="8"/>
      <c r="G103" s="8"/>
      <c r="H103" s="8"/>
    </row>
    <row r="104" spans="1:8" ht="14.25" customHeight="1" x14ac:dyDescent="0.25">
      <c r="A104" s="8"/>
      <c r="B104" s="8"/>
      <c r="C104" s="8"/>
      <c r="D104" s="8"/>
      <c r="E104" s="9"/>
      <c r="F104" s="8"/>
      <c r="G104" s="8"/>
      <c r="H104" s="8"/>
    </row>
    <row r="105" spans="1:8" ht="14.25" customHeight="1" x14ac:dyDescent="0.25">
      <c r="A105" s="8"/>
      <c r="B105" s="8"/>
      <c r="C105" s="8"/>
      <c r="D105" s="8"/>
      <c r="E105" s="9"/>
      <c r="F105" s="8"/>
      <c r="G105" s="8"/>
      <c r="H105" s="8"/>
    </row>
    <row r="106" spans="1:8" ht="14.25" customHeight="1" x14ac:dyDescent="0.25">
      <c r="A106" s="8"/>
      <c r="B106" s="8"/>
      <c r="C106" s="8"/>
      <c r="D106" s="8"/>
      <c r="E106" s="9"/>
      <c r="F106" s="8"/>
      <c r="G106" s="8"/>
      <c r="H106" s="8"/>
    </row>
    <row r="107" spans="1:8" ht="14.25" customHeight="1" x14ac:dyDescent="0.25">
      <c r="A107" s="8"/>
      <c r="B107" s="8"/>
      <c r="C107" s="8"/>
      <c r="D107" s="8"/>
      <c r="E107" s="9"/>
      <c r="F107" s="8"/>
      <c r="G107" s="8"/>
      <c r="H107" s="8"/>
    </row>
    <row r="108" spans="1:8" ht="14.25" customHeight="1" x14ac:dyDescent="0.25">
      <c r="A108" s="8"/>
      <c r="B108" s="8"/>
      <c r="C108" s="8"/>
      <c r="D108" s="8"/>
      <c r="E108" s="9"/>
      <c r="F108" s="8"/>
      <c r="G108" s="8"/>
      <c r="H108" s="8"/>
    </row>
    <row r="109" spans="1:8" ht="14.25" customHeight="1" x14ac:dyDescent="0.25">
      <c r="A109" s="8"/>
      <c r="B109" s="8"/>
      <c r="C109" s="8"/>
      <c r="D109" s="8"/>
      <c r="E109" s="9"/>
      <c r="F109" s="8"/>
      <c r="G109" s="8"/>
      <c r="H109" s="8"/>
    </row>
    <row r="110" spans="1:8" ht="14.25" customHeight="1" x14ac:dyDescent="0.25">
      <c r="A110" s="8"/>
      <c r="B110" s="8"/>
      <c r="C110" s="8"/>
      <c r="D110" s="8"/>
      <c r="E110" s="9"/>
      <c r="F110" s="8"/>
      <c r="G110" s="8"/>
      <c r="H110" s="8"/>
    </row>
    <row r="111" spans="1:8" ht="14.25" customHeight="1" x14ac:dyDescent="0.25">
      <c r="A111" s="8"/>
      <c r="B111" s="8"/>
      <c r="C111" s="8"/>
      <c r="D111" s="8"/>
      <c r="E111" s="9"/>
      <c r="F111" s="8"/>
      <c r="G111" s="8"/>
      <c r="H111" s="8"/>
    </row>
    <row r="112" spans="1:8" ht="14.25" customHeight="1" x14ac:dyDescent="0.25">
      <c r="A112" s="8"/>
      <c r="B112" s="8"/>
      <c r="C112" s="8"/>
      <c r="D112" s="8"/>
      <c r="E112" s="9"/>
      <c r="F112" s="8"/>
      <c r="G112" s="8"/>
      <c r="H112" s="8"/>
    </row>
    <row r="113" spans="1:8" ht="14.25" customHeight="1" x14ac:dyDescent="0.25">
      <c r="A113" s="8"/>
      <c r="B113" s="8"/>
      <c r="C113" s="8"/>
      <c r="D113" s="8"/>
      <c r="E113" s="9"/>
      <c r="F113" s="8"/>
      <c r="G113" s="8"/>
      <c r="H113" s="8"/>
    </row>
    <row r="114" spans="1:8" ht="14.25" customHeight="1" x14ac:dyDescent="0.25">
      <c r="A114" s="8"/>
      <c r="B114" s="8"/>
      <c r="C114" s="8"/>
      <c r="D114" s="8"/>
      <c r="E114" s="9"/>
      <c r="F114" s="8"/>
      <c r="G114" s="8"/>
      <c r="H114" s="8"/>
    </row>
    <row r="115" spans="1:8" ht="14.25" customHeight="1" x14ac:dyDescent="0.25">
      <c r="A115" s="8"/>
      <c r="B115" s="8"/>
      <c r="C115" s="8"/>
      <c r="D115" s="8"/>
      <c r="E115" s="9"/>
      <c r="F115" s="8"/>
      <c r="G115" s="8"/>
      <c r="H115" s="8"/>
    </row>
    <row r="116" spans="1:8" ht="14.25" customHeight="1" x14ac:dyDescent="0.25">
      <c r="A116" s="8"/>
      <c r="B116" s="8"/>
      <c r="C116" s="8"/>
      <c r="D116" s="8"/>
      <c r="E116" s="9"/>
      <c r="F116" s="8"/>
      <c r="G116" s="8"/>
      <c r="H116" s="8"/>
    </row>
    <row r="117" spans="1:8" ht="14.25" customHeight="1" x14ac:dyDescent="0.25">
      <c r="A117" s="8"/>
      <c r="B117" s="8"/>
      <c r="C117" s="8"/>
      <c r="D117" s="8"/>
      <c r="E117" s="9"/>
      <c r="F117" s="8"/>
      <c r="G117" s="8"/>
      <c r="H117" s="8"/>
    </row>
    <row r="118" spans="1:8" ht="14.25" customHeight="1" x14ac:dyDescent="0.25">
      <c r="A118" s="8"/>
      <c r="B118" s="8"/>
      <c r="C118" s="8"/>
      <c r="D118" s="8"/>
      <c r="E118" s="9"/>
      <c r="F118" s="8"/>
      <c r="G118" s="8"/>
      <c r="H118" s="8"/>
    </row>
    <row r="119" spans="1:8" ht="14.25" customHeight="1" x14ac:dyDescent="0.25">
      <c r="A119" s="8"/>
      <c r="B119" s="8"/>
      <c r="C119" s="8"/>
      <c r="D119" s="8"/>
      <c r="E119" s="9"/>
      <c r="F119" s="8"/>
      <c r="G119" s="8"/>
      <c r="H119" s="8"/>
    </row>
    <row r="120" spans="1:8" ht="14.25" customHeight="1" x14ac:dyDescent="0.25">
      <c r="A120" s="8"/>
      <c r="B120" s="8"/>
      <c r="C120" s="8"/>
      <c r="D120" s="8"/>
      <c r="E120" s="9"/>
      <c r="F120" s="8"/>
      <c r="G120" s="8"/>
      <c r="H120" s="8"/>
    </row>
    <row r="121" spans="1:8" ht="14.25" customHeight="1" x14ac:dyDescent="0.25">
      <c r="A121" s="8"/>
      <c r="B121" s="8"/>
      <c r="C121" s="8"/>
      <c r="D121" s="8"/>
      <c r="E121" s="9"/>
      <c r="F121" s="8"/>
      <c r="G121" s="8"/>
      <c r="H121" s="8"/>
    </row>
    <row r="122" spans="1:8" ht="14.25" customHeight="1" x14ac:dyDescent="0.25">
      <c r="A122" s="8"/>
      <c r="B122" s="8"/>
      <c r="C122" s="8"/>
      <c r="D122" s="8"/>
      <c r="E122" s="9"/>
      <c r="F122" s="8"/>
      <c r="G122" s="8"/>
      <c r="H122" s="8"/>
    </row>
    <row r="123" spans="1:8" ht="14.25" customHeight="1" x14ac:dyDescent="0.25">
      <c r="A123" s="8"/>
      <c r="B123" s="8"/>
      <c r="C123" s="8"/>
      <c r="D123" s="8"/>
      <c r="E123" s="9"/>
      <c r="F123" s="8"/>
      <c r="G123" s="8"/>
      <c r="H123" s="8"/>
    </row>
    <row r="124" spans="1:8" ht="14.25" customHeight="1" x14ac:dyDescent="0.25">
      <c r="A124" s="8"/>
      <c r="B124" s="8"/>
      <c r="C124" s="8"/>
      <c r="D124" s="8"/>
      <c r="E124" s="9"/>
      <c r="F124" s="8"/>
      <c r="G124" s="8"/>
      <c r="H124" s="8"/>
    </row>
    <row r="125" spans="1:8" ht="14.25" customHeight="1" x14ac:dyDescent="0.25">
      <c r="A125" s="8"/>
      <c r="B125" s="8"/>
      <c r="C125" s="8"/>
      <c r="D125" s="8"/>
      <c r="E125" s="9"/>
      <c r="F125" s="8"/>
      <c r="G125" s="8"/>
      <c r="H125" s="8"/>
    </row>
    <row r="126" spans="1:8" ht="14.25" customHeight="1" x14ac:dyDescent="0.25">
      <c r="A126" s="8"/>
      <c r="B126" s="8"/>
      <c r="C126" s="8"/>
      <c r="D126" s="8"/>
      <c r="E126" s="9"/>
      <c r="F126" s="8"/>
      <c r="G126" s="8"/>
      <c r="H126" s="8"/>
    </row>
    <row r="127" spans="1:8" ht="14.25" customHeight="1" x14ac:dyDescent="0.25">
      <c r="A127" s="8"/>
      <c r="B127" s="8"/>
      <c r="C127" s="8"/>
      <c r="D127" s="8"/>
      <c r="E127" s="9"/>
      <c r="F127" s="8"/>
      <c r="G127" s="8"/>
      <c r="H127" s="8"/>
    </row>
    <row r="128" spans="1:8" ht="14.25" customHeight="1" x14ac:dyDescent="0.25">
      <c r="A128" s="8"/>
      <c r="B128" s="8"/>
      <c r="C128" s="8"/>
      <c r="D128" s="8"/>
      <c r="E128" s="9"/>
      <c r="F128" s="8"/>
      <c r="G128" s="8"/>
      <c r="H128" s="8"/>
    </row>
    <row r="129" spans="1:8" ht="14.25" customHeight="1" x14ac:dyDescent="0.25">
      <c r="A129" s="8"/>
      <c r="B129" s="8"/>
      <c r="C129" s="8"/>
      <c r="D129" s="8"/>
      <c r="E129" s="9"/>
      <c r="F129" s="8"/>
      <c r="G129" s="8"/>
      <c r="H129" s="8"/>
    </row>
    <row r="130" spans="1:8" ht="14.25" customHeight="1" x14ac:dyDescent="0.25">
      <c r="A130" s="8"/>
      <c r="B130" s="8"/>
      <c r="C130" s="8"/>
      <c r="D130" s="8"/>
      <c r="E130" s="9"/>
      <c r="F130" s="8"/>
      <c r="G130" s="8"/>
      <c r="H130" s="8"/>
    </row>
    <row r="131" spans="1:8" ht="14.25" customHeight="1" x14ac:dyDescent="0.25">
      <c r="A131" s="8"/>
      <c r="B131" s="8"/>
      <c r="C131" s="8"/>
      <c r="D131" s="8"/>
      <c r="E131" s="9"/>
      <c r="F131" s="8"/>
      <c r="G131" s="8"/>
      <c r="H131" s="8"/>
    </row>
    <row r="132" spans="1:8" ht="14.25" customHeight="1" x14ac:dyDescent="0.25">
      <c r="A132" s="8"/>
      <c r="B132" s="8"/>
      <c r="C132" s="8"/>
      <c r="D132" s="8"/>
      <c r="E132" s="9"/>
      <c r="F132" s="8"/>
      <c r="G132" s="8"/>
      <c r="H132" s="8"/>
    </row>
    <row r="133" spans="1:8" ht="14.25" customHeight="1" x14ac:dyDescent="0.25">
      <c r="A133" s="8"/>
      <c r="B133" s="8"/>
      <c r="C133" s="8"/>
      <c r="D133" s="8"/>
      <c r="E133" s="9"/>
      <c r="F133" s="8"/>
      <c r="G133" s="8"/>
      <c r="H133" s="8"/>
    </row>
    <row r="134" spans="1:8" ht="14.25" customHeight="1" x14ac:dyDescent="0.25">
      <c r="A134" s="8"/>
      <c r="B134" s="8"/>
      <c r="C134" s="8"/>
      <c r="D134" s="8"/>
      <c r="E134" s="9"/>
      <c r="F134" s="8"/>
      <c r="G134" s="8"/>
      <c r="H134" s="8"/>
    </row>
    <row r="135" spans="1:8" ht="14.25" customHeight="1" x14ac:dyDescent="0.25">
      <c r="A135" s="8"/>
      <c r="B135" s="8"/>
      <c r="C135" s="8"/>
      <c r="D135" s="8"/>
      <c r="E135" s="9"/>
      <c r="F135" s="8"/>
      <c r="G135" s="8"/>
      <c r="H135" s="8"/>
    </row>
    <row r="136" spans="1:8" ht="14.25" customHeight="1" x14ac:dyDescent="0.25">
      <c r="A136" s="8"/>
      <c r="B136" s="8"/>
      <c r="C136" s="8"/>
      <c r="D136" s="8"/>
      <c r="E136" s="9"/>
      <c r="F136" s="8"/>
      <c r="G136" s="8"/>
      <c r="H136" s="8"/>
    </row>
    <row r="137" spans="1:8" ht="14.25" customHeight="1" x14ac:dyDescent="0.25">
      <c r="A137" s="8"/>
      <c r="B137" s="8"/>
      <c r="C137" s="8"/>
      <c r="D137" s="8"/>
      <c r="E137" s="9"/>
      <c r="F137" s="8"/>
      <c r="G137" s="8"/>
      <c r="H137" s="8"/>
    </row>
    <row r="138" spans="1:8" ht="14.25" customHeight="1" x14ac:dyDescent="0.25">
      <c r="A138" s="8"/>
      <c r="B138" s="8"/>
      <c r="C138" s="8"/>
      <c r="D138" s="8"/>
      <c r="E138" s="9"/>
      <c r="F138" s="8"/>
      <c r="G138" s="8"/>
      <c r="H138" s="8"/>
    </row>
    <row r="139" spans="1:8" ht="14.25" customHeight="1" x14ac:dyDescent="0.25">
      <c r="A139" s="8"/>
      <c r="B139" s="8"/>
      <c r="C139" s="8"/>
      <c r="D139" s="8"/>
      <c r="E139" s="9"/>
      <c r="F139" s="8"/>
      <c r="G139" s="8"/>
      <c r="H139" s="8"/>
    </row>
    <row r="140" spans="1:8" ht="14.25" customHeight="1" x14ac:dyDescent="0.25">
      <c r="A140" s="8"/>
      <c r="B140" s="8"/>
      <c r="C140" s="8"/>
      <c r="D140" s="8"/>
      <c r="E140" s="9"/>
      <c r="F140" s="8"/>
      <c r="G140" s="8"/>
      <c r="H140" s="8"/>
    </row>
    <row r="141" spans="1:8" ht="14.25" customHeight="1" x14ac:dyDescent="0.25">
      <c r="A141" s="8"/>
      <c r="B141" s="8"/>
      <c r="C141" s="8"/>
      <c r="D141" s="8"/>
      <c r="E141" s="9"/>
      <c r="F141" s="8"/>
      <c r="G141" s="8"/>
      <c r="H141" s="8"/>
    </row>
    <row r="142" spans="1:8" ht="14.25" customHeight="1" x14ac:dyDescent="0.25">
      <c r="A142" s="8"/>
      <c r="B142" s="8"/>
      <c r="C142" s="8"/>
      <c r="D142" s="8"/>
      <c r="E142" s="9"/>
      <c r="F142" s="8"/>
      <c r="G142" s="8"/>
      <c r="H142" s="8"/>
    </row>
    <row r="143" spans="1:8" ht="14.25" customHeight="1" x14ac:dyDescent="0.25">
      <c r="A143" s="8"/>
      <c r="B143" s="8"/>
      <c r="C143" s="8"/>
      <c r="D143" s="8"/>
      <c r="E143" s="9"/>
      <c r="F143" s="8"/>
      <c r="G143" s="8"/>
      <c r="H143" s="8"/>
    </row>
    <row r="144" spans="1:8" ht="14.25" customHeight="1" x14ac:dyDescent="0.25">
      <c r="A144" s="8"/>
      <c r="B144" s="8"/>
      <c r="C144" s="8"/>
      <c r="D144" s="8"/>
      <c r="E144" s="9"/>
      <c r="F144" s="8"/>
      <c r="G144" s="8"/>
      <c r="H144" s="8"/>
    </row>
    <row r="145" spans="1:8" ht="14.25" customHeight="1" x14ac:dyDescent="0.25">
      <c r="A145" s="8"/>
      <c r="B145" s="8"/>
      <c r="C145" s="8"/>
      <c r="D145" s="8"/>
      <c r="E145" s="9"/>
      <c r="F145" s="8"/>
      <c r="G145" s="8"/>
      <c r="H145" s="8"/>
    </row>
    <row r="146" spans="1:8" ht="14.25" customHeight="1" x14ac:dyDescent="0.25">
      <c r="A146" s="8"/>
      <c r="B146" s="8"/>
      <c r="C146" s="8"/>
      <c r="D146" s="8"/>
      <c r="E146" s="9"/>
      <c r="F146" s="8"/>
      <c r="G146" s="8"/>
      <c r="H146" s="8"/>
    </row>
    <row r="147" spans="1:8" ht="14.25" customHeight="1" x14ac:dyDescent="0.25">
      <c r="A147" s="8"/>
      <c r="B147" s="8"/>
      <c r="C147" s="8"/>
      <c r="D147" s="8"/>
      <c r="E147" s="9"/>
      <c r="F147" s="8"/>
      <c r="G147" s="8"/>
      <c r="H147" s="8"/>
    </row>
    <row r="148" spans="1:8" ht="14.25" customHeight="1" x14ac:dyDescent="0.25">
      <c r="A148" s="8"/>
      <c r="B148" s="8"/>
      <c r="C148" s="8"/>
      <c r="D148" s="8"/>
      <c r="E148" s="9"/>
      <c r="F148" s="8"/>
      <c r="G148" s="8"/>
      <c r="H148" s="8"/>
    </row>
    <row r="149" spans="1:8" ht="14.25" customHeight="1" x14ac:dyDescent="0.25">
      <c r="A149" s="8"/>
      <c r="B149" s="8"/>
      <c r="C149" s="8"/>
      <c r="D149" s="8"/>
      <c r="E149" s="9"/>
      <c r="F149" s="8"/>
      <c r="G149" s="8"/>
      <c r="H149" s="8"/>
    </row>
    <row r="150" spans="1:8" ht="14.25" customHeight="1" x14ac:dyDescent="0.25">
      <c r="A150" s="8"/>
      <c r="B150" s="8"/>
      <c r="C150" s="8"/>
      <c r="D150" s="8"/>
      <c r="E150" s="9"/>
      <c r="F150" s="8"/>
      <c r="G150" s="8"/>
      <c r="H150" s="8"/>
    </row>
    <row r="151" spans="1:8" ht="14.25" customHeight="1" x14ac:dyDescent="0.25">
      <c r="A151" s="8"/>
      <c r="B151" s="8"/>
      <c r="C151" s="8"/>
      <c r="D151" s="8"/>
      <c r="E151" s="9"/>
      <c r="F151" s="8"/>
      <c r="G151" s="8"/>
      <c r="H151" s="8"/>
    </row>
    <row r="152" spans="1:8" ht="14.25" customHeight="1" x14ac:dyDescent="0.25">
      <c r="A152" s="8"/>
      <c r="B152" s="8"/>
      <c r="C152" s="8"/>
      <c r="D152" s="8"/>
      <c r="E152" s="9"/>
      <c r="F152" s="8"/>
      <c r="G152" s="8"/>
      <c r="H152" s="8"/>
    </row>
    <row r="153" spans="1:8" ht="14.25" customHeight="1" x14ac:dyDescent="0.25">
      <c r="A153" s="8"/>
      <c r="B153" s="8"/>
      <c r="C153" s="8"/>
      <c r="D153" s="8"/>
      <c r="E153" s="9"/>
      <c r="F153" s="8"/>
      <c r="G153" s="8"/>
      <c r="H153" s="8"/>
    </row>
    <row r="154" spans="1:8" ht="14.25" customHeight="1" x14ac:dyDescent="0.25">
      <c r="A154" s="8"/>
      <c r="B154" s="8"/>
      <c r="C154" s="8"/>
      <c r="D154" s="8"/>
      <c r="E154" s="9"/>
      <c r="F154" s="8"/>
      <c r="G154" s="8"/>
      <c r="H154" s="8"/>
    </row>
    <row r="155" spans="1:8" ht="14.25" customHeight="1" x14ac:dyDescent="0.25">
      <c r="A155" s="8"/>
      <c r="B155" s="8"/>
      <c r="C155" s="8"/>
      <c r="D155" s="8"/>
      <c r="E155" s="9"/>
      <c r="F155" s="8"/>
      <c r="G155" s="8"/>
      <c r="H155" s="8"/>
    </row>
    <row r="156" spans="1:8" ht="14.25" customHeight="1" x14ac:dyDescent="0.25">
      <c r="A156" s="8"/>
      <c r="B156" s="8"/>
      <c r="C156" s="8"/>
      <c r="D156" s="8"/>
      <c r="E156" s="9"/>
      <c r="F156" s="8"/>
      <c r="G156" s="8"/>
      <c r="H156" s="8"/>
    </row>
    <row r="157" spans="1:8" ht="14.25" customHeight="1" x14ac:dyDescent="0.25">
      <c r="A157" s="8"/>
      <c r="B157" s="8"/>
      <c r="C157" s="8"/>
      <c r="D157" s="8"/>
      <c r="E157" s="9"/>
      <c r="F157" s="8"/>
      <c r="G157" s="8"/>
      <c r="H157" s="8"/>
    </row>
    <row r="158" spans="1:8" ht="14.25" customHeight="1" x14ac:dyDescent="0.25">
      <c r="A158" s="8"/>
      <c r="B158" s="8"/>
      <c r="C158" s="8"/>
      <c r="D158" s="8"/>
      <c r="E158" s="9"/>
      <c r="F158" s="8"/>
      <c r="G158" s="8"/>
      <c r="H158" s="8"/>
    </row>
    <row r="159" spans="1:8" ht="14.25" customHeight="1" x14ac:dyDescent="0.25">
      <c r="A159" s="8"/>
      <c r="B159" s="8"/>
      <c r="C159" s="8"/>
      <c r="D159" s="8"/>
      <c r="E159" s="9"/>
      <c r="F159" s="8"/>
      <c r="G159" s="8"/>
      <c r="H159" s="8"/>
    </row>
    <row r="160" spans="1:8" ht="14.25" customHeight="1" x14ac:dyDescent="0.25">
      <c r="A160" s="8"/>
      <c r="B160" s="8"/>
      <c r="C160" s="8"/>
      <c r="D160" s="8"/>
      <c r="E160" s="9"/>
      <c r="F160" s="8"/>
      <c r="G160" s="8"/>
      <c r="H160" s="8"/>
    </row>
    <row r="161" spans="1:8" ht="14.25" customHeight="1" x14ac:dyDescent="0.25">
      <c r="A161" s="8"/>
      <c r="B161" s="8"/>
      <c r="C161" s="8"/>
      <c r="D161" s="8"/>
      <c r="E161" s="9"/>
      <c r="F161" s="8"/>
      <c r="G161" s="8"/>
      <c r="H161" s="8"/>
    </row>
    <row r="162" spans="1:8" ht="14.25" customHeight="1" x14ac:dyDescent="0.25">
      <c r="A162" s="8"/>
      <c r="B162" s="8"/>
      <c r="C162" s="8"/>
      <c r="D162" s="8"/>
      <c r="E162" s="9"/>
      <c r="F162" s="8"/>
      <c r="G162" s="8"/>
      <c r="H162" s="8"/>
    </row>
    <row r="163" spans="1:8" ht="14.25" customHeight="1" x14ac:dyDescent="0.25">
      <c r="A163" s="8"/>
      <c r="B163" s="8"/>
      <c r="C163" s="8"/>
      <c r="D163" s="8"/>
      <c r="E163" s="9"/>
      <c r="F163" s="8"/>
      <c r="G163" s="8"/>
      <c r="H163" s="8"/>
    </row>
    <row r="164" spans="1:8" ht="14.25" customHeight="1" x14ac:dyDescent="0.25">
      <c r="A164" s="8"/>
      <c r="B164" s="8"/>
      <c r="C164" s="8"/>
      <c r="D164" s="8"/>
      <c r="E164" s="9"/>
      <c r="F164" s="8"/>
      <c r="G164" s="8"/>
      <c r="H164" s="8"/>
    </row>
    <row r="165" spans="1:8" ht="14.25" customHeight="1" x14ac:dyDescent="0.25">
      <c r="A165" s="8"/>
      <c r="B165" s="8"/>
      <c r="C165" s="8"/>
      <c r="D165" s="8"/>
      <c r="E165" s="9"/>
      <c r="F165" s="8"/>
      <c r="G165" s="8"/>
      <c r="H165" s="8"/>
    </row>
    <row r="166" spans="1:8" ht="14.25" customHeight="1" x14ac:dyDescent="0.25">
      <c r="A166" s="8"/>
      <c r="B166" s="8"/>
      <c r="C166" s="8"/>
      <c r="D166" s="8"/>
      <c r="E166" s="9"/>
      <c r="F166" s="8"/>
      <c r="G166" s="8"/>
      <c r="H166" s="8"/>
    </row>
    <row r="167" spans="1:8" ht="14.25" customHeight="1" x14ac:dyDescent="0.25">
      <c r="A167" s="8"/>
      <c r="B167" s="8"/>
      <c r="C167" s="8"/>
      <c r="D167" s="8"/>
      <c r="E167" s="9"/>
      <c r="F167" s="8"/>
      <c r="G167" s="8"/>
      <c r="H167" s="8"/>
    </row>
    <row r="168" spans="1:8" ht="14.25" customHeight="1" x14ac:dyDescent="0.25">
      <c r="A168" s="8"/>
      <c r="B168" s="8"/>
      <c r="C168" s="8"/>
      <c r="D168" s="8"/>
      <c r="E168" s="9"/>
      <c r="F168" s="8"/>
      <c r="G168" s="8"/>
      <c r="H168" s="8"/>
    </row>
    <row r="169" spans="1:8" ht="14.25" customHeight="1" x14ac:dyDescent="0.25">
      <c r="A169" s="8"/>
      <c r="B169" s="8"/>
      <c r="C169" s="8"/>
      <c r="D169" s="8"/>
      <c r="E169" s="9"/>
      <c r="F169" s="8"/>
      <c r="G169" s="8"/>
      <c r="H169" s="8"/>
    </row>
    <row r="170" spans="1:8" ht="14.25" customHeight="1" x14ac:dyDescent="0.25">
      <c r="A170" s="8"/>
      <c r="B170" s="8"/>
      <c r="C170" s="8"/>
      <c r="D170" s="8"/>
      <c r="E170" s="9"/>
      <c r="F170" s="8"/>
      <c r="G170" s="8"/>
      <c r="H170" s="8"/>
    </row>
    <row r="171" spans="1:8" ht="14.25" customHeight="1" x14ac:dyDescent="0.25">
      <c r="A171" s="8"/>
      <c r="B171" s="8"/>
      <c r="C171" s="8"/>
      <c r="D171" s="8"/>
      <c r="E171" s="9"/>
      <c r="F171" s="8"/>
      <c r="G171" s="8"/>
      <c r="H171" s="8"/>
    </row>
    <row r="172" spans="1:8" ht="14.25" customHeight="1" x14ac:dyDescent="0.25">
      <c r="A172" s="8"/>
      <c r="B172" s="8"/>
      <c r="C172" s="8"/>
      <c r="D172" s="8"/>
      <c r="E172" s="9"/>
      <c r="F172" s="8"/>
      <c r="G172" s="8"/>
      <c r="H172" s="8"/>
    </row>
    <row r="173" spans="1:8" ht="14.25" customHeight="1" x14ac:dyDescent="0.25">
      <c r="A173" s="8"/>
      <c r="B173" s="8"/>
      <c r="C173" s="8"/>
      <c r="D173" s="8"/>
      <c r="E173" s="9"/>
      <c r="F173" s="8"/>
      <c r="G173" s="8"/>
      <c r="H173" s="8"/>
    </row>
    <row r="174" spans="1:8" ht="14.25" customHeight="1" x14ac:dyDescent="0.25">
      <c r="A174" s="8"/>
      <c r="B174" s="8"/>
      <c r="C174" s="8"/>
      <c r="D174" s="8"/>
      <c r="E174" s="9"/>
      <c r="F174" s="8"/>
      <c r="G174" s="8"/>
      <c r="H174" s="8"/>
    </row>
    <row r="175" spans="1:8" ht="14.25" customHeight="1" x14ac:dyDescent="0.25">
      <c r="A175" s="8"/>
      <c r="B175" s="8"/>
      <c r="C175" s="8"/>
      <c r="D175" s="8"/>
      <c r="E175" s="9"/>
      <c r="F175" s="8"/>
      <c r="G175" s="8"/>
      <c r="H175" s="8"/>
    </row>
    <row r="176" spans="1:8" ht="14.25" customHeight="1" x14ac:dyDescent="0.25">
      <c r="A176" s="8"/>
      <c r="B176" s="8"/>
      <c r="C176" s="8"/>
      <c r="D176" s="8"/>
      <c r="E176" s="9"/>
      <c r="F176" s="8"/>
      <c r="G176" s="8"/>
      <c r="H176" s="8"/>
    </row>
    <row r="177" spans="1:8" ht="14.25" customHeight="1" x14ac:dyDescent="0.25">
      <c r="A177" s="8"/>
      <c r="B177" s="8"/>
      <c r="C177" s="8"/>
      <c r="D177" s="8"/>
      <c r="E177" s="9"/>
      <c r="F177" s="8"/>
      <c r="G177" s="8"/>
      <c r="H177" s="8"/>
    </row>
    <row r="178" spans="1:8" ht="14.25" customHeight="1" x14ac:dyDescent="0.25">
      <c r="A178" s="8"/>
      <c r="B178" s="8"/>
      <c r="C178" s="8"/>
      <c r="D178" s="8"/>
      <c r="E178" s="9"/>
      <c r="F178" s="8"/>
      <c r="G178" s="8"/>
      <c r="H178" s="8"/>
    </row>
    <row r="179" spans="1:8" ht="14.25" customHeight="1" x14ac:dyDescent="0.25">
      <c r="A179" s="8"/>
      <c r="B179" s="8"/>
      <c r="C179" s="8"/>
      <c r="D179" s="8"/>
      <c r="E179" s="9"/>
      <c r="F179" s="8"/>
      <c r="G179" s="8"/>
      <c r="H179" s="8"/>
    </row>
    <row r="180" spans="1:8" ht="14.25" customHeight="1" x14ac:dyDescent="0.25">
      <c r="A180" s="8"/>
      <c r="B180" s="8"/>
      <c r="C180" s="8"/>
      <c r="D180" s="8"/>
      <c r="E180" s="9"/>
      <c r="F180" s="8"/>
      <c r="G180" s="8"/>
      <c r="H180" s="8"/>
    </row>
    <row r="181" spans="1:8" ht="14.25" customHeight="1" x14ac:dyDescent="0.25">
      <c r="A181" s="8"/>
      <c r="B181" s="8"/>
      <c r="C181" s="8"/>
      <c r="D181" s="8"/>
      <c r="E181" s="9"/>
      <c r="F181" s="8"/>
      <c r="G181" s="8"/>
      <c r="H181" s="8"/>
    </row>
    <row r="182" spans="1:8" ht="14.25" customHeight="1" x14ac:dyDescent="0.25">
      <c r="A182" s="8"/>
      <c r="B182" s="8"/>
      <c r="C182" s="8"/>
      <c r="D182" s="8"/>
      <c r="E182" s="9"/>
      <c r="F182" s="8"/>
      <c r="G182" s="8"/>
      <c r="H182" s="8"/>
    </row>
    <row r="183" spans="1:8" ht="14.25" customHeight="1" x14ac:dyDescent="0.25">
      <c r="A183" s="8"/>
      <c r="B183" s="8"/>
      <c r="C183" s="8"/>
      <c r="D183" s="8"/>
      <c r="E183" s="9"/>
      <c r="F183" s="8"/>
      <c r="G183" s="8"/>
      <c r="H183" s="8"/>
    </row>
    <row r="184" spans="1:8" ht="14.25" customHeight="1" x14ac:dyDescent="0.25">
      <c r="A184" s="8"/>
      <c r="B184" s="8"/>
      <c r="C184" s="8"/>
      <c r="D184" s="8"/>
      <c r="E184" s="9"/>
      <c r="F184" s="8"/>
      <c r="G184" s="8"/>
      <c r="H184" s="8"/>
    </row>
    <row r="185" spans="1:8" ht="14.25" customHeight="1" x14ac:dyDescent="0.25">
      <c r="A185" s="8"/>
      <c r="B185" s="8"/>
      <c r="C185" s="8"/>
      <c r="D185" s="8"/>
      <c r="E185" s="9"/>
      <c r="F185" s="8"/>
      <c r="G185" s="8"/>
      <c r="H185" s="8"/>
    </row>
    <row r="186" spans="1:8" ht="14.25" customHeight="1" x14ac:dyDescent="0.25">
      <c r="A186" s="8"/>
      <c r="B186" s="8"/>
      <c r="C186" s="8"/>
      <c r="D186" s="8"/>
      <c r="E186" s="9"/>
      <c r="F186" s="8"/>
      <c r="G186" s="8"/>
      <c r="H186" s="8"/>
    </row>
    <row r="187" spans="1:8" ht="14.25" customHeight="1" x14ac:dyDescent="0.25">
      <c r="A187" s="8"/>
      <c r="B187" s="8"/>
      <c r="C187" s="8"/>
      <c r="D187" s="8"/>
      <c r="E187" s="9"/>
      <c r="F187" s="8"/>
      <c r="G187" s="8"/>
      <c r="H187" s="8"/>
    </row>
    <row r="188" spans="1:8" ht="14.25" customHeight="1" x14ac:dyDescent="0.25">
      <c r="A188" s="8"/>
      <c r="B188" s="8"/>
      <c r="C188" s="8"/>
      <c r="D188" s="8"/>
      <c r="E188" s="9"/>
      <c r="F188" s="8"/>
      <c r="G188" s="8"/>
      <c r="H188" s="8"/>
    </row>
    <row r="189" spans="1:8" ht="14.25" customHeight="1" x14ac:dyDescent="0.25">
      <c r="A189" s="8"/>
      <c r="B189" s="8"/>
      <c r="C189" s="8"/>
      <c r="D189" s="8"/>
      <c r="E189" s="9"/>
      <c r="F189" s="8"/>
      <c r="G189" s="8"/>
      <c r="H189" s="8"/>
    </row>
    <row r="190" spans="1:8" ht="14.25" customHeight="1" x14ac:dyDescent="0.25">
      <c r="A190" s="8"/>
      <c r="B190" s="8"/>
      <c r="C190" s="8"/>
      <c r="D190" s="8"/>
      <c r="E190" s="9"/>
      <c r="F190" s="8"/>
      <c r="G190" s="8"/>
      <c r="H190" s="8"/>
    </row>
    <row r="191" spans="1:8" ht="14.25" customHeight="1" x14ac:dyDescent="0.25">
      <c r="A191" s="8"/>
      <c r="B191" s="8"/>
      <c r="C191" s="8"/>
      <c r="D191" s="8"/>
      <c r="E191" s="9"/>
      <c r="F191" s="8"/>
      <c r="G191" s="8"/>
      <c r="H191" s="8"/>
    </row>
    <row r="192" spans="1:8" ht="14.25" customHeight="1" x14ac:dyDescent="0.25">
      <c r="A192" s="8"/>
      <c r="B192" s="8"/>
      <c r="C192" s="8"/>
      <c r="D192" s="8"/>
      <c r="E192" s="9"/>
      <c r="F192" s="8"/>
      <c r="G192" s="8"/>
      <c r="H192" s="8"/>
    </row>
    <row r="193" spans="1:8" ht="14.25" customHeight="1" x14ac:dyDescent="0.25">
      <c r="A193" s="8"/>
      <c r="B193" s="8"/>
      <c r="C193" s="8"/>
      <c r="D193" s="8"/>
      <c r="E193" s="9"/>
      <c r="F193" s="8"/>
      <c r="G193" s="8"/>
      <c r="H193" s="8"/>
    </row>
    <row r="194" spans="1:8" ht="14.25" customHeight="1" x14ac:dyDescent="0.25">
      <c r="A194" s="8"/>
      <c r="B194" s="8"/>
      <c r="C194" s="8"/>
      <c r="D194" s="8"/>
      <c r="E194" s="9"/>
      <c r="F194" s="8"/>
      <c r="G194" s="8"/>
      <c r="H194" s="8"/>
    </row>
    <row r="195" spans="1:8" ht="14.25" customHeight="1" x14ac:dyDescent="0.25">
      <c r="A195" s="8"/>
      <c r="B195" s="8"/>
      <c r="C195" s="8"/>
      <c r="D195" s="8"/>
      <c r="E195" s="9"/>
      <c r="F195" s="8"/>
      <c r="G195" s="8"/>
      <c r="H195" s="8"/>
    </row>
    <row r="196" spans="1:8" ht="14.25" customHeight="1" x14ac:dyDescent="0.25">
      <c r="A196" s="8"/>
      <c r="B196" s="8"/>
      <c r="C196" s="8"/>
      <c r="D196" s="8"/>
      <c r="E196" s="9"/>
      <c r="F196" s="8"/>
      <c r="G196" s="8"/>
      <c r="H196" s="8"/>
    </row>
    <row r="197" spans="1:8" ht="14.25" customHeight="1" x14ac:dyDescent="0.25">
      <c r="A197" s="8"/>
      <c r="B197" s="8"/>
      <c r="C197" s="8"/>
      <c r="D197" s="8"/>
      <c r="E197" s="9"/>
      <c r="F197" s="8"/>
      <c r="G197" s="8"/>
      <c r="H197" s="8"/>
    </row>
    <row r="198" spans="1:8" ht="14.25" customHeight="1" x14ac:dyDescent="0.25">
      <c r="A198" s="8"/>
      <c r="B198" s="8"/>
      <c r="C198" s="8"/>
      <c r="D198" s="8"/>
      <c r="E198" s="9"/>
      <c r="F198" s="8"/>
      <c r="G198" s="8"/>
      <c r="H198" s="8"/>
    </row>
    <row r="199" spans="1:8" ht="14.25" customHeight="1" x14ac:dyDescent="0.25">
      <c r="A199" s="8"/>
      <c r="B199" s="8"/>
      <c r="C199" s="8"/>
      <c r="D199" s="8"/>
      <c r="E199" s="9"/>
      <c r="F199" s="8"/>
      <c r="G199" s="8"/>
      <c r="H199" s="8"/>
    </row>
    <row r="200" spans="1:8" ht="14.25" customHeight="1" x14ac:dyDescent="0.25">
      <c r="A200" s="8"/>
      <c r="B200" s="8"/>
      <c r="C200" s="8"/>
      <c r="D200" s="8"/>
      <c r="E200" s="9"/>
      <c r="F200" s="8"/>
      <c r="G200" s="8"/>
      <c r="H200" s="8"/>
    </row>
    <row r="201" spans="1:8" ht="14.25" customHeight="1" x14ac:dyDescent="0.25">
      <c r="A201" s="8"/>
      <c r="B201" s="8"/>
      <c r="C201" s="8"/>
      <c r="D201" s="8"/>
      <c r="E201" s="9"/>
      <c r="F201" s="8"/>
      <c r="G201" s="8"/>
      <c r="H201" s="8"/>
    </row>
    <row r="202" spans="1:8" ht="14.25" customHeight="1" x14ac:dyDescent="0.25">
      <c r="A202" s="8"/>
      <c r="B202" s="8"/>
      <c r="C202" s="8"/>
      <c r="D202" s="8"/>
      <c r="E202" s="9"/>
      <c r="F202" s="8"/>
      <c r="G202" s="8"/>
      <c r="H202" s="8"/>
    </row>
    <row r="203" spans="1:8" ht="14.25" customHeight="1" x14ac:dyDescent="0.25">
      <c r="A203" s="8"/>
      <c r="B203" s="8"/>
      <c r="C203" s="8"/>
      <c r="D203" s="8"/>
      <c r="E203" s="9"/>
      <c r="F203" s="8"/>
      <c r="G203" s="8"/>
      <c r="H203" s="8"/>
    </row>
    <row r="204" spans="1:8" ht="14.25" customHeight="1" x14ac:dyDescent="0.25">
      <c r="A204" s="8"/>
      <c r="B204" s="8"/>
      <c r="C204" s="8"/>
      <c r="D204" s="8"/>
      <c r="E204" s="9"/>
      <c r="F204" s="8"/>
      <c r="G204" s="8"/>
      <c r="H204" s="8"/>
    </row>
    <row r="205" spans="1:8" ht="14.25" customHeight="1" x14ac:dyDescent="0.25">
      <c r="A205" s="8"/>
      <c r="B205" s="8"/>
      <c r="C205" s="8"/>
      <c r="D205" s="8"/>
      <c r="E205" s="9"/>
      <c r="F205" s="8"/>
      <c r="G205" s="8"/>
      <c r="H205" s="8"/>
    </row>
    <row r="206" spans="1:8" ht="14.25" customHeight="1" x14ac:dyDescent="0.25">
      <c r="A206" s="8"/>
      <c r="B206" s="8"/>
      <c r="C206" s="8"/>
      <c r="D206" s="8"/>
      <c r="E206" s="9"/>
      <c r="F206" s="8"/>
      <c r="G206" s="8"/>
      <c r="H206" s="8"/>
    </row>
    <row r="207" spans="1:8" ht="14.25" customHeight="1" x14ac:dyDescent="0.25">
      <c r="A207" s="8"/>
      <c r="B207" s="8"/>
      <c r="C207" s="8"/>
      <c r="D207" s="8"/>
      <c r="E207" s="9"/>
      <c r="F207" s="8"/>
      <c r="G207" s="8"/>
      <c r="H207" s="8"/>
    </row>
    <row r="208" spans="1:8" ht="14.25" customHeight="1" x14ac:dyDescent="0.25">
      <c r="A208" s="8"/>
      <c r="B208" s="8"/>
      <c r="C208" s="8"/>
      <c r="D208" s="8"/>
      <c r="E208" s="9"/>
      <c r="F208" s="8"/>
      <c r="G208" s="8"/>
      <c r="H208" s="8"/>
    </row>
    <row r="209" spans="1:8" ht="14.25" customHeight="1" x14ac:dyDescent="0.25">
      <c r="A209" s="8"/>
      <c r="B209" s="8"/>
      <c r="C209" s="8"/>
      <c r="D209" s="8"/>
      <c r="E209" s="9"/>
      <c r="F209" s="8"/>
      <c r="G209" s="8"/>
      <c r="H209" s="8"/>
    </row>
    <row r="210" spans="1:8" ht="14.25" customHeight="1" x14ac:dyDescent="0.25">
      <c r="A210" s="8"/>
      <c r="B210" s="8"/>
      <c r="C210" s="8"/>
      <c r="D210" s="8"/>
      <c r="E210" s="9"/>
      <c r="F210" s="8"/>
      <c r="G210" s="8"/>
      <c r="H210" s="8"/>
    </row>
    <row r="211" spans="1:8" ht="14.25" customHeight="1" x14ac:dyDescent="0.25">
      <c r="A211" s="8"/>
      <c r="B211" s="8"/>
      <c r="C211" s="8"/>
      <c r="D211" s="8"/>
      <c r="E211" s="9"/>
      <c r="F211" s="8"/>
      <c r="G211" s="8"/>
      <c r="H211" s="8"/>
    </row>
    <row r="212" spans="1:8" ht="14.25" customHeight="1" x14ac:dyDescent="0.25">
      <c r="A212" s="8"/>
      <c r="B212" s="8"/>
      <c r="C212" s="8"/>
      <c r="D212" s="8"/>
      <c r="E212" s="9"/>
      <c r="F212" s="8"/>
      <c r="G212" s="8"/>
      <c r="H212" s="8"/>
    </row>
    <row r="213" spans="1:8" ht="14.25" customHeight="1" x14ac:dyDescent="0.25">
      <c r="A213" s="8"/>
      <c r="B213" s="8"/>
      <c r="C213" s="8"/>
      <c r="D213" s="8"/>
      <c r="E213" s="9"/>
      <c r="F213" s="8"/>
      <c r="G213" s="8"/>
      <c r="H213" s="8"/>
    </row>
    <row r="214" spans="1:8" ht="14.25" customHeight="1" x14ac:dyDescent="0.25">
      <c r="A214" s="8"/>
      <c r="B214" s="8"/>
      <c r="C214" s="8"/>
      <c r="D214" s="8"/>
      <c r="E214" s="9"/>
      <c r="F214" s="8"/>
      <c r="G214" s="8"/>
      <c r="H214" s="8"/>
    </row>
    <row r="215" spans="1:8" ht="14.25" customHeight="1" x14ac:dyDescent="0.25">
      <c r="A215" s="8"/>
      <c r="B215" s="8"/>
      <c r="C215" s="8"/>
      <c r="D215" s="8"/>
      <c r="E215" s="9"/>
      <c r="F215" s="8"/>
      <c r="G215" s="8"/>
      <c r="H215" s="8"/>
    </row>
    <row r="216" spans="1:8" ht="14.25" customHeight="1" x14ac:dyDescent="0.25">
      <c r="A216" s="8"/>
      <c r="B216" s="8"/>
      <c r="C216" s="8"/>
      <c r="D216" s="8"/>
      <c r="E216" s="9"/>
      <c r="F216" s="8"/>
      <c r="G216" s="8"/>
      <c r="H216" s="8"/>
    </row>
    <row r="217" spans="1:8" ht="14.25" customHeight="1" x14ac:dyDescent="0.25">
      <c r="A217" s="8"/>
      <c r="B217" s="8"/>
      <c r="C217" s="8"/>
      <c r="D217" s="8"/>
      <c r="E217" s="9"/>
      <c r="F217" s="8"/>
      <c r="G217" s="8"/>
      <c r="H217" s="8"/>
    </row>
    <row r="218" spans="1:8" ht="14.25" customHeight="1" x14ac:dyDescent="0.25">
      <c r="A218" s="8"/>
      <c r="B218" s="8"/>
      <c r="C218" s="8"/>
      <c r="D218" s="8"/>
      <c r="E218" s="9"/>
      <c r="F218" s="8"/>
      <c r="G218" s="8"/>
      <c r="H218" s="8"/>
    </row>
    <row r="219" spans="1:8" ht="14.25" customHeight="1" x14ac:dyDescent="0.25">
      <c r="A219" s="8"/>
      <c r="B219" s="8"/>
      <c r="C219" s="8"/>
      <c r="D219" s="8"/>
      <c r="E219" s="9"/>
      <c r="F219" s="8"/>
      <c r="G219" s="8"/>
      <c r="H219" s="8"/>
    </row>
    <row r="220" spans="1:8" ht="14.25" customHeight="1" x14ac:dyDescent="0.25">
      <c r="A220" s="8"/>
      <c r="B220" s="8"/>
      <c r="C220" s="8"/>
      <c r="D220" s="8"/>
      <c r="E220" s="9"/>
      <c r="F220" s="8"/>
      <c r="G220" s="8"/>
      <c r="H220" s="8"/>
    </row>
    <row r="221" spans="1:8" ht="14.25" customHeight="1" x14ac:dyDescent="0.25">
      <c r="A221" s="8"/>
      <c r="B221" s="8"/>
      <c r="C221" s="8"/>
      <c r="D221" s="8"/>
      <c r="E221" s="9"/>
      <c r="F221" s="8"/>
      <c r="G221" s="8"/>
      <c r="H221" s="8"/>
    </row>
    <row r="222" spans="1:8" ht="14.25" customHeight="1" x14ac:dyDescent="0.25">
      <c r="A222" s="8"/>
      <c r="B222" s="8"/>
      <c r="C222" s="8"/>
      <c r="D222" s="8"/>
      <c r="E222" s="9"/>
      <c r="F222" s="8"/>
      <c r="G222" s="8"/>
      <c r="H222" s="8"/>
    </row>
    <row r="223" spans="1:8" ht="14.25" customHeight="1" x14ac:dyDescent="0.25">
      <c r="A223" s="8"/>
      <c r="B223" s="8"/>
      <c r="C223" s="8"/>
      <c r="D223" s="8"/>
      <c r="E223" s="9"/>
      <c r="F223" s="8"/>
      <c r="G223" s="8"/>
      <c r="H223" s="8"/>
    </row>
    <row r="224" spans="1:8" ht="14.25" customHeight="1" x14ac:dyDescent="0.25">
      <c r="A224" s="8"/>
      <c r="B224" s="8"/>
      <c r="C224" s="8"/>
      <c r="D224" s="8"/>
      <c r="E224" s="9"/>
      <c r="F224" s="8"/>
      <c r="G224" s="8"/>
      <c r="H224" s="8"/>
    </row>
    <row r="225" spans="1:8" ht="14.25" customHeight="1" x14ac:dyDescent="0.25">
      <c r="A225" s="8"/>
      <c r="B225" s="8"/>
      <c r="C225" s="8"/>
      <c r="D225" s="8"/>
      <c r="E225" s="9"/>
      <c r="F225" s="8"/>
      <c r="G225" s="8"/>
      <c r="H225" s="8"/>
    </row>
    <row r="226" spans="1:8" ht="14.25" customHeight="1" x14ac:dyDescent="0.25">
      <c r="A226" s="8"/>
      <c r="B226" s="8"/>
      <c r="C226" s="8"/>
      <c r="D226" s="8"/>
      <c r="E226" s="9"/>
      <c r="F226" s="8"/>
      <c r="G226" s="8"/>
      <c r="H226" s="8"/>
    </row>
    <row r="227" spans="1:8" ht="14.25" customHeight="1" x14ac:dyDescent="0.25">
      <c r="A227" s="8"/>
      <c r="B227" s="8"/>
      <c r="C227" s="8"/>
      <c r="D227" s="8"/>
      <c r="E227" s="9"/>
      <c r="F227" s="8"/>
      <c r="G227" s="8"/>
      <c r="H227" s="8"/>
    </row>
    <row r="228" spans="1:8" ht="14.25" customHeight="1" x14ac:dyDescent="0.25">
      <c r="A228" s="8"/>
      <c r="B228" s="8"/>
      <c r="C228" s="8"/>
      <c r="D228" s="8"/>
      <c r="E228" s="9"/>
      <c r="F228" s="8"/>
      <c r="G228" s="8"/>
      <c r="H228" s="8"/>
    </row>
    <row r="229" spans="1:8" ht="14.25" customHeight="1" x14ac:dyDescent="0.25">
      <c r="A229" s="8"/>
      <c r="B229" s="8"/>
      <c r="C229" s="8"/>
      <c r="D229" s="8"/>
      <c r="E229" s="9"/>
      <c r="F229" s="8"/>
      <c r="G229" s="8"/>
      <c r="H229" s="8"/>
    </row>
    <row r="230" spans="1:8" ht="14.25" customHeight="1" x14ac:dyDescent="0.25">
      <c r="A230" s="8"/>
      <c r="B230" s="8"/>
      <c r="C230" s="8"/>
      <c r="D230" s="8"/>
      <c r="E230" s="9"/>
      <c r="F230" s="8"/>
      <c r="G230" s="8"/>
      <c r="H230" s="8"/>
    </row>
    <row r="231" spans="1:8" ht="14.25" customHeight="1" x14ac:dyDescent="0.25">
      <c r="A231" s="8"/>
      <c r="B231" s="8"/>
      <c r="C231" s="8"/>
      <c r="D231" s="8"/>
      <c r="E231" s="9"/>
      <c r="F231" s="8"/>
      <c r="G231" s="8"/>
      <c r="H231" s="8"/>
    </row>
    <row r="232" spans="1:8" ht="14.25" customHeight="1" x14ac:dyDescent="0.25">
      <c r="A232" s="8"/>
      <c r="B232" s="8"/>
      <c r="C232" s="8"/>
      <c r="D232" s="8"/>
      <c r="E232" s="9"/>
      <c r="F232" s="8"/>
      <c r="G232" s="8"/>
      <c r="H232" s="8"/>
    </row>
    <row r="233" spans="1:8" ht="14.25" customHeight="1" x14ac:dyDescent="0.25">
      <c r="A233" s="8"/>
      <c r="B233" s="8"/>
      <c r="C233" s="8"/>
      <c r="D233" s="8"/>
      <c r="E233" s="9"/>
      <c r="F233" s="8"/>
      <c r="G233" s="8"/>
      <c r="H233" s="8"/>
    </row>
    <row r="234" spans="1:8" ht="14.25" customHeight="1" x14ac:dyDescent="0.25">
      <c r="A234" s="8"/>
      <c r="B234" s="8"/>
      <c r="C234" s="8"/>
      <c r="D234" s="8"/>
      <c r="E234" s="9"/>
      <c r="F234" s="8"/>
      <c r="G234" s="8"/>
      <c r="H234" s="8"/>
    </row>
    <row r="235" spans="1:8" ht="14.25" customHeight="1" x14ac:dyDescent="0.25">
      <c r="A235" s="8"/>
      <c r="B235" s="8"/>
      <c r="C235" s="8"/>
      <c r="D235" s="8"/>
      <c r="E235" s="9"/>
      <c r="F235" s="8"/>
      <c r="G235" s="8"/>
      <c r="H235" s="8"/>
    </row>
    <row r="236" spans="1:8" ht="14.25" customHeight="1" x14ac:dyDescent="0.25">
      <c r="A236" s="8"/>
      <c r="B236" s="8"/>
      <c r="C236" s="8"/>
      <c r="D236" s="8"/>
      <c r="E236" s="9"/>
      <c r="F236" s="8"/>
      <c r="G236" s="8"/>
      <c r="H236" s="8"/>
    </row>
    <row r="237" spans="1:8" ht="14.25" customHeight="1" x14ac:dyDescent="0.25">
      <c r="A237" s="8"/>
      <c r="B237" s="8"/>
      <c r="C237" s="8"/>
      <c r="D237" s="8"/>
      <c r="E237" s="9"/>
      <c r="F237" s="8"/>
      <c r="G237" s="8"/>
      <c r="H237" s="8"/>
    </row>
    <row r="238" spans="1:8" ht="14.25" customHeight="1" x14ac:dyDescent="0.25">
      <c r="A238" s="8"/>
      <c r="B238" s="8"/>
      <c r="C238" s="8"/>
      <c r="D238" s="8"/>
      <c r="E238" s="9"/>
      <c r="F238" s="8"/>
      <c r="G238" s="8"/>
      <c r="H238" s="8"/>
    </row>
    <row r="239" spans="1:8" ht="14.25" customHeight="1" x14ac:dyDescent="0.25">
      <c r="A239" s="8"/>
      <c r="B239" s="8"/>
      <c r="C239" s="8"/>
      <c r="D239" s="8"/>
      <c r="E239" s="9"/>
      <c r="F239" s="8"/>
      <c r="G239" s="8"/>
      <c r="H239" s="8"/>
    </row>
    <row r="240" spans="1:8" ht="14.25" customHeight="1" x14ac:dyDescent="0.25">
      <c r="A240" s="8"/>
      <c r="B240" s="8"/>
      <c r="C240" s="8"/>
      <c r="D240" s="8"/>
      <c r="E240" s="9"/>
      <c r="F240" s="8"/>
      <c r="G240" s="8"/>
      <c r="H240" s="8"/>
    </row>
    <row r="241" spans="1:8" ht="14.25" customHeight="1" x14ac:dyDescent="0.25">
      <c r="A241" s="8"/>
      <c r="B241" s="8"/>
      <c r="C241" s="8"/>
      <c r="D241" s="8"/>
      <c r="E241" s="9"/>
      <c r="F241" s="8"/>
      <c r="G241" s="8"/>
      <c r="H241" s="8"/>
    </row>
    <row r="242" spans="1:8" ht="14.25" customHeight="1" x14ac:dyDescent="0.25">
      <c r="A242" s="8"/>
      <c r="B242" s="8"/>
      <c r="C242" s="8"/>
      <c r="D242" s="8"/>
      <c r="E242" s="9"/>
      <c r="F242" s="8"/>
      <c r="G242" s="8"/>
      <c r="H242" s="8"/>
    </row>
    <row r="243" spans="1:8" ht="14.25" customHeight="1" x14ac:dyDescent="0.25">
      <c r="A243" s="8"/>
      <c r="B243" s="8"/>
      <c r="C243" s="8"/>
      <c r="D243" s="8"/>
      <c r="E243" s="9"/>
      <c r="F243" s="8"/>
      <c r="G243" s="8"/>
      <c r="H243" s="8"/>
    </row>
    <row r="244" spans="1:8" ht="14.25" customHeight="1" x14ac:dyDescent="0.25">
      <c r="A244" s="8"/>
      <c r="B244" s="8"/>
      <c r="C244" s="8"/>
      <c r="D244" s="8"/>
      <c r="E244" s="9"/>
      <c r="F244" s="8"/>
      <c r="G244" s="8"/>
      <c r="H244" s="8"/>
    </row>
    <row r="245" spans="1:8" ht="14.25" customHeight="1" x14ac:dyDescent="0.25">
      <c r="A245" s="8"/>
      <c r="B245" s="8"/>
      <c r="C245" s="8"/>
      <c r="D245" s="8"/>
      <c r="E245" s="9"/>
      <c r="F245" s="8"/>
      <c r="G245" s="8"/>
      <c r="H245" s="8"/>
    </row>
    <row r="246" spans="1:8" ht="14.25" customHeight="1" x14ac:dyDescent="0.25">
      <c r="A246" s="8"/>
      <c r="B246" s="8"/>
      <c r="C246" s="8"/>
      <c r="D246" s="8"/>
      <c r="E246" s="9"/>
      <c r="F246" s="8"/>
      <c r="G246" s="8"/>
      <c r="H246" s="8"/>
    </row>
    <row r="247" spans="1:8" ht="14.25" customHeight="1" x14ac:dyDescent="0.25">
      <c r="A247" s="8"/>
      <c r="B247" s="8"/>
      <c r="C247" s="8"/>
      <c r="D247" s="8"/>
      <c r="E247" s="9"/>
      <c r="F247" s="8"/>
      <c r="G247" s="8"/>
      <c r="H247" s="8"/>
    </row>
    <row r="248" spans="1:8" ht="14.25" customHeight="1" x14ac:dyDescent="0.25">
      <c r="A248" s="8"/>
      <c r="B248" s="8"/>
      <c r="C248" s="8"/>
      <c r="D248" s="8"/>
      <c r="E248" s="9"/>
      <c r="F248" s="8"/>
      <c r="G248" s="8"/>
      <c r="H248" s="8"/>
    </row>
    <row r="249" spans="1:8" ht="14.25" customHeight="1" x14ac:dyDescent="0.25">
      <c r="A249" s="8"/>
      <c r="B249" s="8"/>
      <c r="C249" s="8"/>
      <c r="D249" s="8"/>
      <c r="E249" s="9"/>
      <c r="F249" s="8"/>
      <c r="G249" s="8"/>
      <c r="H249" s="8"/>
    </row>
    <row r="250" spans="1:8" ht="14.25" customHeight="1" x14ac:dyDescent="0.25">
      <c r="A250" s="8"/>
      <c r="B250" s="8"/>
      <c r="C250" s="8"/>
      <c r="D250" s="8"/>
      <c r="E250" s="9"/>
      <c r="F250" s="8"/>
      <c r="G250" s="8"/>
      <c r="H250" s="8"/>
    </row>
    <row r="251" spans="1:8" ht="14.25" customHeight="1" x14ac:dyDescent="0.25">
      <c r="A251" s="8"/>
      <c r="B251" s="8"/>
      <c r="C251" s="8"/>
      <c r="D251" s="8"/>
      <c r="E251" s="9"/>
      <c r="F251" s="8"/>
      <c r="G251" s="8"/>
      <c r="H251" s="8"/>
    </row>
    <row r="252" spans="1:8" ht="14.25" customHeight="1" x14ac:dyDescent="0.25">
      <c r="A252" s="8"/>
      <c r="B252" s="8"/>
      <c r="C252" s="8"/>
      <c r="D252" s="8"/>
      <c r="E252" s="9"/>
      <c r="F252" s="8"/>
      <c r="G252" s="8"/>
      <c r="H252" s="8"/>
    </row>
    <row r="253" spans="1:8" ht="14.25" customHeight="1" x14ac:dyDescent="0.25">
      <c r="A253" s="8"/>
      <c r="B253" s="8"/>
      <c r="C253" s="8"/>
      <c r="D253" s="8"/>
      <c r="E253" s="9"/>
      <c r="F253" s="8"/>
      <c r="G253" s="8"/>
      <c r="H253" s="8"/>
    </row>
    <row r="254" spans="1:8" ht="14.25" customHeight="1" x14ac:dyDescent="0.25">
      <c r="A254" s="8"/>
      <c r="B254" s="8"/>
      <c r="C254" s="8"/>
      <c r="D254" s="8"/>
      <c r="E254" s="9"/>
      <c r="F254" s="8"/>
      <c r="G254" s="8"/>
      <c r="H254" s="8"/>
    </row>
    <row r="255" spans="1:8" ht="14.25" customHeight="1" x14ac:dyDescent="0.25">
      <c r="A255" s="8"/>
      <c r="B255" s="8"/>
      <c r="C255" s="8"/>
      <c r="D255" s="8"/>
      <c r="E255" s="9"/>
      <c r="F255" s="8"/>
      <c r="G255" s="8"/>
      <c r="H255" s="8"/>
    </row>
    <row r="256" spans="1:8" ht="14.25" customHeight="1" x14ac:dyDescent="0.25">
      <c r="A256" s="8"/>
      <c r="B256" s="8"/>
      <c r="C256" s="8"/>
      <c r="D256" s="8"/>
      <c r="E256" s="9"/>
      <c r="F256" s="8"/>
      <c r="G256" s="8"/>
      <c r="H256" s="8"/>
    </row>
    <row r="257" spans="1:8" ht="14.25" customHeight="1" x14ac:dyDescent="0.25">
      <c r="A257" s="8"/>
      <c r="B257" s="8"/>
      <c r="C257" s="8"/>
      <c r="D257" s="8"/>
      <c r="E257" s="9"/>
      <c r="F257" s="8"/>
      <c r="G257" s="8"/>
      <c r="H257" s="8"/>
    </row>
    <row r="258" spans="1:8" ht="14.25" customHeight="1" x14ac:dyDescent="0.25">
      <c r="A258" s="8"/>
      <c r="B258" s="8"/>
      <c r="C258" s="8"/>
      <c r="D258" s="8"/>
      <c r="E258" s="9"/>
      <c r="F258" s="8"/>
      <c r="G258" s="8"/>
      <c r="H258" s="8"/>
    </row>
    <row r="259" spans="1:8" ht="14.25" customHeight="1" x14ac:dyDescent="0.25">
      <c r="A259" s="8"/>
      <c r="B259" s="8"/>
      <c r="C259" s="8"/>
      <c r="D259" s="8"/>
      <c r="E259" s="9"/>
      <c r="F259" s="8"/>
      <c r="G259" s="8"/>
      <c r="H259" s="8"/>
    </row>
    <row r="260" spans="1:8" ht="14.25" customHeight="1" x14ac:dyDescent="0.25">
      <c r="A260" s="8"/>
      <c r="B260" s="8"/>
      <c r="C260" s="8"/>
      <c r="D260" s="8"/>
      <c r="E260" s="9"/>
      <c r="F260" s="8"/>
      <c r="G260" s="8"/>
      <c r="H260" s="8"/>
    </row>
    <row r="261" spans="1:8" ht="14.25" customHeight="1" x14ac:dyDescent="0.25">
      <c r="A261" s="8"/>
      <c r="B261" s="8"/>
      <c r="C261" s="8"/>
      <c r="D261" s="8"/>
      <c r="E261" s="9"/>
      <c r="F261" s="8"/>
      <c r="G261" s="8"/>
      <c r="H261" s="8"/>
    </row>
    <row r="262" spans="1:8" ht="14.25" customHeight="1" x14ac:dyDescent="0.25">
      <c r="A262" s="8"/>
      <c r="B262" s="8"/>
      <c r="C262" s="8"/>
      <c r="D262" s="8"/>
      <c r="E262" s="9"/>
      <c r="F262" s="8"/>
      <c r="G262" s="8"/>
      <c r="H262" s="8"/>
    </row>
    <row r="263" spans="1:8" ht="14.25" customHeight="1" x14ac:dyDescent="0.25">
      <c r="A263" s="8"/>
      <c r="B263" s="8"/>
      <c r="C263" s="8"/>
      <c r="D263" s="8"/>
      <c r="E263" s="9"/>
      <c r="F263" s="8"/>
      <c r="G263" s="8"/>
      <c r="H263" s="8"/>
    </row>
    <row r="264" spans="1:8" ht="14.25" customHeight="1" x14ac:dyDescent="0.25">
      <c r="A264" s="8"/>
      <c r="B264" s="8"/>
      <c r="C264" s="8"/>
      <c r="D264" s="8"/>
      <c r="E264" s="9"/>
      <c r="F264" s="8"/>
      <c r="G264" s="8"/>
      <c r="H264" s="8"/>
    </row>
    <row r="265" spans="1:8" ht="14.25" customHeight="1" x14ac:dyDescent="0.25">
      <c r="A265" s="8"/>
      <c r="B265" s="8"/>
      <c r="C265" s="8"/>
      <c r="D265" s="8"/>
      <c r="E265" s="9"/>
      <c r="F265" s="8"/>
      <c r="G265" s="8"/>
      <c r="H265" s="8"/>
    </row>
    <row r="266" spans="1:8" ht="14.25" customHeight="1" x14ac:dyDescent="0.25">
      <c r="A266" s="8"/>
      <c r="B266" s="8"/>
      <c r="C266" s="8"/>
      <c r="D266" s="8"/>
      <c r="E266" s="9"/>
      <c r="F266" s="8"/>
      <c r="G266" s="8"/>
      <c r="H266" s="8"/>
    </row>
    <row r="267" spans="1:8" ht="14.25" customHeight="1" x14ac:dyDescent="0.25">
      <c r="A267" s="8"/>
      <c r="B267" s="8"/>
      <c r="C267" s="8"/>
      <c r="D267" s="8"/>
      <c r="E267" s="9"/>
      <c r="F267" s="8"/>
      <c r="G267" s="8"/>
      <c r="H267" s="8"/>
    </row>
    <row r="268" spans="1:8" ht="14.25" customHeight="1" x14ac:dyDescent="0.25">
      <c r="A268" s="8"/>
      <c r="B268" s="8"/>
      <c r="C268" s="8"/>
      <c r="D268" s="8"/>
      <c r="E268" s="9"/>
      <c r="F268" s="8"/>
      <c r="G268" s="8"/>
      <c r="H268" s="8"/>
    </row>
    <row r="269" spans="1:8" ht="14.25" customHeight="1" x14ac:dyDescent="0.25">
      <c r="A269" s="8"/>
      <c r="B269" s="8"/>
      <c r="C269" s="8"/>
      <c r="D269" s="8"/>
      <c r="E269" s="9"/>
      <c r="F269" s="8"/>
      <c r="G269" s="8"/>
      <c r="H269" s="8"/>
    </row>
    <row r="270" spans="1:8" ht="14.25" customHeight="1" x14ac:dyDescent="0.25">
      <c r="A270" s="8"/>
      <c r="B270" s="8"/>
      <c r="C270" s="8"/>
      <c r="D270" s="8"/>
      <c r="E270" s="9"/>
      <c r="F270" s="8"/>
      <c r="G270" s="8"/>
      <c r="H270" s="8"/>
    </row>
    <row r="271" spans="1:8" ht="14.25" customHeight="1" x14ac:dyDescent="0.25">
      <c r="A271" s="8"/>
      <c r="B271" s="8"/>
      <c r="C271" s="8"/>
      <c r="D271" s="8"/>
      <c r="E271" s="9"/>
      <c r="F271" s="8"/>
      <c r="G271" s="8"/>
      <c r="H271" s="8"/>
    </row>
    <row r="272" spans="1:8" ht="14.25" customHeight="1" x14ac:dyDescent="0.25">
      <c r="A272" s="8"/>
      <c r="B272" s="8"/>
      <c r="C272" s="8"/>
      <c r="D272" s="8"/>
      <c r="E272" s="9"/>
      <c r="F272" s="8"/>
      <c r="G272" s="8"/>
      <c r="H272" s="8"/>
    </row>
    <row r="273" spans="1:8" ht="14.25" customHeight="1" x14ac:dyDescent="0.25">
      <c r="A273" s="8"/>
      <c r="B273" s="8"/>
      <c r="C273" s="8"/>
      <c r="D273" s="8"/>
      <c r="E273" s="9"/>
      <c r="F273" s="8"/>
      <c r="G273" s="8"/>
      <c r="H273" s="8"/>
    </row>
    <row r="274" spans="1:8" ht="14.25" customHeight="1" x14ac:dyDescent="0.25">
      <c r="A274" s="8"/>
      <c r="B274" s="8"/>
      <c r="C274" s="8"/>
      <c r="D274" s="8"/>
      <c r="E274" s="9"/>
      <c r="F274" s="8"/>
      <c r="G274" s="8"/>
      <c r="H274" s="8"/>
    </row>
    <row r="275" spans="1:8" ht="14.25" customHeight="1" x14ac:dyDescent="0.25">
      <c r="A275" s="8"/>
      <c r="B275" s="8"/>
      <c r="C275" s="8"/>
      <c r="D275" s="8"/>
      <c r="E275" s="9"/>
      <c r="F275" s="8"/>
      <c r="G275" s="8"/>
      <c r="H275" s="8"/>
    </row>
    <row r="276" spans="1:8" ht="14.25" customHeight="1" x14ac:dyDescent="0.25">
      <c r="A276" s="8"/>
      <c r="B276" s="8"/>
      <c r="C276" s="8"/>
      <c r="D276" s="8"/>
      <c r="E276" s="9"/>
      <c r="F276" s="8"/>
      <c r="G276" s="8"/>
      <c r="H276" s="8"/>
    </row>
    <row r="277" spans="1:8" ht="14.25" customHeight="1" x14ac:dyDescent="0.25">
      <c r="A277" s="8"/>
      <c r="B277" s="8"/>
      <c r="C277" s="8"/>
      <c r="D277" s="8"/>
      <c r="E277" s="9"/>
      <c r="F277" s="8"/>
      <c r="G277" s="8"/>
      <c r="H277" s="8"/>
    </row>
    <row r="278" spans="1:8" ht="14.25" customHeight="1" x14ac:dyDescent="0.25">
      <c r="A278" s="8"/>
      <c r="B278" s="8"/>
      <c r="C278" s="8"/>
      <c r="D278" s="8"/>
      <c r="E278" s="9"/>
      <c r="F278" s="8"/>
      <c r="G278" s="8"/>
      <c r="H278" s="8"/>
    </row>
    <row r="279" spans="1:8" ht="14.25" customHeight="1" x14ac:dyDescent="0.25">
      <c r="A279" s="8"/>
      <c r="B279" s="8"/>
      <c r="C279" s="8"/>
      <c r="D279" s="8"/>
      <c r="E279" s="9"/>
      <c r="F279" s="8"/>
      <c r="G279" s="8"/>
      <c r="H279" s="8"/>
    </row>
    <row r="280" spans="1:8" ht="14.25" customHeight="1" x14ac:dyDescent="0.25">
      <c r="A280" s="8"/>
      <c r="B280" s="8"/>
      <c r="C280" s="8"/>
      <c r="D280" s="8"/>
      <c r="E280" s="9"/>
      <c r="F280" s="8"/>
      <c r="G280" s="8"/>
      <c r="H280" s="8"/>
    </row>
    <row r="281" spans="1:8" ht="14.25" customHeight="1" x14ac:dyDescent="0.25">
      <c r="A281" s="8"/>
      <c r="B281" s="8"/>
      <c r="C281" s="8"/>
      <c r="D281" s="8"/>
      <c r="E281" s="9"/>
      <c r="F281" s="8"/>
      <c r="G281" s="8"/>
      <c r="H281" s="8"/>
    </row>
    <row r="282" spans="1:8" ht="14.25" customHeight="1" x14ac:dyDescent="0.25">
      <c r="A282" s="8"/>
      <c r="B282" s="8"/>
      <c r="C282" s="8"/>
      <c r="D282" s="8"/>
      <c r="E282" s="9"/>
      <c r="F282" s="8"/>
      <c r="G282" s="8"/>
      <c r="H282" s="8"/>
    </row>
    <row r="283" spans="1:8" ht="14.25" customHeight="1" x14ac:dyDescent="0.25">
      <c r="A283" s="8"/>
      <c r="B283" s="8"/>
      <c r="C283" s="8"/>
      <c r="D283" s="8"/>
      <c r="E283" s="9"/>
      <c r="F283" s="8"/>
      <c r="G283" s="8"/>
      <c r="H283" s="8"/>
    </row>
    <row r="284" spans="1:8" ht="14.25" customHeight="1" x14ac:dyDescent="0.25">
      <c r="A284" s="8"/>
      <c r="B284" s="8"/>
      <c r="C284" s="8"/>
      <c r="D284" s="8"/>
      <c r="E284" s="9"/>
      <c r="F284" s="8"/>
      <c r="G284" s="8"/>
      <c r="H284" s="8"/>
    </row>
    <row r="285" spans="1:8" ht="14.25" customHeight="1" x14ac:dyDescent="0.25">
      <c r="A285" s="8"/>
      <c r="B285" s="8"/>
      <c r="C285" s="8"/>
      <c r="D285" s="8"/>
      <c r="E285" s="9"/>
      <c r="F285" s="8"/>
      <c r="G285" s="8"/>
      <c r="H285" s="8"/>
    </row>
    <row r="286" spans="1:8" ht="14.25" customHeight="1" x14ac:dyDescent="0.25">
      <c r="A286" s="8"/>
      <c r="B286" s="8"/>
      <c r="C286" s="8"/>
      <c r="D286" s="8"/>
      <c r="E286" s="9"/>
      <c r="F286" s="8"/>
      <c r="G286" s="8"/>
      <c r="H286" s="8"/>
    </row>
    <row r="287" spans="1:8" ht="14.25" customHeight="1" x14ac:dyDescent="0.25">
      <c r="A287" s="8"/>
      <c r="B287" s="8"/>
      <c r="C287" s="8"/>
      <c r="D287" s="8"/>
      <c r="E287" s="9"/>
      <c r="F287" s="8"/>
      <c r="G287" s="8"/>
      <c r="H287" s="8"/>
    </row>
    <row r="288" spans="1:8" ht="14.25" customHeight="1" x14ac:dyDescent="0.25">
      <c r="A288" s="8"/>
      <c r="B288" s="8"/>
      <c r="C288" s="8"/>
      <c r="D288" s="8"/>
      <c r="E288" s="9"/>
      <c r="F288" s="8"/>
      <c r="G288" s="8"/>
      <c r="H288" s="8"/>
    </row>
    <row r="289" spans="1:8" ht="14.25" customHeight="1" x14ac:dyDescent="0.25">
      <c r="A289" s="8"/>
      <c r="B289" s="8"/>
      <c r="C289" s="8"/>
      <c r="D289" s="8"/>
      <c r="E289" s="9"/>
      <c r="F289" s="8"/>
      <c r="G289" s="8"/>
      <c r="H289" s="8"/>
    </row>
    <row r="290" spans="1:8" ht="14.25" customHeight="1" x14ac:dyDescent="0.25">
      <c r="A290" s="8"/>
      <c r="B290" s="8"/>
      <c r="C290" s="8"/>
      <c r="D290" s="8"/>
      <c r="E290" s="9"/>
      <c r="F290" s="8"/>
      <c r="G290" s="8"/>
      <c r="H290" s="8"/>
    </row>
    <row r="291" spans="1:8" ht="14.25" customHeight="1" x14ac:dyDescent="0.25">
      <c r="A291" s="8"/>
      <c r="B291" s="8"/>
      <c r="C291" s="8"/>
      <c r="D291" s="8"/>
      <c r="E291" s="9"/>
      <c r="F291" s="8"/>
      <c r="G291" s="8"/>
      <c r="H291" s="8"/>
    </row>
    <row r="292" spans="1:8" ht="14.25" customHeight="1" x14ac:dyDescent="0.25">
      <c r="A292" s="8"/>
      <c r="B292" s="8"/>
      <c r="C292" s="8"/>
      <c r="D292" s="8"/>
      <c r="E292" s="9"/>
      <c r="F292" s="8"/>
      <c r="G292" s="8"/>
      <c r="H292" s="8"/>
    </row>
    <row r="293" spans="1:8" ht="14.25" customHeight="1" x14ac:dyDescent="0.25">
      <c r="A293" s="8"/>
      <c r="B293" s="8"/>
      <c r="C293" s="8"/>
      <c r="D293" s="8"/>
      <c r="E293" s="9"/>
      <c r="F293" s="8"/>
      <c r="G293" s="8"/>
      <c r="H293" s="8"/>
    </row>
    <row r="294" spans="1:8" ht="14.25" customHeight="1" x14ac:dyDescent="0.25">
      <c r="A294" s="8"/>
      <c r="B294" s="8"/>
      <c r="C294" s="8"/>
      <c r="D294" s="8"/>
      <c r="E294" s="9"/>
      <c r="F294" s="8"/>
      <c r="G294" s="8"/>
      <c r="H294" s="8"/>
    </row>
    <row r="295" spans="1:8" ht="14.25" customHeight="1" x14ac:dyDescent="0.25">
      <c r="A295" s="8"/>
      <c r="B295" s="8"/>
      <c r="C295" s="8"/>
      <c r="D295" s="8"/>
      <c r="E295" s="9"/>
      <c r="F295" s="8"/>
      <c r="G295" s="8"/>
      <c r="H295" s="8"/>
    </row>
    <row r="296" spans="1:8" ht="14.25" customHeight="1" x14ac:dyDescent="0.25">
      <c r="A296" s="8"/>
      <c r="B296" s="8"/>
      <c r="C296" s="8"/>
      <c r="D296" s="8"/>
      <c r="E296" s="9"/>
      <c r="F296" s="8"/>
      <c r="G296" s="8"/>
      <c r="H296" s="8"/>
    </row>
    <row r="297" spans="1:8" ht="14.25" customHeight="1" x14ac:dyDescent="0.25">
      <c r="A297" s="8"/>
      <c r="B297" s="8"/>
      <c r="C297" s="8"/>
      <c r="D297" s="8"/>
      <c r="E297" s="9"/>
      <c r="F297" s="8"/>
      <c r="G297" s="8"/>
      <c r="H297" s="8"/>
    </row>
    <row r="298" spans="1:8" ht="14.25" customHeight="1" x14ac:dyDescent="0.25">
      <c r="A298" s="8"/>
      <c r="B298" s="8"/>
      <c r="C298" s="8"/>
      <c r="D298" s="8"/>
      <c r="E298" s="9"/>
      <c r="F298" s="8"/>
      <c r="G298" s="8"/>
      <c r="H298" s="8"/>
    </row>
    <row r="299" spans="1:8" ht="14.25" customHeight="1" x14ac:dyDescent="0.25">
      <c r="A299" s="8"/>
      <c r="B299" s="8"/>
      <c r="C299" s="8"/>
      <c r="D299" s="8"/>
      <c r="E299" s="9"/>
      <c r="F299" s="8"/>
      <c r="G299" s="8"/>
      <c r="H299" s="8"/>
    </row>
    <row r="300" spans="1:8" ht="14.25" customHeight="1" x14ac:dyDescent="0.25">
      <c r="A300" s="8"/>
      <c r="B300" s="8"/>
      <c r="C300" s="8"/>
      <c r="D300" s="8"/>
      <c r="E300" s="9"/>
      <c r="F300" s="8"/>
      <c r="G300" s="8"/>
      <c r="H300" s="8"/>
    </row>
    <row r="301" spans="1:8" ht="14.25" customHeight="1" x14ac:dyDescent="0.25">
      <c r="A301" s="8"/>
      <c r="B301" s="8"/>
      <c r="C301" s="8"/>
      <c r="D301" s="8"/>
      <c r="E301" s="9"/>
      <c r="F301" s="8"/>
      <c r="G301" s="8"/>
      <c r="H301" s="8"/>
    </row>
    <row r="302" spans="1:8" ht="14.25" customHeight="1" x14ac:dyDescent="0.25">
      <c r="A302" s="8"/>
      <c r="B302" s="8"/>
      <c r="C302" s="8"/>
      <c r="D302" s="8"/>
      <c r="E302" s="9"/>
      <c r="F302" s="8"/>
      <c r="G302" s="8"/>
      <c r="H302" s="8"/>
    </row>
    <row r="303" spans="1:8" ht="14.25" customHeight="1" x14ac:dyDescent="0.25">
      <c r="A303" s="8"/>
      <c r="B303" s="8"/>
      <c r="C303" s="8"/>
      <c r="D303" s="8"/>
      <c r="E303" s="9"/>
      <c r="F303" s="8"/>
      <c r="G303" s="8"/>
      <c r="H303" s="8"/>
    </row>
    <row r="304" spans="1:8" ht="14.25" customHeight="1" x14ac:dyDescent="0.25">
      <c r="A304" s="8"/>
      <c r="B304" s="8"/>
      <c r="C304" s="8"/>
      <c r="D304" s="8"/>
      <c r="E304" s="9"/>
      <c r="F304" s="8"/>
      <c r="G304" s="8"/>
      <c r="H304" s="8"/>
    </row>
    <row r="305" spans="1:8" ht="14.25" customHeight="1" x14ac:dyDescent="0.25">
      <c r="A305" s="8"/>
      <c r="B305" s="8"/>
      <c r="C305" s="8"/>
      <c r="D305" s="8"/>
      <c r="E305" s="9"/>
      <c r="F305" s="8"/>
      <c r="G305" s="8"/>
      <c r="H305" s="8"/>
    </row>
    <row r="306" spans="1:8" ht="14.25" customHeight="1" x14ac:dyDescent="0.25">
      <c r="A306" s="8"/>
      <c r="B306" s="8"/>
      <c r="C306" s="8"/>
      <c r="D306" s="8"/>
      <c r="E306" s="9"/>
      <c r="F306" s="8"/>
      <c r="G306" s="8"/>
      <c r="H306" s="8"/>
    </row>
    <row r="307" spans="1:8" ht="14.25" customHeight="1" x14ac:dyDescent="0.25">
      <c r="A307" s="8"/>
      <c r="B307" s="8"/>
      <c r="C307" s="8"/>
      <c r="D307" s="8"/>
      <c r="E307" s="9"/>
      <c r="F307" s="8"/>
      <c r="G307" s="8"/>
      <c r="H307" s="8"/>
    </row>
    <row r="308" spans="1:8" ht="14.25" customHeight="1" x14ac:dyDescent="0.25">
      <c r="A308" s="8"/>
      <c r="B308" s="8"/>
      <c r="C308" s="8"/>
      <c r="D308" s="8"/>
      <c r="E308" s="9"/>
      <c r="F308" s="8"/>
      <c r="G308" s="8"/>
      <c r="H308" s="8"/>
    </row>
    <row r="309" spans="1:8" ht="14.25" customHeight="1" x14ac:dyDescent="0.25">
      <c r="A309" s="8"/>
      <c r="B309" s="8"/>
      <c r="C309" s="8"/>
      <c r="D309" s="8"/>
      <c r="E309" s="9"/>
      <c r="F309" s="8"/>
      <c r="G309" s="8"/>
      <c r="H309" s="8"/>
    </row>
    <row r="310" spans="1:8" ht="14.25" customHeight="1" x14ac:dyDescent="0.25">
      <c r="A310" s="8"/>
      <c r="B310" s="8"/>
      <c r="C310" s="8"/>
      <c r="D310" s="8"/>
      <c r="E310" s="9"/>
      <c r="F310" s="8"/>
      <c r="G310" s="8"/>
      <c r="H310" s="8"/>
    </row>
    <row r="311" spans="1:8" ht="14.25" customHeight="1" x14ac:dyDescent="0.25">
      <c r="A311" s="8"/>
      <c r="B311" s="8"/>
      <c r="C311" s="8"/>
      <c r="D311" s="8"/>
      <c r="E311" s="9"/>
      <c r="F311" s="8"/>
      <c r="G311" s="8"/>
      <c r="H311" s="8"/>
    </row>
    <row r="312" spans="1:8" ht="14.25" customHeight="1" x14ac:dyDescent="0.25">
      <c r="A312" s="8"/>
      <c r="B312" s="8"/>
      <c r="C312" s="8"/>
      <c r="D312" s="8"/>
      <c r="E312" s="9"/>
      <c r="F312" s="8"/>
      <c r="G312" s="8"/>
      <c r="H312" s="8"/>
    </row>
    <row r="313" spans="1:8" ht="14.25" customHeight="1" x14ac:dyDescent="0.25">
      <c r="A313" s="8"/>
      <c r="B313" s="8"/>
      <c r="C313" s="8"/>
      <c r="D313" s="8"/>
      <c r="E313" s="9"/>
      <c r="F313" s="8"/>
      <c r="G313" s="8"/>
      <c r="H313" s="8"/>
    </row>
    <row r="314" spans="1:8" ht="14.25" customHeight="1" x14ac:dyDescent="0.25">
      <c r="A314" s="8"/>
      <c r="B314" s="8"/>
      <c r="C314" s="8"/>
      <c r="D314" s="8"/>
      <c r="E314" s="9"/>
      <c r="F314" s="8"/>
      <c r="G314" s="8"/>
      <c r="H314" s="8"/>
    </row>
    <row r="315" spans="1:8" ht="14.25" customHeight="1" x14ac:dyDescent="0.25">
      <c r="A315" s="8"/>
      <c r="B315" s="8"/>
      <c r="C315" s="8"/>
      <c r="D315" s="8"/>
      <c r="E315" s="9"/>
      <c r="F315" s="8"/>
      <c r="G315" s="8"/>
      <c r="H315" s="8"/>
    </row>
    <row r="316" spans="1:8" ht="14.25" customHeight="1" x14ac:dyDescent="0.25">
      <c r="A316" s="8"/>
      <c r="B316" s="8"/>
      <c r="C316" s="8"/>
      <c r="D316" s="8"/>
      <c r="E316" s="9"/>
      <c r="F316" s="8"/>
      <c r="G316" s="8"/>
      <c r="H316" s="8"/>
    </row>
    <row r="317" spans="1:8" ht="14.25" customHeight="1" x14ac:dyDescent="0.25">
      <c r="A317" s="8"/>
      <c r="B317" s="8"/>
      <c r="C317" s="8"/>
      <c r="D317" s="8"/>
      <c r="E317" s="9"/>
      <c r="F317" s="8"/>
      <c r="G317" s="8"/>
      <c r="H317" s="8"/>
    </row>
    <row r="318" spans="1:8" ht="14.25" customHeight="1" x14ac:dyDescent="0.25">
      <c r="A318" s="8"/>
      <c r="B318" s="8"/>
      <c r="C318" s="8"/>
      <c r="D318" s="8"/>
      <c r="E318" s="9"/>
      <c r="F318" s="8"/>
      <c r="G318" s="8"/>
      <c r="H318" s="8"/>
    </row>
    <row r="319" spans="1:8" ht="14.25" customHeight="1" x14ac:dyDescent="0.25">
      <c r="A319" s="8"/>
      <c r="B319" s="8"/>
      <c r="C319" s="8"/>
      <c r="D319" s="8"/>
      <c r="E319" s="9"/>
      <c r="F319" s="8"/>
      <c r="G319" s="8"/>
      <c r="H319" s="8"/>
    </row>
    <row r="320" spans="1:8" ht="14.25" customHeight="1" x14ac:dyDescent="0.25">
      <c r="A320" s="8"/>
      <c r="B320" s="8"/>
      <c r="C320" s="8"/>
      <c r="D320" s="8"/>
      <c r="E320" s="9"/>
      <c r="F320" s="8"/>
      <c r="G320" s="8"/>
      <c r="H320" s="8"/>
    </row>
    <row r="321" spans="1:8" ht="14.25" customHeight="1" x14ac:dyDescent="0.25">
      <c r="A321" s="8"/>
      <c r="B321" s="8"/>
      <c r="C321" s="8"/>
      <c r="D321" s="8"/>
      <c r="E321" s="9"/>
      <c r="F321" s="8"/>
      <c r="G321" s="8"/>
      <c r="H321" s="8"/>
    </row>
    <row r="322" spans="1:8" ht="14.25" customHeight="1" x14ac:dyDescent="0.25">
      <c r="A322" s="8"/>
      <c r="B322" s="8"/>
      <c r="C322" s="8"/>
      <c r="D322" s="8"/>
      <c r="E322" s="9"/>
      <c r="F322" s="8"/>
      <c r="G322" s="8"/>
      <c r="H322" s="8"/>
    </row>
    <row r="323" spans="1:8" ht="14.25" customHeight="1" x14ac:dyDescent="0.25">
      <c r="A323" s="8"/>
      <c r="B323" s="8"/>
      <c r="C323" s="8"/>
      <c r="D323" s="8"/>
      <c r="E323" s="9"/>
      <c r="F323" s="8"/>
      <c r="G323" s="8"/>
      <c r="H323" s="8"/>
    </row>
    <row r="324" spans="1:8" ht="14.25" customHeight="1" x14ac:dyDescent="0.25">
      <c r="A324" s="8"/>
      <c r="B324" s="8"/>
      <c r="C324" s="8"/>
      <c r="D324" s="8"/>
      <c r="E324" s="9"/>
      <c r="F324" s="8"/>
      <c r="G324" s="8"/>
      <c r="H324" s="8"/>
    </row>
    <row r="325" spans="1:8" ht="14.25" customHeight="1" x14ac:dyDescent="0.25">
      <c r="A325" s="8"/>
      <c r="B325" s="8"/>
      <c r="C325" s="8"/>
      <c r="D325" s="8"/>
      <c r="E325" s="9"/>
      <c r="F325" s="8"/>
      <c r="G325" s="8"/>
      <c r="H325" s="8"/>
    </row>
    <row r="326" spans="1:8" ht="14.25" customHeight="1" x14ac:dyDescent="0.25">
      <c r="A326" s="8"/>
      <c r="B326" s="8"/>
      <c r="C326" s="8"/>
      <c r="D326" s="8"/>
      <c r="E326" s="9"/>
      <c r="F326" s="8"/>
      <c r="G326" s="8"/>
      <c r="H326" s="8"/>
    </row>
    <row r="327" spans="1:8" ht="14.25" customHeight="1" x14ac:dyDescent="0.25">
      <c r="A327" s="8"/>
      <c r="B327" s="8"/>
      <c r="C327" s="8"/>
      <c r="D327" s="8"/>
      <c r="E327" s="9"/>
      <c r="F327" s="8"/>
      <c r="G327" s="8"/>
      <c r="H327" s="8"/>
    </row>
    <row r="328" spans="1:8" ht="14.25" customHeight="1" x14ac:dyDescent="0.25">
      <c r="A328" s="8"/>
      <c r="B328" s="8"/>
      <c r="C328" s="8"/>
      <c r="D328" s="8"/>
      <c r="E328" s="9"/>
      <c r="F328" s="8"/>
      <c r="G328" s="8"/>
      <c r="H328" s="8"/>
    </row>
    <row r="329" spans="1:8" ht="14.25" customHeight="1" x14ac:dyDescent="0.25">
      <c r="A329" s="8"/>
      <c r="B329" s="8"/>
      <c r="C329" s="8"/>
      <c r="D329" s="8"/>
      <c r="E329" s="9"/>
      <c r="F329" s="8"/>
      <c r="G329" s="8"/>
      <c r="H329" s="8"/>
    </row>
    <row r="330" spans="1:8" ht="14.25" customHeight="1" x14ac:dyDescent="0.25">
      <c r="A330" s="8"/>
      <c r="B330" s="8"/>
      <c r="C330" s="8"/>
      <c r="D330" s="8"/>
      <c r="E330" s="9"/>
      <c r="F330" s="8"/>
      <c r="G330" s="8"/>
      <c r="H330" s="8"/>
    </row>
    <row r="331" spans="1:8" ht="14.25" customHeight="1" x14ac:dyDescent="0.25">
      <c r="A331" s="8"/>
      <c r="B331" s="8"/>
      <c r="C331" s="8"/>
      <c r="D331" s="8"/>
      <c r="E331" s="9"/>
      <c r="F331" s="8"/>
      <c r="G331" s="8"/>
      <c r="H331" s="8"/>
    </row>
    <row r="332" spans="1:8" ht="14.25" customHeight="1" x14ac:dyDescent="0.25">
      <c r="A332" s="8"/>
      <c r="B332" s="8"/>
      <c r="C332" s="8"/>
      <c r="D332" s="8"/>
      <c r="E332" s="9"/>
      <c r="F332" s="8"/>
      <c r="G332" s="8"/>
      <c r="H332" s="8"/>
    </row>
    <row r="333" spans="1:8" ht="14.25" customHeight="1" x14ac:dyDescent="0.25">
      <c r="A333" s="8"/>
      <c r="B333" s="8"/>
      <c r="C333" s="8"/>
      <c r="D333" s="8"/>
      <c r="E333" s="9"/>
      <c r="F333" s="8"/>
      <c r="G333" s="8"/>
      <c r="H333" s="8"/>
    </row>
    <row r="334" spans="1:8" ht="14.25" customHeight="1" x14ac:dyDescent="0.25">
      <c r="A334" s="8"/>
      <c r="B334" s="8"/>
      <c r="C334" s="8"/>
      <c r="D334" s="8"/>
      <c r="E334" s="9"/>
      <c r="F334" s="8"/>
      <c r="G334" s="8"/>
      <c r="H334" s="8"/>
    </row>
    <row r="335" spans="1:8" ht="14.25" customHeight="1" x14ac:dyDescent="0.25">
      <c r="A335" s="8"/>
      <c r="B335" s="8"/>
      <c r="C335" s="8"/>
      <c r="D335" s="8"/>
      <c r="E335" s="9"/>
      <c r="F335" s="8"/>
      <c r="G335" s="8"/>
      <c r="H335" s="8"/>
    </row>
    <row r="336" spans="1:8" ht="14.25" customHeight="1" x14ac:dyDescent="0.25">
      <c r="A336" s="8"/>
      <c r="B336" s="8"/>
      <c r="C336" s="8"/>
      <c r="D336" s="8"/>
      <c r="E336" s="9"/>
      <c r="F336" s="8"/>
      <c r="G336" s="8"/>
      <c r="H336" s="8"/>
    </row>
    <row r="337" spans="1:8" ht="14.25" customHeight="1" x14ac:dyDescent="0.25">
      <c r="A337" s="8"/>
      <c r="B337" s="8"/>
      <c r="C337" s="8"/>
      <c r="D337" s="8"/>
      <c r="E337" s="9"/>
      <c r="F337" s="8"/>
      <c r="G337" s="8"/>
      <c r="H337" s="8"/>
    </row>
    <row r="338" spans="1:8" ht="14.25" customHeight="1" x14ac:dyDescent="0.25">
      <c r="A338" s="8"/>
      <c r="B338" s="8"/>
      <c r="C338" s="8"/>
      <c r="D338" s="8"/>
      <c r="E338" s="9"/>
      <c r="F338" s="8"/>
      <c r="G338" s="8"/>
      <c r="H338" s="8"/>
    </row>
    <row r="339" spans="1:8" ht="14.25" customHeight="1" x14ac:dyDescent="0.25">
      <c r="A339" s="8"/>
      <c r="B339" s="8"/>
      <c r="C339" s="8"/>
      <c r="D339" s="8"/>
      <c r="E339" s="9"/>
      <c r="F339" s="8"/>
      <c r="G339" s="8"/>
      <c r="H339" s="8"/>
    </row>
    <row r="340" spans="1:8" ht="14.25" customHeight="1" x14ac:dyDescent="0.25">
      <c r="A340" s="8"/>
      <c r="B340" s="8"/>
      <c r="C340" s="8"/>
      <c r="D340" s="8"/>
      <c r="E340" s="9"/>
      <c r="F340" s="8"/>
      <c r="G340" s="8"/>
      <c r="H340" s="8"/>
    </row>
    <row r="341" spans="1:8" ht="14.25" customHeight="1" x14ac:dyDescent="0.25">
      <c r="A341" s="8"/>
      <c r="B341" s="8"/>
      <c r="C341" s="8"/>
      <c r="D341" s="8"/>
      <c r="E341" s="9"/>
      <c r="F341" s="8"/>
      <c r="G341" s="8"/>
      <c r="H341" s="8"/>
    </row>
    <row r="342" spans="1:8" ht="14.25" customHeight="1" x14ac:dyDescent="0.25">
      <c r="A342" s="8"/>
      <c r="B342" s="8"/>
      <c r="C342" s="8"/>
      <c r="D342" s="8"/>
      <c r="E342" s="9"/>
      <c r="F342" s="8"/>
      <c r="G342" s="8"/>
      <c r="H342" s="8"/>
    </row>
    <row r="343" spans="1:8" ht="14.25" customHeight="1" x14ac:dyDescent="0.25">
      <c r="A343" s="8"/>
      <c r="B343" s="8"/>
      <c r="C343" s="8"/>
      <c r="D343" s="8"/>
      <c r="E343" s="9"/>
      <c r="F343" s="8"/>
      <c r="G343" s="8"/>
      <c r="H343" s="8"/>
    </row>
    <row r="344" spans="1:8" ht="14.25" customHeight="1" x14ac:dyDescent="0.25">
      <c r="A344" s="8"/>
      <c r="B344" s="8"/>
      <c r="C344" s="8"/>
      <c r="D344" s="8"/>
      <c r="E344" s="9"/>
      <c r="F344" s="8"/>
      <c r="G344" s="8"/>
      <c r="H344" s="8"/>
    </row>
    <row r="345" spans="1:8" ht="14.25" customHeight="1" x14ac:dyDescent="0.25">
      <c r="A345" s="8"/>
      <c r="B345" s="8"/>
      <c r="C345" s="8"/>
      <c r="D345" s="8"/>
      <c r="E345" s="9"/>
      <c r="F345" s="8"/>
      <c r="G345" s="8"/>
      <c r="H345" s="8"/>
    </row>
    <row r="346" spans="1:8" ht="14.25" customHeight="1" x14ac:dyDescent="0.25">
      <c r="A346" s="8"/>
      <c r="B346" s="8"/>
      <c r="C346" s="8"/>
      <c r="D346" s="8"/>
      <c r="E346" s="9"/>
      <c r="F346" s="8"/>
      <c r="G346" s="8"/>
      <c r="H346" s="8"/>
    </row>
    <row r="347" spans="1:8" ht="14.25" customHeight="1" x14ac:dyDescent="0.25">
      <c r="A347" s="8"/>
      <c r="B347" s="8"/>
      <c r="C347" s="8"/>
      <c r="D347" s="8"/>
      <c r="E347" s="9"/>
      <c r="F347" s="8"/>
      <c r="G347" s="8"/>
      <c r="H347" s="8"/>
    </row>
    <row r="348" spans="1:8" ht="14.25" customHeight="1" x14ac:dyDescent="0.25">
      <c r="A348" s="8"/>
      <c r="B348" s="8"/>
      <c r="C348" s="8"/>
      <c r="D348" s="8"/>
      <c r="E348" s="9"/>
      <c r="F348" s="8"/>
      <c r="G348" s="8"/>
      <c r="H348" s="8"/>
    </row>
    <row r="349" spans="1:8" ht="14.25" customHeight="1" x14ac:dyDescent="0.25">
      <c r="A349" s="8"/>
      <c r="B349" s="8"/>
      <c r="C349" s="8"/>
      <c r="D349" s="8"/>
      <c r="E349" s="9"/>
      <c r="F349" s="8"/>
      <c r="G349" s="8"/>
      <c r="H349" s="8"/>
    </row>
    <row r="350" spans="1:8" ht="14.25" customHeight="1" x14ac:dyDescent="0.25">
      <c r="A350" s="8"/>
      <c r="B350" s="8"/>
      <c r="C350" s="8"/>
      <c r="D350" s="8"/>
      <c r="E350" s="9"/>
      <c r="F350" s="8"/>
      <c r="G350" s="8"/>
      <c r="H350" s="8"/>
    </row>
    <row r="351" spans="1:8" ht="14.25" customHeight="1" x14ac:dyDescent="0.25">
      <c r="A351" s="8"/>
      <c r="B351" s="8"/>
      <c r="C351" s="8"/>
      <c r="D351" s="8"/>
      <c r="E351" s="9"/>
      <c r="F351" s="8"/>
      <c r="G351" s="8"/>
      <c r="H351" s="8"/>
    </row>
    <row r="352" spans="1:8" ht="14.25" customHeight="1" x14ac:dyDescent="0.25">
      <c r="A352" s="8"/>
      <c r="B352" s="8"/>
      <c r="C352" s="8"/>
      <c r="D352" s="8"/>
      <c r="E352" s="9"/>
      <c r="F352" s="8"/>
      <c r="G352" s="8"/>
      <c r="H352" s="8"/>
    </row>
    <row r="353" spans="1:8" ht="14.25" customHeight="1" x14ac:dyDescent="0.25">
      <c r="A353" s="8"/>
      <c r="B353" s="8"/>
      <c r="C353" s="8"/>
      <c r="D353" s="8"/>
      <c r="E353" s="9"/>
      <c r="F353" s="8"/>
      <c r="G353" s="8"/>
      <c r="H353" s="8"/>
    </row>
    <row r="354" spans="1:8" ht="14.25" customHeight="1" x14ac:dyDescent="0.25">
      <c r="A354" s="8"/>
      <c r="B354" s="8"/>
      <c r="C354" s="8"/>
      <c r="D354" s="8"/>
      <c r="E354" s="9"/>
      <c r="F354" s="8"/>
      <c r="G354" s="8"/>
      <c r="H354" s="8"/>
    </row>
    <row r="355" spans="1:8" ht="14.25" customHeight="1" x14ac:dyDescent="0.25">
      <c r="A355" s="8"/>
      <c r="B355" s="8"/>
      <c r="C355" s="8"/>
      <c r="D355" s="8"/>
      <c r="E355" s="9"/>
      <c r="F355" s="8"/>
      <c r="G355" s="8"/>
      <c r="H355" s="8"/>
    </row>
    <row r="356" spans="1:8" ht="14.25" customHeight="1" x14ac:dyDescent="0.25">
      <c r="A356" s="8"/>
      <c r="B356" s="8"/>
      <c r="C356" s="8"/>
      <c r="D356" s="8"/>
      <c r="E356" s="9"/>
      <c r="F356" s="8"/>
      <c r="G356" s="8"/>
      <c r="H356" s="8"/>
    </row>
    <row r="357" spans="1:8" ht="14.25" customHeight="1" x14ac:dyDescent="0.25">
      <c r="A357" s="8"/>
      <c r="B357" s="8"/>
      <c r="C357" s="8"/>
      <c r="D357" s="8"/>
      <c r="E357" s="9"/>
      <c r="F357" s="8"/>
      <c r="G357" s="8"/>
      <c r="H357" s="8"/>
    </row>
    <row r="358" spans="1:8" ht="14.25" customHeight="1" x14ac:dyDescent="0.25">
      <c r="A358" s="8"/>
      <c r="B358" s="8"/>
      <c r="C358" s="8"/>
      <c r="D358" s="8"/>
      <c r="E358" s="9"/>
      <c r="F358" s="8"/>
      <c r="G358" s="8"/>
      <c r="H358" s="8"/>
    </row>
    <row r="359" spans="1:8" ht="14.25" customHeight="1" x14ac:dyDescent="0.25">
      <c r="A359" s="8"/>
      <c r="B359" s="8"/>
      <c r="C359" s="8"/>
      <c r="D359" s="8"/>
      <c r="E359" s="9"/>
      <c r="F359" s="8"/>
      <c r="G359" s="8"/>
      <c r="H359" s="8"/>
    </row>
    <row r="360" spans="1:8" ht="14.25" customHeight="1" x14ac:dyDescent="0.25">
      <c r="A360" s="8"/>
      <c r="B360" s="8"/>
      <c r="C360" s="8"/>
      <c r="D360" s="8"/>
      <c r="E360" s="9"/>
      <c r="F360" s="8"/>
      <c r="G360" s="8"/>
      <c r="H360" s="8"/>
    </row>
    <row r="361" spans="1:8" ht="14.25" customHeight="1" x14ac:dyDescent="0.25">
      <c r="A361" s="8"/>
      <c r="B361" s="8"/>
      <c r="C361" s="8"/>
      <c r="D361" s="8"/>
      <c r="E361" s="9"/>
      <c r="F361" s="8"/>
      <c r="G361" s="8"/>
      <c r="H361" s="8"/>
    </row>
    <row r="362" spans="1:8" ht="14.25" customHeight="1" x14ac:dyDescent="0.25">
      <c r="A362" s="8"/>
      <c r="B362" s="8"/>
      <c r="C362" s="8"/>
      <c r="D362" s="8"/>
      <c r="E362" s="9"/>
      <c r="F362" s="8"/>
      <c r="G362" s="8"/>
      <c r="H362" s="8"/>
    </row>
    <row r="363" spans="1:8" ht="14.25" customHeight="1" x14ac:dyDescent="0.25">
      <c r="A363" s="8"/>
      <c r="B363" s="8"/>
      <c r="C363" s="8"/>
      <c r="D363" s="8"/>
      <c r="E363" s="9"/>
      <c r="F363" s="8"/>
      <c r="G363" s="8"/>
      <c r="H363" s="8"/>
    </row>
    <row r="364" spans="1:8" ht="14.25" customHeight="1" x14ac:dyDescent="0.25">
      <c r="A364" s="8"/>
      <c r="B364" s="8"/>
      <c r="C364" s="8"/>
      <c r="D364" s="8"/>
      <c r="E364" s="9"/>
      <c r="F364" s="8"/>
      <c r="G364" s="8"/>
      <c r="H364" s="8"/>
    </row>
    <row r="365" spans="1:8" ht="14.25" customHeight="1" x14ac:dyDescent="0.25">
      <c r="A365" s="8"/>
      <c r="B365" s="8"/>
      <c r="C365" s="8"/>
      <c r="D365" s="8"/>
      <c r="E365" s="9"/>
      <c r="F365" s="8"/>
      <c r="G365" s="8"/>
      <c r="H365" s="8"/>
    </row>
    <row r="366" spans="1:8" ht="14.25" customHeight="1" x14ac:dyDescent="0.25">
      <c r="A366" s="8"/>
      <c r="B366" s="8"/>
      <c r="C366" s="8"/>
      <c r="D366" s="8"/>
      <c r="E366" s="9"/>
      <c r="F366" s="8"/>
      <c r="G366" s="8"/>
      <c r="H366" s="8"/>
    </row>
    <row r="367" spans="1:8" ht="14.25" customHeight="1" x14ac:dyDescent="0.25">
      <c r="A367" s="8"/>
      <c r="B367" s="8"/>
      <c r="C367" s="8"/>
      <c r="D367" s="8"/>
      <c r="E367" s="9"/>
      <c r="F367" s="8"/>
      <c r="G367" s="8"/>
      <c r="H367" s="8"/>
    </row>
    <row r="368" spans="1:8" ht="14.25" customHeight="1" x14ac:dyDescent="0.25">
      <c r="A368" s="8"/>
      <c r="B368" s="8"/>
      <c r="C368" s="8"/>
      <c r="D368" s="8"/>
      <c r="E368" s="9"/>
      <c r="F368" s="8"/>
      <c r="G368" s="8"/>
      <c r="H368" s="8"/>
    </row>
    <row r="369" spans="1:8" ht="14.25" customHeight="1" x14ac:dyDescent="0.25">
      <c r="A369" s="8"/>
      <c r="B369" s="8"/>
      <c r="C369" s="8"/>
      <c r="D369" s="8"/>
      <c r="E369" s="9"/>
      <c r="F369" s="8"/>
      <c r="G369" s="8"/>
      <c r="H369" s="8"/>
    </row>
    <row r="370" spans="1:8" ht="14.25" customHeight="1" x14ac:dyDescent="0.25">
      <c r="A370" s="8"/>
      <c r="B370" s="8"/>
      <c r="C370" s="8"/>
      <c r="D370" s="8"/>
      <c r="E370" s="9"/>
      <c r="F370" s="8"/>
      <c r="G370" s="8"/>
      <c r="H370" s="8"/>
    </row>
    <row r="371" spans="1:8" ht="14.25" customHeight="1" x14ac:dyDescent="0.25">
      <c r="A371" s="8"/>
      <c r="B371" s="8"/>
      <c r="C371" s="8"/>
      <c r="D371" s="8"/>
      <c r="E371" s="9"/>
      <c r="F371" s="8"/>
      <c r="G371" s="8"/>
      <c r="H371" s="8"/>
    </row>
    <row r="372" spans="1:8" ht="14.25" customHeight="1" x14ac:dyDescent="0.25">
      <c r="A372" s="8"/>
      <c r="B372" s="8"/>
      <c r="C372" s="8"/>
      <c r="D372" s="8"/>
      <c r="E372" s="9"/>
      <c r="F372" s="8"/>
      <c r="G372" s="8"/>
      <c r="H372" s="8"/>
    </row>
    <row r="373" spans="1:8" ht="14.25" customHeight="1" x14ac:dyDescent="0.25">
      <c r="A373" s="8"/>
      <c r="B373" s="8"/>
      <c r="C373" s="8"/>
      <c r="D373" s="8"/>
      <c r="E373" s="9"/>
      <c r="F373" s="8"/>
      <c r="G373" s="8"/>
      <c r="H373" s="8"/>
    </row>
    <row r="374" spans="1:8" ht="14.25" customHeight="1" x14ac:dyDescent="0.25">
      <c r="A374" s="8"/>
      <c r="B374" s="8"/>
      <c r="C374" s="8"/>
      <c r="D374" s="8"/>
      <c r="E374" s="9"/>
      <c r="F374" s="8"/>
      <c r="G374" s="8"/>
      <c r="H374" s="8"/>
    </row>
    <row r="375" spans="1:8" ht="14.25" customHeight="1" x14ac:dyDescent="0.25">
      <c r="A375" s="8"/>
      <c r="B375" s="8"/>
      <c r="C375" s="8"/>
      <c r="D375" s="8"/>
      <c r="E375" s="9"/>
      <c r="F375" s="8"/>
      <c r="G375" s="8"/>
      <c r="H375" s="8"/>
    </row>
    <row r="376" spans="1:8" ht="14.25" customHeight="1" x14ac:dyDescent="0.25">
      <c r="A376" s="8"/>
      <c r="B376" s="8"/>
      <c r="C376" s="8"/>
      <c r="D376" s="8"/>
      <c r="E376" s="9"/>
      <c r="F376" s="8"/>
      <c r="G376" s="8"/>
      <c r="H376" s="8"/>
    </row>
    <row r="377" spans="1:8" ht="14.25" customHeight="1" x14ac:dyDescent="0.25">
      <c r="A377" s="8"/>
      <c r="B377" s="8"/>
      <c r="C377" s="8"/>
      <c r="D377" s="8"/>
      <c r="E377" s="9"/>
      <c r="F377" s="8"/>
      <c r="G377" s="8"/>
      <c r="H377" s="8"/>
    </row>
    <row r="378" spans="1:8" ht="14.25" customHeight="1" x14ac:dyDescent="0.25">
      <c r="A378" s="8"/>
      <c r="B378" s="8"/>
      <c r="C378" s="8"/>
      <c r="D378" s="8"/>
      <c r="E378" s="9"/>
      <c r="F378" s="8"/>
      <c r="G378" s="8"/>
      <c r="H378" s="8"/>
    </row>
    <row r="379" spans="1:8" ht="14.25" customHeight="1" x14ac:dyDescent="0.25">
      <c r="A379" s="8"/>
      <c r="B379" s="8"/>
      <c r="C379" s="8"/>
      <c r="D379" s="8"/>
      <c r="E379" s="9"/>
      <c r="F379" s="8"/>
      <c r="G379" s="8"/>
      <c r="H379" s="8"/>
    </row>
    <row r="380" spans="1:8" ht="14.25" customHeight="1" x14ac:dyDescent="0.25">
      <c r="A380" s="8"/>
      <c r="B380" s="8"/>
      <c r="C380" s="8"/>
      <c r="D380" s="8"/>
      <c r="E380" s="9"/>
      <c r="F380" s="8"/>
      <c r="G380" s="8"/>
      <c r="H380" s="8"/>
    </row>
    <row r="381" spans="1:8" ht="14.25" customHeight="1" x14ac:dyDescent="0.25">
      <c r="A381" s="8"/>
      <c r="B381" s="8"/>
      <c r="C381" s="8"/>
      <c r="D381" s="8"/>
      <c r="E381" s="9"/>
      <c r="F381" s="8"/>
      <c r="G381" s="8"/>
      <c r="H381" s="8"/>
    </row>
    <row r="382" spans="1:8" ht="14.25" customHeight="1" x14ac:dyDescent="0.25">
      <c r="A382" s="8"/>
      <c r="B382" s="8"/>
      <c r="C382" s="8"/>
      <c r="D382" s="8"/>
      <c r="E382" s="9"/>
      <c r="F382" s="8"/>
      <c r="G382" s="8"/>
      <c r="H382" s="8"/>
    </row>
    <row r="383" spans="1:8" ht="14.25" customHeight="1" x14ac:dyDescent="0.25">
      <c r="A383" s="8"/>
      <c r="B383" s="8"/>
      <c r="C383" s="8"/>
      <c r="D383" s="8"/>
      <c r="E383" s="9"/>
      <c r="F383" s="8"/>
      <c r="G383" s="8"/>
      <c r="H383" s="8"/>
    </row>
    <row r="384" spans="1:8" ht="14.25" customHeight="1" x14ac:dyDescent="0.25">
      <c r="A384" s="8"/>
      <c r="B384" s="8"/>
      <c r="C384" s="8"/>
      <c r="D384" s="8"/>
      <c r="E384" s="9"/>
      <c r="F384" s="8"/>
      <c r="G384" s="8"/>
      <c r="H384" s="8"/>
    </row>
    <row r="385" spans="1:8" ht="14.25" customHeight="1" x14ac:dyDescent="0.25">
      <c r="A385" s="8"/>
      <c r="B385" s="8"/>
      <c r="C385" s="8"/>
      <c r="D385" s="8"/>
      <c r="E385" s="9"/>
      <c r="F385" s="8"/>
      <c r="G385" s="8"/>
      <c r="H385" s="8"/>
    </row>
    <row r="386" spans="1:8" ht="14.25" customHeight="1" x14ac:dyDescent="0.25">
      <c r="A386" s="8"/>
      <c r="B386" s="8"/>
      <c r="C386" s="8"/>
      <c r="D386" s="8"/>
      <c r="E386" s="9"/>
      <c r="F386" s="8"/>
      <c r="G386" s="8"/>
      <c r="H386" s="8"/>
    </row>
    <row r="387" spans="1:8" ht="14.25" customHeight="1" x14ac:dyDescent="0.25">
      <c r="A387" s="8"/>
      <c r="B387" s="8"/>
      <c r="C387" s="8"/>
      <c r="D387" s="8"/>
      <c r="E387" s="9"/>
      <c r="F387" s="8"/>
      <c r="G387" s="8"/>
      <c r="H387" s="8"/>
    </row>
    <row r="388" spans="1:8" ht="14.25" customHeight="1" x14ac:dyDescent="0.25">
      <c r="A388" s="8"/>
      <c r="B388" s="8"/>
      <c r="C388" s="8"/>
      <c r="D388" s="8"/>
      <c r="E388" s="9"/>
      <c r="F388" s="8"/>
      <c r="G388" s="8"/>
      <c r="H388" s="8"/>
    </row>
    <row r="389" spans="1:8" ht="14.25" customHeight="1" x14ac:dyDescent="0.25">
      <c r="A389" s="8"/>
      <c r="B389" s="8"/>
      <c r="C389" s="8"/>
      <c r="D389" s="8"/>
      <c r="E389" s="9"/>
      <c r="F389" s="8"/>
      <c r="G389" s="8"/>
      <c r="H389" s="8"/>
    </row>
    <row r="390" spans="1:8" ht="14.25" customHeight="1" x14ac:dyDescent="0.25">
      <c r="A390" s="8"/>
      <c r="B390" s="8"/>
      <c r="C390" s="8"/>
      <c r="D390" s="8"/>
      <c r="E390" s="9"/>
      <c r="F390" s="8"/>
      <c r="G390" s="8"/>
      <c r="H390" s="8"/>
    </row>
    <row r="391" spans="1:8" ht="14.25" customHeight="1" x14ac:dyDescent="0.25">
      <c r="A391" s="8"/>
      <c r="B391" s="8"/>
      <c r="C391" s="8"/>
      <c r="D391" s="8"/>
      <c r="E391" s="9"/>
      <c r="F391" s="8"/>
      <c r="G391" s="8"/>
      <c r="H391" s="8"/>
    </row>
    <row r="392" spans="1:8" ht="14.25" customHeight="1" x14ac:dyDescent="0.25">
      <c r="A392" s="8"/>
      <c r="B392" s="8"/>
      <c r="C392" s="8"/>
      <c r="D392" s="8"/>
      <c r="E392" s="9"/>
      <c r="F392" s="8"/>
      <c r="G392" s="8"/>
      <c r="H392" s="8"/>
    </row>
    <row r="393" spans="1:8" ht="14.25" customHeight="1" x14ac:dyDescent="0.25">
      <c r="A393" s="8"/>
      <c r="B393" s="8"/>
      <c r="C393" s="8"/>
      <c r="D393" s="8"/>
      <c r="E393" s="9"/>
      <c r="F393" s="8"/>
      <c r="G393" s="8"/>
      <c r="H393" s="8"/>
    </row>
    <row r="394" spans="1:8" ht="14.25" customHeight="1" x14ac:dyDescent="0.25">
      <c r="A394" s="8"/>
      <c r="B394" s="8"/>
      <c r="C394" s="8"/>
      <c r="D394" s="8"/>
      <c r="E394" s="9"/>
      <c r="F394" s="8"/>
      <c r="G394" s="8"/>
      <c r="H394" s="8"/>
    </row>
    <row r="395" spans="1:8" ht="14.25" customHeight="1" x14ac:dyDescent="0.25">
      <c r="A395" s="8"/>
      <c r="B395" s="8"/>
      <c r="C395" s="8"/>
      <c r="D395" s="8"/>
      <c r="E395" s="9"/>
      <c r="F395" s="8"/>
      <c r="G395" s="8"/>
      <c r="H395" s="8"/>
    </row>
    <row r="396" spans="1:8" ht="14.25" customHeight="1" x14ac:dyDescent="0.25">
      <c r="A396" s="8"/>
      <c r="B396" s="8"/>
      <c r="C396" s="8"/>
      <c r="D396" s="8"/>
      <c r="E396" s="9"/>
      <c r="F396" s="8"/>
      <c r="G396" s="8"/>
      <c r="H396" s="8"/>
    </row>
    <row r="397" spans="1:8" ht="14.25" customHeight="1" x14ac:dyDescent="0.25">
      <c r="A397" s="8"/>
      <c r="B397" s="8"/>
      <c r="C397" s="8"/>
      <c r="D397" s="8"/>
      <c r="E397" s="9"/>
      <c r="F397" s="8"/>
      <c r="G397" s="8"/>
      <c r="H397" s="8"/>
    </row>
    <row r="398" spans="1:8" ht="14.25" customHeight="1" x14ac:dyDescent="0.25">
      <c r="A398" s="8"/>
      <c r="B398" s="8"/>
      <c r="C398" s="8"/>
      <c r="D398" s="8"/>
      <c r="E398" s="9"/>
      <c r="F398" s="8"/>
      <c r="G398" s="8"/>
      <c r="H398" s="8"/>
    </row>
    <row r="399" spans="1:8" ht="14.25" customHeight="1" x14ac:dyDescent="0.25">
      <c r="A399" s="8"/>
      <c r="B399" s="8"/>
      <c r="C399" s="8"/>
      <c r="D399" s="8"/>
      <c r="E399" s="9"/>
      <c r="F399" s="8"/>
      <c r="G399" s="8"/>
      <c r="H399" s="8"/>
    </row>
    <row r="400" spans="1:8" ht="14.25" customHeight="1" x14ac:dyDescent="0.25">
      <c r="A400" s="8"/>
      <c r="B400" s="8"/>
      <c r="C400" s="8"/>
      <c r="D400" s="8"/>
      <c r="E400" s="9"/>
      <c r="F400" s="8"/>
      <c r="G400" s="8"/>
      <c r="H400" s="8"/>
    </row>
    <row r="401" spans="1:8" ht="14.25" customHeight="1" x14ac:dyDescent="0.25">
      <c r="A401" s="8"/>
      <c r="B401" s="8"/>
      <c r="C401" s="8"/>
      <c r="D401" s="8"/>
      <c r="E401" s="9"/>
      <c r="F401" s="8"/>
      <c r="G401" s="8"/>
      <c r="H401" s="8"/>
    </row>
    <row r="402" spans="1:8" ht="14.25" customHeight="1" x14ac:dyDescent="0.25">
      <c r="A402" s="8"/>
      <c r="B402" s="8"/>
      <c r="C402" s="8"/>
      <c r="D402" s="8"/>
      <c r="E402" s="9"/>
      <c r="F402" s="8"/>
      <c r="G402" s="8"/>
      <c r="H402" s="8"/>
    </row>
    <row r="403" spans="1:8" ht="14.25" customHeight="1" x14ac:dyDescent="0.25">
      <c r="A403" s="8"/>
      <c r="B403" s="8"/>
      <c r="C403" s="8"/>
      <c r="D403" s="8"/>
      <c r="E403" s="9"/>
      <c r="F403" s="8"/>
      <c r="G403" s="8"/>
      <c r="H403" s="8"/>
    </row>
    <row r="404" spans="1:8" ht="14.25" customHeight="1" x14ac:dyDescent="0.25">
      <c r="A404" s="8"/>
      <c r="B404" s="8"/>
      <c r="C404" s="8"/>
      <c r="D404" s="8"/>
      <c r="E404" s="9"/>
      <c r="F404" s="8"/>
      <c r="G404" s="8"/>
      <c r="H404" s="8"/>
    </row>
    <row r="405" spans="1:8" ht="14.25" customHeight="1" x14ac:dyDescent="0.25">
      <c r="A405" s="8"/>
      <c r="B405" s="8"/>
      <c r="C405" s="8"/>
      <c r="D405" s="8"/>
      <c r="E405" s="9"/>
      <c r="F405" s="8"/>
      <c r="G405" s="8"/>
      <c r="H405" s="8"/>
    </row>
    <row r="406" spans="1:8" ht="14.25" customHeight="1" x14ac:dyDescent="0.25">
      <c r="A406" s="8"/>
      <c r="B406" s="8"/>
      <c r="C406" s="8"/>
      <c r="D406" s="8"/>
      <c r="E406" s="9"/>
      <c r="F406" s="8"/>
      <c r="G406" s="8"/>
      <c r="H406" s="8"/>
    </row>
    <row r="407" spans="1:8" ht="14.25" customHeight="1" x14ac:dyDescent="0.25">
      <c r="A407" s="8"/>
      <c r="B407" s="8"/>
      <c r="C407" s="8"/>
      <c r="D407" s="8"/>
      <c r="E407" s="9"/>
      <c r="F407" s="8"/>
      <c r="G407" s="8"/>
      <c r="H407" s="8"/>
    </row>
    <row r="408" spans="1:8" ht="14.25" customHeight="1" x14ac:dyDescent="0.25">
      <c r="A408" s="8"/>
      <c r="B408" s="8"/>
      <c r="C408" s="8"/>
      <c r="D408" s="8"/>
      <c r="E408" s="9"/>
      <c r="F408" s="8"/>
      <c r="G408" s="8"/>
      <c r="H408" s="8"/>
    </row>
    <row r="409" spans="1:8" ht="14.25" customHeight="1" x14ac:dyDescent="0.25">
      <c r="A409" s="8"/>
      <c r="B409" s="8"/>
      <c r="C409" s="8"/>
      <c r="D409" s="8"/>
      <c r="E409" s="9"/>
      <c r="F409" s="8"/>
      <c r="G409" s="8"/>
      <c r="H409" s="8"/>
    </row>
    <row r="410" spans="1:8" ht="14.25" customHeight="1" x14ac:dyDescent="0.25">
      <c r="A410" s="8"/>
      <c r="B410" s="8"/>
      <c r="C410" s="8"/>
      <c r="D410" s="8"/>
      <c r="E410" s="9"/>
      <c r="F410" s="8"/>
      <c r="G410" s="8"/>
      <c r="H410" s="8"/>
    </row>
    <row r="411" spans="1:8" ht="14.25" customHeight="1" x14ac:dyDescent="0.25">
      <c r="A411" s="8"/>
      <c r="B411" s="8"/>
      <c r="C411" s="8"/>
      <c r="D411" s="8"/>
      <c r="E411" s="9"/>
      <c r="F411" s="8"/>
      <c r="G411" s="8"/>
      <c r="H411" s="8"/>
    </row>
    <row r="412" spans="1:8" ht="14.25" customHeight="1" x14ac:dyDescent="0.25">
      <c r="A412" s="8"/>
      <c r="B412" s="8"/>
      <c r="C412" s="8"/>
      <c r="D412" s="8"/>
      <c r="E412" s="9"/>
      <c r="F412" s="8"/>
      <c r="G412" s="8"/>
      <c r="H412" s="8"/>
    </row>
    <row r="413" spans="1:8" ht="14.25" customHeight="1" x14ac:dyDescent="0.25">
      <c r="A413" s="8"/>
      <c r="B413" s="8"/>
      <c r="C413" s="8"/>
      <c r="D413" s="8"/>
      <c r="E413" s="9"/>
      <c r="F413" s="8"/>
      <c r="G413" s="8"/>
      <c r="H413" s="8"/>
    </row>
    <row r="414" spans="1:8" ht="14.25" customHeight="1" x14ac:dyDescent="0.25">
      <c r="A414" s="8"/>
      <c r="B414" s="8"/>
      <c r="C414" s="8"/>
      <c r="D414" s="8"/>
      <c r="E414" s="9"/>
      <c r="F414" s="8"/>
      <c r="G414" s="8"/>
      <c r="H414" s="8"/>
    </row>
    <row r="415" spans="1:8" ht="14.25" customHeight="1" x14ac:dyDescent="0.25">
      <c r="A415" s="8"/>
      <c r="B415" s="8"/>
      <c r="C415" s="8"/>
      <c r="D415" s="8"/>
      <c r="E415" s="9"/>
      <c r="F415" s="8"/>
      <c r="G415" s="8"/>
      <c r="H415" s="8"/>
    </row>
    <row r="416" spans="1:8" ht="14.25" customHeight="1" x14ac:dyDescent="0.25">
      <c r="A416" s="8"/>
      <c r="B416" s="8"/>
      <c r="C416" s="8"/>
      <c r="D416" s="8"/>
      <c r="E416" s="9"/>
      <c r="F416" s="8"/>
      <c r="G416" s="8"/>
      <c r="H416" s="8"/>
    </row>
    <row r="417" spans="1:8" ht="14.25" customHeight="1" x14ac:dyDescent="0.25">
      <c r="A417" s="8"/>
      <c r="B417" s="8"/>
      <c r="C417" s="8"/>
      <c r="D417" s="8"/>
      <c r="E417" s="9"/>
      <c r="F417" s="8"/>
      <c r="G417" s="8"/>
      <c r="H417" s="8"/>
    </row>
    <row r="418" spans="1:8" ht="14.25" customHeight="1" x14ac:dyDescent="0.25">
      <c r="A418" s="8"/>
      <c r="B418" s="8"/>
      <c r="C418" s="8"/>
      <c r="D418" s="8"/>
      <c r="E418" s="9"/>
      <c r="F418" s="8"/>
      <c r="G418" s="8"/>
      <c r="H418" s="8"/>
    </row>
    <row r="419" spans="1:8" ht="14.25" customHeight="1" x14ac:dyDescent="0.25">
      <c r="A419" s="8"/>
      <c r="B419" s="8"/>
      <c r="C419" s="8"/>
      <c r="D419" s="8"/>
      <c r="E419" s="9"/>
      <c r="F419" s="8"/>
      <c r="G419" s="8"/>
      <c r="H419" s="8"/>
    </row>
    <row r="420" spans="1:8" ht="14.25" customHeight="1" x14ac:dyDescent="0.25">
      <c r="A420" s="8"/>
      <c r="B420" s="8"/>
      <c r="C420" s="8"/>
      <c r="D420" s="8"/>
      <c r="E420" s="9"/>
      <c r="F420" s="8"/>
      <c r="G420" s="8"/>
      <c r="H420" s="8"/>
    </row>
    <row r="421" spans="1:8" ht="14.25" customHeight="1" x14ac:dyDescent="0.25">
      <c r="A421" s="8"/>
      <c r="B421" s="8"/>
      <c r="C421" s="8"/>
      <c r="D421" s="8"/>
      <c r="E421" s="9"/>
      <c r="F421" s="8"/>
      <c r="G421" s="8"/>
      <c r="H421" s="8"/>
    </row>
    <row r="422" spans="1:8" ht="14.25" customHeight="1" x14ac:dyDescent="0.25">
      <c r="A422" s="8"/>
      <c r="B422" s="8"/>
      <c r="C422" s="8"/>
      <c r="D422" s="8"/>
      <c r="E422" s="9"/>
      <c r="F422" s="8"/>
      <c r="G422" s="8"/>
      <c r="H422" s="8"/>
    </row>
    <row r="423" spans="1:8" ht="14.25" customHeight="1" x14ac:dyDescent="0.25">
      <c r="A423" s="8"/>
      <c r="B423" s="8"/>
      <c r="C423" s="8"/>
      <c r="D423" s="8"/>
      <c r="E423" s="9"/>
      <c r="F423" s="8"/>
      <c r="G423" s="8"/>
      <c r="H423" s="8"/>
    </row>
    <row r="424" spans="1:8" ht="14.25" customHeight="1" x14ac:dyDescent="0.25">
      <c r="A424" s="8"/>
      <c r="B424" s="8"/>
      <c r="C424" s="8"/>
      <c r="D424" s="8"/>
      <c r="E424" s="9"/>
      <c r="F424" s="8"/>
      <c r="G424" s="8"/>
      <c r="H424" s="8"/>
    </row>
    <row r="425" spans="1:8" ht="14.25" customHeight="1" x14ac:dyDescent="0.25">
      <c r="A425" s="8"/>
      <c r="B425" s="8"/>
      <c r="C425" s="8"/>
      <c r="D425" s="8"/>
      <c r="E425" s="9"/>
      <c r="F425" s="8"/>
      <c r="G425" s="8"/>
      <c r="H425" s="8"/>
    </row>
    <row r="426" spans="1:8" ht="14.25" customHeight="1" x14ac:dyDescent="0.25">
      <c r="A426" s="8"/>
      <c r="B426" s="8"/>
      <c r="C426" s="8"/>
      <c r="D426" s="8"/>
      <c r="E426" s="9"/>
      <c r="F426" s="8"/>
      <c r="G426" s="8"/>
      <c r="H426" s="8"/>
    </row>
    <row r="427" spans="1:8" ht="14.25" customHeight="1" x14ac:dyDescent="0.25">
      <c r="A427" s="8"/>
      <c r="B427" s="8"/>
      <c r="C427" s="8"/>
      <c r="D427" s="8"/>
      <c r="E427" s="9"/>
      <c r="F427" s="8"/>
      <c r="G427" s="8"/>
      <c r="H427" s="8"/>
    </row>
    <row r="428" spans="1:8" ht="14.25" customHeight="1" x14ac:dyDescent="0.25">
      <c r="A428" s="8"/>
      <c r="B428" s="8"/>
      <c r="C428" s="8"/>
      <c r="D428" s="8"/>
      <c r="E428" s="9"/>
      <c r="F428" s="8"/>
      <c r="G428" s="8"/>
      <c r="H428" s="8"/>
    </row>
    <row r="429" spans="1:8" ht="14.25" customHeight="1" x14ac:dyDescent="0.25">
      <c r="A429" s="8"/>
      <c r="B429" s="8"/>
      <c r="C429" s="8"/>
      <c r="D429" s="8"/>
      <c r="E429" s="9"/>
      <c r="F429" s="8"/>
      <c r="G429" s="8"/>
      <c r="H429" s="8"/>
    </row>
    <row r="430" spans="1:8" ht="14.25" customHeight="1" x14ac:dyDescent="0.25">
      <c r="A430" s="8"/>
      <c r="B430" s="8"/>
      <c r="C430" s="8"/>
      <c r="D430" s="8"/>
      <c r="E430" s="9"/>
      <c r="F430" s="8"/>
      <c r="G430" s="8"/>
      <c r="H430" s="8"/>
    </row>
    <row r="431" spans="1:8" ht="14.25" customHeight="1" x14ac:dyDescent="0.25">
      <c r="A431" s="8"/>
      <c r="B431" s="8"/>
      <c r="C431" s="8"/>
      <c r="D431" s="8"/>
      <c r="E431" s="9"/>
      <c r="F431" s="8"/>
      <c r="G431" s="8"/>
      <c r="H431" s="8"/>
    </row>
    <row r="432" spans="1:8" ht="14.25" customHeight="1" x14ac:dyDescent="0.25">
      <c r="A432" s="8"/>
      <c r="B432" s="8"/>
      <c r="C432" s="8"/>
      <c r="D432" s="8"/>
      <c r="E432" s="9"/>
      <c r="F432" s="8"/>
      <c r="G432" s="8"/>
      <c r="H432" s="8"/>
    </row>
    <row r="433" spans="1:8" ht="14.25" customHeight="1" x14ac:dyDescent="0.25">
      <c r="A433" s="8"/>
      <c r="B433" s="8"/>
      <c r="C433" s="8"/>
      <c r="D433" s="8"/>
      <c r="E433" s="9"/>
      <c r="F433" s="8"/>
      <c r="G433" s="8"/>
      <c r="H433" s="8"/>
    </row>
    <row r="434" spans="1:8" ht="14.25" customHeight="1" x14ac:dyDescent="0.25">
      <c r="A434" s="8"/>
      <c r="B434" s="8"/>
      <c r="C434" s="8"/>
      <c r="D434" s="8"/>
      <c r="E434" s="9"/>
      <c r="F434" s="8"/>
      <c r="G434" s="8"/>
      <c r="H434" s="8"/>
    </row>
    <row r="435" spans="1:8" ht="14.25" customHeight="1" x14ac:dyDescent="0.25">
      <c r="A435" s="8"/>
      <c r="B435" s="8"/>
      <c r="C435" s="8"/>
      <c r="D435" s="8"/>
      <c r="E435" s="9"/>
      <c r="F435" s="8"/>
      <c r="G435" s="8"/>
      <c r="H435" s="8"/>
    </row>
    <row r="436" spans="1:8" ht="14.25" customHeight="1" x14ac:dyDescent="0.25">
      <c r="A436" s="8"/>
      <c r="B436" s="8"/>
      <c r="C436" s="8"/>
      <c r="D436" s="8"/>
      <c r="E436" s="9"/>
      <c r="F436" s="8"/>
      <c r="G436" s="8"/>
      <c r="H436" s="8"/>
    </row>
    <row r="437" spans="1:8" ht="14.25" customHeight="1" x14ac:dyDescent="0.25">
      <c r="A437" s="8"/>
      <c r="B437" s="8"/>
      <c r="C437" s="8"/>
      <c r="D437" s="8"/>
      <c r="E437" s="9"/>
      <c r="F437" s="8"/>
      <c r="G437" s="8"/>
      <c r="H437" s="8"/>
    </row>
    <row r="438" spans="1:8" ht="14.25" customHeight="1" x14ac:dyDescent="0.25">
      <c r="A438" s="8"/>
      <c r="B438" s="8"/>
      <c r="C438" s="8"/>
      <c r="D438" s="8"/>
      <c r="E438" s="9"/>
      <c r="F438" s="8"/>
      <c r="G438" s="8"/>
      <c r="H438" s="8"/>
    </row>
    <row r="439" spans="1:8" ht="14.25" customHeight="1" x14ac:dyDescent="0.25">
      <c r="A439" s="8"/>
      <c r="B439" s="8"/>
      <c r="C439" s="8"/>
      <c r="D439" s="8"/>
      <c r="E439" s="9"/>
      <c r="F439" s="8"/>
      <c r="G439" s="8"/>
      <c r="H439" s="8"/>
    </row>
    <row r="440" spans="1:8" ht="14.25" customHeight="1" x14ac:dyDescent="0.25">
      <c r="A440" s="8"/>
      <c r="B440" s="8"/>
      <c r="C440" s="8"/>
      <c r="D440" s="8"/>
      <c r="E440" s="9"/>
      <c r="F440" s="8"/>
      <c r="G440" s="8"/>
      <c r="H440" s="8"/>
    </row>
    <row r="441" spans="1:8" ht="14.25" customHeight="1" x14ac:dyDescent="0.25">
      <c r="A441" s="8"/>
      <c r="B441" s="8"/>
      <c r="C441" s="8"/>
      <c r="D441" s="8"/>
      <c r="E441" s="9"/>
      <c r="F441" s="8"/>
      <c r="G441" s="8"/>
      <c r="H441" s="8"/>
    </row>
    <row r="442" spans="1:8" ht="14.25" customHeight="1" x14ac:dyDescent="0.25">
      <c r="A442" s="8"/>
      <c r="B442" s="8"/>
      <c r="C442" s="8"/>
      <c r="D442" s="8"/>
      <c r="E442" s="9"/>
      <c r="F442" s="8"/>
      <c r="G442" s="8"/>
      <c r="H442" s="8"/>
    </row>
    <row r="443" spans="1:8" ht="14.25" customHeight="1" x14ac:dyDescent="0.25">
      <c r="A443" s="8"/>
      <c r="B443" s="8"/>
      <c r="C443" s="8"/>
      <c r="D443" s="8"/>
      <c r="E443" s="9"/>
      <c r="F443" s="8"/>
      <c r="G443" s="8"/>
      <c r="H443" s="8"/>
    </row>
    <row r="444" spans="1:8" ht="14.25" customHeight="1" x14ac:dyDescent="0.25">
      <c r="A444" s="8"/>
      <c r="B444" s="8"/>
      <c r="C444" s="8"/>
      <c r="D444" s="8"/>
      <c r="E444" s="9"/>
      <c r="F444" s="8"/>
      <c r="G444" s="8"/>
      <c r="H444" s="8"/>
    </row>
    <row r="445" spans="1:8" ht="14.25" customHeight="1" x14ac:dyDescent="0.25">
      <c r="A445" s="8"/>
      <c r="B445" s="8"/>
      <c r="C445" s="8"/>
      <c r="D445" s="8"/>
      <c r="E445" s="9"/>
      <c r="F445" s="8"/>
      <c r="G445" s="8"/>
      <c r="H445" s="8"/>
    </row>
    <row r="446" spans="1:8" ht="14.25" customHeight="1" x14ac:dyDescent="0.25">
      <c r="A446" s="8"/>
      <c r="B446" s="8"/>
      <c r="C446" s="8"/>
      <c r="D446" s="8"/>
      <c r="E446" s="9"/>
      <c r="F446" s="8"/>
      <c r="G446" s="8"/>
      <c r="H446" s="8"/>
    </row>
    <row r="447" spans="1:8" ht="14.25" customHeight="1" x14ac:dyDescent="0.25">
      <c r="A447" s="8"/>
      <c r="B447" s="8"/>
      <c r="C447" s="8"/>
      <c r="D447" s="8"/>
      <c r="E447" s="9"/>
      <c r="F447" s="8"/>
      <c r="G447" s="8"/>
      <c r="H447" s="8"/>
    </row>
    <row r="448" spans="1:8" ht="14.25" customHeight="1" x14ac:dyDescent="0.25">
      <c r="A448" s="8"/>
      <c r="B448" s="8"/>
      <c r="C448" s="8"/>
      <c r="D448" s="8"/>
      <c r="E448" s="9"/>
      <c r="F448" s="8"/>
      <c r="G448" s="8"/>
      <c r="H448" s="8"/>
    </row>
    <row r="449" spans="1:8" ht="14.25" customHeight="1" x14ac:dyDescent="0.25">
      <c r="A449" s="8"/>
      <c r="B449" s="8"/>
      <c r="C449" s="8"/>
      <c r="D449" s="8"/>
      <c r="E449" s="9"/>
      <c r="F449" s="8"/>
      <c r="G449" s="8"/>
      <c r="H449" s="8"/>
    </row>
    <row r="450" spans="1:8" ht="14.25" customHeight="1" x14ac:dyDescent="0.25">
      <c r="A450" s="8"/>
      <c r="B450" s="8"/>
      <c r="C450" s="8"/>
      <c r="D450" s="8"/>
      <c r="E450" s="9"/>
      <c r="F450" s="8"/>
      <c r="G450" s="8"/>
      <c r="H450" s="8"/>
    </row>
    <row r="451" spans="1:8" ht="14.25" customHeight="1" x14ac:dyDescent="0.25">
      <c r="A451" s="8"/>
      <c r="B451" s="8"/>
      <c r="C451" s="8"/>
      <c r="D451" s="8"/>
      <c r="E451" s="9"/>
      <c r="F451" s="8"/>
      <c r="G451" s="8"/>
      <c r="H451" s="8"/>
    </row>
    <row r="452" spans="1:8" ht="14.25" customHeight="1" x14ac:dyDescent="0.25">
      <c r="A452" s="8"/>
      <c r="B452" s="8"/>
      <c r="C452" s="8"/>
      <c r="D452" s="8"/>
      <c r="E452" s="9"/>
      <c r="F452" s="8"/>
      <c r="G452" s="8"/>
      <c r="H452" s="8"/>
    </row>
    <row r="453" spans="1:8" ht="14.25" customHeight="1" x14ac:dyDescent="0.25">
      <c r="A453" s="8"/>
      <c r="B453" s="8"/>
      <c r="C453" s="8"/>
      <c r="D453" s="8"/>
      <c r="E453" s="9"/>
      <c r="F453" s="8"/>
      <c r="G453" s="8"/>
      <c r="H453" s="8"/>
    </row>
    <row r="454" spans="1:8" ht="14.25" customHeight="1" x14ac:dyDescent="0.25">
      <c r="A454" s="8"/>
      <c r="B454" s="8"/>
      <c r="C454" s="8"/>
      <c r="D454" s="8"/>
      <c r="E454" s="9"/>
      <c r="F454" s="8"/>
      <c r="G454" s="8"/>
      <c r="H454" s="8"/>
    </row>
    <row r="455" spans="1:8" ht="14.25" customHeight="1" x14ac:dyDescent="0.25">
      <c r="A455" s="8"/>
      <c r="B455" s="8"/>
      <c r="C455" s="8"/>
      <c r="D455" s="8"/>
      <c r="E455" s="9"/>
      <c r="F455" s="8"/>
      <c r="G455" s="8"/>
      <c r="H455" s="8"/>
    </row>
    <row r="456" spans="1:8" ht="14.25" customHeight="1" x14ac:dyDescent="0.25">
      <c r="A456" s="8"/>
      <c r="B456" s="8"/>
      <c r="C456" s="8"/>
      <c r="D456" s="8"/>
      <c r="E456" s="9"/>
      <c r="F456" s="8"/>
      <c r="G456" s="8"/>
      <c r="H456" s="8"/>
    </row>
    <row r="457" spans="1:8" ht="14.25" customHeight="1" x14ac:dyDescent="0.25">
      <c r="A457" s="8"/>
      <c r="B457" s="8"/>
      <c r="C457" s="8"/>
      <c r="D457" s="8"/>
      <c r="E457" s="9"/>
      <c r="F457" s="8"/>
      <c r="G457" s="8"/>
      <c r="H457" s="8"/>
    </row>
    <row r="458" spans="1:8" ht="14.25" customHeight="1" x14ac:dyDescent="0.25">
      <c r="A458" s="8"/>
      <c r="B458" s="8"/>
      <c r="C458" s="8"/>
      <c r="D458" s="8"/>
      <c r="E458" s="9"/>
      <c r="F458" s="8"/>
      <c r="G458" s="8"/>
      <c r="H458" s="8"/>
    </row>
    <row r="459" spans="1:8" ht="14.25" customHeight="1" x14ac:dyDescent="0.25">
      <c r="A459" s="8"/>
      <c r="B459" s="8"/>
      <c r="C459" s="8"/>
      <c r="D459" s="8"/>
      <c r="E459" s="9"/>
      <c r="F459" s="8"/>
      <c r="G459" s="8"/>
      <c r="H459" s="8"/>
    </row>
    <row r="460" spans="1:8" ht="14.25" customHeight="1" x14ac:dyDescent="0.25">
      <c r="A460" s="8"/>
      <c r="B460" s="8"/>
      <c r="C460" s="8"/>
      <c r="D460" s="8"/>
      <c r="E460" s="9"/>
      <c r="F460" s="8"/>
      <c r="G460" s="8"/>
      <c r="H460" s="8"/>
    </row>
    <row r="461" spans="1:8" ht="14.25" customHeight="1" x14ac:dyDescent="0.25">
      <c r="A461" s="8"/>
      <c r="B461" s="8"/>
      <c r="C461" s="8"/>
      <c r="D461" s="8"/>
      <c r="E461" s="9"/>
      <c r="F461" s="8"/>
      <c r="G461" s="8"/>
      <c r="H461" s="8"/>
    </row>
    <row r="462" spans="1:8" ht="14.25" customHeight="1" x14ac:dyDescent="0.25">
      <c r="A462" s="8"/>
      <c r="B462" s="8"/>
      <c r="C462" s="8"/>
      <c r="D462" s="8"/>
      <c r="E462" s="9"/>
      <c r="F462" s="8"/>
      <c r="G462" s="8"/>
      <c r="H462" s="8"/>
    </row>
    <row r="463" spans="1:8" ht="14.25" customHeight="1" x14ac:dyDescent="0.25">
      <c r="A463" s="8"/>
      <c r="B463" s="8"/>
      <c r="C463" s="8"/>
      <c r="D463" s="8"/>
      <c r="E463" s="9"/>
      <c r="F463" s="8"/>
      <c r="G463" s="8"/>
      <c r="H463" s="8"/>
    </row>
    <row r="464" spans="1:8" ht="14.25" customHeight="1" x14ac:dyDescent="0.25">
      <c r="A464" s="8"/>
      <c r="B464" s="8"/>
      <c r="C464" s="8"/>
      <c r="D464" s="8"/>
      <c r="E464" s="9"/>
      <c r="F464" s="8"/>
      <c r="G464" s="8"/>
      <c r="H464" s="8"/>
    </row>
    <row r="465" spans="1:8" ht="14.25" customHeight="1" x14ac:dyDescent="0.25">
      <c r="A465" s="8"/>
      <c r="B465" s="8"/>
      <c r="C465" s="8"/>
      <c r="D465" s="8"/>
      <c r="E465" s="9"/>
      <c r="F465" s="8"/>
      <c r="G465" s="8"/>
      <c r="H465" s="8"/>
    </row>
    <row r="466" spans="1:8" ht="14.25" customHeight="1" x14ac:dyDescent="0.25">
      <c r="A466" s="8"/>
      <c r="B466" s="8"/>
      <c r="C466" s="8"/>
      <c r="D466" s="8"/>
      <c r="E466" s="9"/>
      <c r="F466" s="8"/>
      <c r="G466" s="8"/>
      <c r="H466" s="8"/>
    </row>
    <row r="467" spans="1:8" ht="14.25" customHeight="1" x14ac:dyDescent="0.25">
      <c r="A467" s="8"/>
      <c r="B467" s="8"/>
      <c r="C467" s="8"/>
      <c r="D467" s="8"/>
      <c r="E467" s="9"/>
      <c r="F467" s="8"/>
      <c r="G467" s="8"/>
      <c r="H467" s="8"/>
    </row>
    <row r="468" spans="1:8" ht="14.25" customHeight="1" x14ac:dyDescent="0.25">
      <c r="A468" s="8"/>
      <c r="B468" s="8"/>
      <c r="C468" s="8"/>
      <c r="D468" s="8"/>
      <c r="E468" s="9"/>
      <c r="F468" s="8"/>
      <c r="G468" s="8"/>
      <c r="H468" s="8"/>
    </row>
    <row r="469" spans="1:8" ht="14.25" customHeight="1" x14ac:dyDescent="0.25">
      <c r="A469" s="8"/>
      <c r="B469" s="8"/>
      <c r="C469" s="8"/>
      <c r="D469" s="8"/>
      <c r="E469" s="9"/>
      <c r="F469" s="8"/>
      <c r="G469" s="8"/>
      <c r="H469" s="8"/>
    </row>
    <row r="470" spans="1:8" ht="14.25" customHeight="1" x14ac:dyDescent="0.25">
      <c r="A470" s="8"/>
      <c r="B470" s="8"/>
      <c r="C470" s="8"/>
      <c r="D470" s="8"/>
      <c r="E470" s="9"/>
      <c r="F470" s="8"/>
      <c r="G470" s="8"/>
      <c r="H470" s="8"/>
    </row>
    <row r="471" spans="1:8" ht="14.25" customHeight="1" x14ac:dyDescent="0.25">
      <c r="A471" s="8"/>
      <c r="B471" s="8"/>
      <c r="C471" s="8"/>
      <c r="D471" s="8"/>
      <c r="E471" s="9"/>
      <c r="F471" s="8"/>
      <c r="G471" s="8"/>
      <c r="H471" s="8"/>
    </row>
    <row r="472" spans="1:8" ht="14.25" customHeight="1" x14ac:dyDescent="0.25">
      <c r="A472" s="8"/>
      <c r="B472" s="8"/>
      <c r="C472" s="8"/>
      <c r="D472" s="8"/>
      <c r="E472" s="9"/>
      <c r="F472" s="8"/>
      <c r="G472" s="8"/>
      <c r="H472" s="8"/>
    </row>
    <row r="473" spans="1:8" ht="14.25" customHeight="1" x14ac:dyDescent="0.25">
      <c r="A473" s="8"/>
      <c r="B473" s="8"/>
      <c r="C473" s="8"/>
      <c r="D473" s="8"/>
      <c r="E473" s="9"/>
      <c r="F473" s="8"/>
      <c r="G473" s="8"/>
      <c r="H473" s="8"/>
    </row>
    <row r="474" spans="1:8" ht="14.25" customHeight="1" x14ac:dyDescent="0.25">
      <c r="A474" s="8"/>
      <c r="B474" s="8"/>
      <c r="C474" s="8"/>
      <c r="D474" s="8"/>
      <c r="E474" s="9"/>
      <c r="F474" s="8"/>
      <c r="G474" s="8"/>
      <c r="H474" s="8"/>
    </row>
    <row r="475" spans="1:8" ht="14.25" customHeight="1" x14ac:dyDescent="0.25">
      <c r="A475" s="8"/>
      <c r="B475" s="8"/>
      <c r="C475" s="8"/>
      <c r="D475" s="8"/>
      <c r="E475" s="9"/>
      <c r="F475" s="8"/>
      <c r="G475" s="8"/>
      <c r="H475" s="8"/>
    </row>
    <row r="476" spans="1:8" ht="14.25" customHeight="1" x14ac:dyDescent="0.25">
      <c r="A476" s="8"/>
      <c r="B476" s="8"/>
      <c r="C476" s="8"/>
      <c r="D476" s="8"/>
      <c r="E476" s="9"/>
      <c r="F476" s="8"/>
      <c r="G476" s="8"/>
      <c r="H476" s="8"/>
    </row>
    <row r="477" spans="1:8" ht="14.25" customHeight="1" x14ac:dyDescent="0.25">
      <c r="A477" s="8"/>
      <c r="B477" s="8"/>
      <c r="C477" s="8"/>
      <c r="D477" s="8"/>
      <c r="E477" s="9"/>
      <c r="F477" s="8"/>
      <c r="G477" s="8"/>
      <c r="H477" s="8"/>
    </row>
    <row r="478" spans="1:8" ht="14.25" customHeight="1" x14ac:dyDescent="0.25">
      <c r="A478" s="8"/>
      <c r="B478" s="8"/>
      <c r="C478" s="8"/>
      <c r="D478" s="8"/>
      <c r="E478" s="9"/>
      <c r="F478" s="8"/>
      <c r="G478" s="8"/>
      <c r="H478" s="8"/>
    </row>
    <row r="479" spans="1:8" ht="14.25" customHeight="1" x14ac:dyDescent="0.25">
      <c r="A479" s="8"/>
      <c r="B479" s="8"/>
      <c r="C479" s="8"/>
      <c r="D479" s="8"/>
      <c r="E479" s="9"/>
      <c r="F479" s="8"/>
      <c r="G479" s="8"/>
      <c r="H479" s="8"/>
    </row>
    <row r="480" spans="1:8" ht="14.25" customHeight="1" x14ac:dyDescent="0.25">
      <c r="A480" s="8"/>
      <c r="B480" s="8"/>
      <c r="C480" s="8"/>
      <c r="D480" s="8"/>
      <c r="E480" s="9"/>
      <c r="F480" s="8"/>
      <c r="G480" s="8"/>
      <c r="H480" s="8"/>
    </row>
    <row r="481" spans="1:8" ht="14.25" customHeight="1" x14ac:dyDescent="0.25">
      <c r="A481" s="8"/>
      <c r="B481" s="8"/>
      <c r="C481" s="8"/>
      <c r="D481" s="8"/>
      <c r="E481" s="9"/>
      <c r="F481" s="8"/>
      <c r="G481" s="8"/>
      <c r="H481" s="8"/>
    </row>
    <row r="482" spans="1:8" ht="14.25" customHeight="1" x14ac:dyDescent="0.25">
      <c r="A482" s="8"/>
      <c r="B482" s="8"/>
      <c r="C482" s="8"/>
      <c r="D482" s="8"/>
      <c r="E482" s="9"/>
      <c r="F482" s="8"/>
      <c r="G482" s="8"/>
      <c r="H482" s="8"/>
    </row>
    <row r="483" spans="1:8" ht="14.25" customHeight="1" x14ac:dyDescent="0.25">
      <c r="A483" s="8"/>
      <c r="B483" s="8"/>
      <c r="C483" s="8"/>
      <c r="D483" s="8"/>
      <c r="E483" s="9"/>
      <c r="F483" s="8"/>
      <c r="G483" s="8"/>
      <c r="H483" s="8"/>
    </row>
    <row r="484" spans="1:8" ht="14.25" customHeight="1" x14ac:dyDescent="0.25">
      <c r="A484" s="8"/>
      <c r="B484" s="8"/>
      <c r="C484" s="8"/>
      <c r="D484" s="8"/>
      <c r="E484" s="9"/>
      <c r="F484" s="8"/>
      <c r="G484" s="8"/>
      <c r="H484" s="8"/>
    </row>
    <row r="485" spans="1:8" ht="14.25" customHeight="1" x14ac:dyDescent="0.25">
      <c r="A485" s="8"/>
      <c r="B485" s="8"/>
      <c r="C485" s="8"/>
      <c r="D485" s="8"/>
      <c r="E485" s="9"/>
      <c r="F485" s="8"/>
      <c r="G485" s="8"/>
      <c r="H485" s="8"/>
    </row>
    <row r="486" spans="1:8" ht="14.25" customHeight="1" x14ac:dyDescent="0.25">
      <c r="A486" s="8"/>
      <c r="B486" s="8"/>
      <c r="C486" s="8"/>
      <c r="D486" s="8"/>
      <c r="E486" s="9"/>
      <c r="F486" s="8"/>
      <c r="G486" s="8"/>
      <c r="H486" s="8"/>
    </row>
    <row r="487" spans="1:8" ht="14.25" customHeight="1" x14ac:dyDescent="0.25">
      <c r="A487" s="8"/>
      <c r="B487" s="8"/>
      <c r="C487" s="8"/>
      <c r="D487" s="8"/>
      <c r="E487" s="9"/>
      <c r="F487" s="8"/>
      <c r="G487" s="8"/>
      <c r="H487" s="8"/>
    </row>
    <row r="488" spans="1:8" ht="14.25" customHeight="1" x14ac:dyDescent="0.25">
      <c r="A488" s="8"/>
      <c r="B488" s="8"/>
      <c r="C488" s="8"/>
      <c r="D488" s="8"/>
      <c r="E488" s="9"/>
      <c r="F488" s="8"/>
      <c r="G488" s="8"/>
      <c r="H488" s="8"/>
    </row>
    <row r="489" spans="1:8" ht="14.25" customHeight="1" x14ac:dyDescent="0.25">
      <c r="A489" s="8"/>
      <c r="B489" s="8"/>
      <c r="C489" s="8"/>
      <c r="D489" s="8"/>
      <c r="E489" s="9"/>
      <c r="F489" s="8"/>
      <c r="G489" s="8"/>
      <c r="H489" s="8"/>
    </row>
    <row r="490" spans="1:8" ht="14.25" customHeight="1" x14ac:dyDescent="0.25">
      <c r="A490" s="8"/>
      <c r="B490" s="8"/>
      <c r="C490" s="8"/>
      <c r="D490" s="8"/>
      <c r="E490" s="9"/>
      <c r="F490" s="8"/>
      <c r="G490" s="8"/>
      <c r="H490" s="8"/>
    </row>
    <row r="491" spans="1:8" ht="14.25" customHeight="1" x14ac:dyDescent="0.25">
      <c r="A491" s="8"/>
      <c r="B491" s="8"/>
      <c r="C491" s="8"/>
      <c r="D491" s="8"/>
      <c r="E491" s="9"/>
      <c r="F491" s="8"/>
      <c r="G491" s="8"/>
      <c r="H491" s="8"/>
    </row>
    <row r="492" spans="1:8" ht="14.25" customHeight="1" x14ac:dyDescent="0.25">
      <c r="A492" s="8"/>
      <c r="B492" s="8"/>
      <c r="C492" s="8"/>
      <c r="D492" s="8"/>
      <c r="E492" s="9"/>
      <c r="F492" s="8"/>
      <c r="G492" s="8"/>
      <c r="H492" s="8"/>
    </row>
    <row r="493" spans="1:8" ht="14.25" customHeight="1" x14ac:dyDescent="0.25">
      <c r="A493" s="8"/>
      <c r="B493" s="8"/>
      <c r="C493" s="8"/>
      <c r="D493" s="8"/>
      <c r="E493" s="9"/>
      <c r="F493" s="8"/>
      <c r="G493" s="8"/>
      <c r="H493" s="8"/>
    </row>
    <row r="494" spans="1:8" ht="14.25" customHeight="1" x14ac:dyDescent="0.25">
      <c r="A494" s="8"/>
      <c r="B494" s="8"/>
      <c r="C494" s="8"/>
      <c r="D494" s="8"/>
      <c r="E494" s="9"/>
      <c r="F494" s="8"/>
      <c r="G494" s="8"/>
      <c r="H494" s="8"/>
    </row>
    <row r="495" spans="1:8" ht="14.25" customHeight="1" x14ac:dyDescent="0.25">
      <c r="A495" s="8"/>
      <c r="B495" s="8"/>
      <c r="C495" s="8"/>
      <c r="D495" s="8"/>
      <c r="E495" s="9"/>
      <c r="F495" s="8"/>
      <c r="G495" s="8"/>
      <c r="H495" s="8"/>
    </row>
    <row r="496" spans="1:8" ht="14.25" customHeight="1" x14ac:dyDescent="0.25">
      <c r="A496" s="8"/>
      <c r="B496" s="8"/>
      <c r="C496" s="8"/>
      <c r="D496" s="8"/>
      <c r="E496" s="9"/>
      <c r="F496" s="8"/>
      <c r="G496" s="8"/>
      <c r="H496" s="8"/>
    </row>
    <row r="497" spans="1:8" ht="14.25" customHeight="1" x14ac:dyDescent="0.25">
      <c r="A497" s="8"/>
      <c r="B497" s="8"/>
      <c r="C497" s="8"/>
      <c r="D497" s="8"/>
      <c r="E497" s="9"/>
      <c r="F497" s="8"/>
      <c r="G497" s="8"/>
      <c r="H497" s="8"/>
    </row>
    <row r="498" spans="1:8" ht="14.25" customHeight="1" x14ac:dyDescent="0.25">
      <c r="A498" s="8"/>
      <c r="B498" s="8"/>
      <c r="C498" s="8"/>
      <c r="D498" s="8"/>
      <c r="E498" s="9"/>
      <c r="F498" s="8"/>
      <c r="G498" s="8"/>
      <c r="H498" s="8"/>
    </row>
    <row r="499" spans="1:8" ht="14.25" customHeight="1" x14ac:dyDescent="0.25">
      <c r="A499" s="8"/>
      <c r="B499" s="8"/>
      <c r="C499" s="8"/>
      <c r="D499" s="8"/>
      <c r="E499" s="9"/>
      <c r="F499" s="8"/>
      <c r="G499" s="8"/>
      <c r="H499" s="8"/>
    </row>
    <row r="500" spans="1:8" ht="14.25" customHeight="1" x14ac:dyDescent="0.25">
      <c r="A500" s="8"/>
      <c r="B500" s="8"/>
      <c r="C500" s="8"/>
      <c r="D500" s="8"/>
      <c r="E500" s="9"/>
      <c r="F500" s="8"/>
      <c r="G500" s="8"/>
      <c r="H500" s="8"/>
    </row>
    <row r="501" spans="1:8" ht="14.25" customHeight="1" x14ac:dyDescent="0.25">
      <c r="A501" s="8"/>
      <c r="B501" s="8"/>
      <c r="C501" s="8"/>
      <c r="D501" s="8"/>
      <c r="E501" s="9"/>
      <c r="F501" s="8"/>
      <c r="G501" s="8"/>
      <c r="H501" s="8"/>
    </row>
    <row r="502" spans="1:8" ht="14.25" customHeight="1" x14ac:dyDescent="0.25">
      <c r="A502" s="8"/>
      <c r="B502" s="8"/>
      <c r="C502" s="8"/>
      <c r="D502" s="8"/>
      <c r="E502" s="9"/>
      <c r="F502" s="8"/>
      <c r="G502" s="8"/>
      <c r="H502" s="8"/>
    </row>
    <row r="503" spans="1:8" ht="14.25" customHeight="1" x14ac:dyDescent="0.25">
      <c r="A503" s="8"/>
      <c r="B503" s="8"/>
      <c r="C503" s="8"/>
      <c r="D503" s="8"/>
      <c r="E503" s="9"/>
      <c r="F503" s="8"/>
      <c r="G503" s="8"/>
      <c r="H503" s="8"/>
    </row>
    <row r="504" spans="1:8" ht="14.25" customHeight="1" x14ac:dyDescent="0.25">
      <c r="A504" s="8"/>
      <c r="B504" s="8"/>
      <c r="C504" s="8"/>
      <c r="D504" s="8"/>
      <c r="E504" s="9"/>
      <c r="F504" s="8"/>
      <c r="G504" s="8"/>
      <c r="H504" s="8"/>
    </row>
    <row r="505" spans="1:8" ht="14.25" customHeight="1" x14ac:dyDescent="0.25">
      <c r="A505" s="8"/>
      <c r="B505" s="8"/>
      <c r="C505" s="8"/>
      <c r="D505" s="8"/>
      <c r="E505" s="9"/>
      <c r="F505" s="8"/>
      <c r="G505" s="8"/>
      <c r="H505" s="8"/>
    </row>
    <row r="506" spans="1:8" ht="14.25" customHeight="1" x14ac:dyDescent="0.25">
      <c r="A506" s="8"/>
      <c r="B506" s="8"/>
      <c r="C506" s="8"/>
      <c r="D506" s="8"/>
      <c r="E506" s="9"/>
      <c r="F506" s="8"/>
      <c r="G506" s="8"/>
      <c r="H506" s="8"/>
    </row>
    <row r="507" spans="1:8" ht="14.25" customHeight="1" x14ac:dyDescent="0.25">
      <c r="A507" s="8"/>
      <c r="B507" s="8"/>
      <c r="C507" s="8"/>
      <c r="D507" s="8"/>
      <c r="E507" s="9"/>
      <c r="F507" s="8"/>
      <c r="G507" s="8"/>
      <c r="H507" s="8"/>
    </row>
    <row r="508" spans="1:8" ht="14.25" customHeight="1" x14ac:dyDescent="0.25">
      <c r="A508" s="8"/>
      <c r="B508" s="8"/>
      <c r="C508" s="8"/>
      <c r="D508" s="8"/>
      <c r="E508" s="9"/>
      <c r="F508" s="8"/>
      <c r="G508" s="8"/>
      <c r="H508" s="8"/>
    </row>
    <row r="509" spans="1:8" ht="14.25" customHeight="1" x14ac:dyDescent="0.25">
      <c r="A509" s="8"/>
      <c r="B509" s="8"/>
      <c r="C509" s="8"/>
      <c r="D509" s="8"/>
      <c r="E509" s="9"/>
      <c r="F509" s="8"/>
      <c r="G509" s="8"/>
      <c r="H509" s="8"/>
    </row>
    <row r="510" spans="1:8" ht="14.25" customHeight="1" x14ac:dyDescent="0.25">
      <c r="A510" s="8"/>
      <c r="B510" s="8"/>
      <c r="C510" s="8"/>
      <c r="D510" s="8"/>
      <c r="E510" s="9"/>
      <c r="F510" s="8"/>
      <c r="G510" s="8"/>
      <c r="H510" s="8"/>
    </row>
    <row r="511" spans="1:8" ht="14.25" customHeight="1" x14ac:dyDescent="0.25">
      <c r="A511" s="8"/>
      <c r="B511" s="8"/>
      <c r="C511" s="8"/>
      <c r="D511" s="8"/>
      <c r="E511" s="9"/>
      <c r="F511" s="8"/>
      <c r="G511" s="8"/>
      <c r="H511" s="8"/>
    </row>
    <row r="512" spans="1:8" ht="14.25" customHeight="1" x14ac:dyDescent="0.25">
      <c r="A512" s="8"/>
      <c r="B512" s="8"/>
      <c r="C512" s="8"/>
      <c r="D512" s="8"/>
      <c r="E512" s="9"/>
      <c r="F512" s="8"/>
      <c r="G512" s="8"/>
      <c r="H512" s="8"/>
    </row>
    <row r="513" spans="1:8" ht="14.25" customHeight="1" x14ac:dyDescent="0.25">
      <c r="A513" s="8"/>
      <c r="B513" s="8"/>
      <c r="C513" s="8"/>
      <c r="D513" s="8"/>
      <c r="E513" s="9"/>
      <c r="F513" s="8"/>
      <c r="G513" s="8"/>
      <c r="H513" s="8"/>
    </row>
    <row r="514" spans="1:8" ht="14.25" customHeight="1" x14ac:dyDescent="0.25">
      <c r="A514" s="8"/>
      <c r="B514" s="8"/>
      <c r="C514" s="8"/>
      <c r="D514" s="8"/>
      <c r="E514" s="9"/>
      <c r="F514" s="8"/>
      <c r="G514" s="8"/>
      <c r="H514" s="8"/>
    </row>
    <row r="515" spans="1:8" ht="14.25" customHeight="1" x14ac:dyDescent="0.25">
      <c r="A515" s="8"/>
      <c r="B515" s="8"/>
      <c r="C515" s="8"/>
      <c r="D515" s="8"/>
      <c r="E515" s="9"/>
      <c r="F515" s="8"/>
      <c r="G515" s="8"/>
      <c r="H515" s="8"/>
    </row>
    <row r="516" spans="1:8" ht="14.25" customHeight="1" x14ac:dyDescent="0.25">
      <c r="A516" s="8"/>
      <c r="B516" s="8"/>
      <c r="C516" s="8"/>
      <c r="D516" s="8"/>
      <c r="E516" s="9"/>
      <c r="F516" s="8"/>
      <c r="G516" s="8"/>
      <c r="H516" s="8"/>
    </row>
    <row r="517" spans="1:8" ht="14.25" customHeight="1" x14ac:dyDescent="0.25">
      <c r="A517" s="8"/>
      <c r="B517" s="8"/>
      <c r="C517" s="8"/>
      <c r="D517" s="8"/>
      <c r="E517" s="9"/>
      <c r="F517" s="8"/>
      <c r="G517" s="8"/>
      <c r="H517" s="8"/>
    </row>
    <row r="518" spans="1:8" ht="14.25" customHeight="1" x14ac:dyDescent="0.25">
      <c r="A518" s="8"/>
      <c r="B518" s="8"/>
      <c r="C518" s="8"/>
      <c r="D518" s="8"/>
      <c r="E518" s="9"/>
      <c r="F518" s="8"/>
      <c r="G518" s="8"/>
      <c r="H518" s="8"/>
    </row>
    <row r="519" spans="1:8" ht="14.25" customHeight="1" x14ac:dyDescent="0.25">
      <c r="A519" s="8"/>
      <c r="B519" s="8"/>
      <c r="C519" s="8"/>
      <c r="D519" s="8"/>
      <c r="E519" s="9"/>
      <c r="F519" s="8"/>
      <c r="G519" s="8"/>
      <c r="H519" s="8"/>
    </row>
    <row r="520" spans="1:8" ht="14.25" customHeight="1" x14ac:dyDescent="0.25">
      <c r="A520" s="8"/>
      <c r="B520" s="8"/>
      <c r="C520" s="8"/>
      <c r="D520" s="8"/>
      <c r="E520" s="9"/>
      <c r="F520" s="8"/>
      <c r="G520" s="8"/>
      <c r="H520" s="8"/>
    </row>
    <row r="521" spans="1:8" ht="14.25" customHeight="1" x14ac:dyDescent="0.25">
      <c r="A521" s="8"/>
      <c r="B521" s="8"/>
      <c r="C521" s="8"/>
      <c r="D521" s="8"/>
      <c r="E521" s="9"/>
      <c r="F521" s="8"/>
      <c r="G521" s="8"/>
      <c r="H521" s="8"/>
    </row>
    <row r="522" spans="1:8" ht="14.25" customHeight="1" x14ac:dyDescent="0.25">
      <c r="A522" s="8"/>
      <c r="B522" s="8"/>
      <c r="C522" s="8"/>
      <c r="D522" s="8"/>
      <c r="E522" s="9"/>
      <c r="F522" s="8"/>
      <c r="G522" s="8"/>
      <c r="H522" s="8"/>
    </row>
    <row r="523" spans="1:8" ht="14.25" customHeight="1" x14ac:dyDescent="0.25">
      <c r="A523" s="8"/>
      <c r="B523" s="8"/>
      <c r="C523" s="8"/>
      <c r="D523" s="8"/>
      <c r="E523" s="9"/>
      <c r="F523" s="8"/>
      <c r="G523" s="8"/>
      <c r="H523" s="8"/>
    </row>
    <row r="524" spans="1:8" ht="14.25" customHeight="1" x14ac:dyDescent="0.25">
      <c r="A524" s="8"/>
      <c r="B524" s="8"/>
      <c r="C524" s="8"/>
      <c r="D524" s="8"/>
      <c r="E524" s="9"/>
      <c r="F524" s="8"/>
      <c r="G524" s="8"/>
      <c r="H524" s="8"/>
    </row>
    <row r="525" spans="1:8" ht="14.25" customHeight="1" x14ac:dyDescent="0.25">
      <c r="A525" s="8"/>
      <c r="B525" s="8"/>
      <c r="C525" s="8"/>
      <c r="D525" s="8"/>
      <c r="E525" s="9"/>
      <c r="F525" s="8"/>
      <c r="G525" s="8"/>
      <c r="H525" s="8"/>
    </row>
    <row r="526" spans="1:8" ht="14.25" customHeight="1" x14ac:dyDescent="0.25">
      <c r="A526" s="8"/>
      <c r="B526" s="8"/>
      <c r="C526" s="8"/>
      <c r="D526" s="8"/>
      <c r="E526" s="9"/>
      <c r="F526" s="8"/>
      <c r="G526" s="8"/>
      <c r="H526" s="8"/>
    </row>
    <row r="527" spans="1:8" ht="14.25" customHeight="1" x14ac:dyDescent="0.25">
      <c r="A527" s="8"/>
      <c r="B527" s="8"/>
      <c r="C527" s="8"/>
      <c r="D527" s="8"/>
      <c r="E527" s="9"/>
      <c r="F527" s="8"/>
      <c r="G527" s="8"/>
      <c r="H527" s="8"/>
    </row>
    <row r="528" spans="1:8" ht="14.25" customHeight="1" x14ac:dyDescent="0.25">
      <c r="A528" s="8"/>
      <c r="B528" s="8"/>
      <c r="C528" s="8"/>
      <c r="D528" s="8"/>
      <c r="E528" s="9"/>
      <c r="F528" s="8"/>
      <c r="G528" s="8"/>
      <c r="H528" s="8"/>
    </row>
    <row r="529" spans="1:8" ht="14.25" customHeight="1" x14ac:dyDescent="0.25">
      <c r="A529" s="8"/>
      <c r="B529" s="8"/>
      <c r="C529" s="8"/>
      <c r="D529" s="8"/>
      <c r="E529" s="9"/>
      <c r="F529" s="8"/>
      <c r="G529" s="8"/>
      <c r="H529" s="8"/>
    </row>
    <row r="530" spans="1:8" ht="14.25" customHeight="1" x14ac:dyDescent="0.25">
      <c r="A530" s="8"/>
      <c r="B530" s="8"/>
      <c r="C530" s="8"/>
      <c r="D530" s="8"/>
      <c r="E530" s="9"/>
      <c r="F530" s="8"/>
      <c r="G530" s="8"/>
      <c r="H530" s="8"/>
    </row>
    <row r="531" spans="1:8" ht="14.25" customHeight="1" x14ac:dyDescent="0.25">
      <c r="A531" s="8"/>
      <c r="B531" s="8"/>
      <c r="C531" s="8"/>
      <c r="D531" s="8"/>
      <c r="E531" s="9"/>
      <c r="F531" s="8"/>
      <c r="G531" s="8"/>
      <c r="H531" s="8"/>
    </row>
    <row r="532" spans="1:8" ht="14.25" customHeight="1" x14ac:dyDescent="0.25">
      <c r="A532" s="8"/>
      <c r="B532" s="8"/>
      <c r="C532" s="8"/>
      <c r="D532" s="8"/>
      <c r="E532" s="9"/>
      <c r="F532" s="8"/>
      <c r="G532" s="8"/>
      <c r="H532" s="8"/>
    </row>
    <row r="533" spans="1:8" ht="14.25" customHeight="1" x14ac:dyDescent="0.25">
      <c r="A533" s="8"/>
      <c r="B533" s="8"/>
      <c r="C533" s="8"/>
      <c r="D533" s="8"/>
      <c r="E533" s="9"/>
      <c r="F533" s="8"/>
      <c r="G533" s="8"/>
      <c r="H533" s="8"/>
    </row>
    <row r="534" spans="1:8" ht="14.25" customHeight="1" x14ac:dyDescent="0.25">
      <c r="A534" s="8"/>
      <c r="B534" s="8"/>
      <c r="C534" s="8"/>
      <c r="D534" s="8"/>
      <c r="E534" s="9"/>
      <c r="F534" s="8"/>
      <c r="G534" s="8"/>
      <c r="H534" s="8"/>
    </row>
    <row r="535" spans="1:8" ht="14.25" customHeight="1" x14ac:dyDescent="0.25">
      <c r="A535" s="8"/>
      <c r="B535" s="8"/>
      <c r="C535" s="8"/>
      <c r="D535" s="8"/>
      <c r="E535" s="9"/>
      <c r="F535" s="8"/>
      <c r="G535" s="8"/>
      <c r="H535" s="8"/>
    </row>
    <row r="536" spans="1:8" ht="14.25" customHeight="1" x14ac:dyDescent="0.25">
      <c r="A536" s="8"/>
      <c r="B536" s="8"/>
      <c r="C536" s="8"/>
      <c r="D536" s="8"/>
      <c r="E536" s="9"/>
      <c r="F536" s="8"/>
      <c r="G536" s="8"/>
      <c r="H536" s="8"/>
    </row>
    <row r="537" spans="1:8" ht="14.25" customHeight="1" x14ac:dyDescent="0.25">
      <c r="A537" s="8"/>
      <c r="B537" s="8"/>
      <c r="C537" s="8"/>
      <c r="D537" s="8"/>
      <c r="E537" s="9"/>
      <c r="F537" s="8"/>
      <c r="G537" s="8"/>
      <c r="H537" s="8"/>
    </row>
    <row r="538" spans="1:8" ht="14.25" customHeight="1" x14ac:dyDescent="0.25">
      <c r="A538" s="8"/>
      <c r="B538" s="8"/>
      <c r="C538" s="8"/>
      <c r="D538" s="8"/>
      <c r="E538" s="9"/>
      <c r="F538" s="8"/>
      <c r="G538" s="8"/>
      <c r="H538" s="8"/>
    </row>
    <row r="539" spans="1:8" ht="14.25" customHeight="1" x14ac:dyDescent="0.25">
      <c r="A539" s="8"/>
      <c r="B539" s="8"/>
      <c r="C539" s="8"/>
      <c r="D539" s="8"/>
      <c r="E539" s="9"/>
      <c r="F539" s="8"/>
      <c r="G539" s="8"/>
      <c r="H539" s="8"/>
    </row>
    <row r="540" spans="1:8" ht="14.25" customHeight="1" x14ac:dyDescent="0.25">
      <c r="A540" s="8"/>
      <c r="B540" s="8"/>
      <c r="C540" s="8"/>
      <c r="D540" s="8"/>
      <c r="E540" s="9"/>
      <c r="F540" s="8"/>
      <c r="G540" s="8"/>
      <c r="H540" s="8"/>
    </row>
    <row r="541" spans="1:8" ht="14.25" customHeight="1" x14ac:dyDescent="0.25">
      <c r="A541" s="8"/>
      <c r="B541" s="8"/>
      <c r="C541" s="8"/>
      <c r="D541" s="8"/>
      <c r="E541" s="9"/>
      <c r="F541" s="8"/>
      <c r="G541" s="8"/>
      <c r="H541" s="8"/>
    </row>
    <row r="542" spans="1:8" ht="14.25" customHeight="1" x14ac:dyDescent="0.25">
      <c r="A542" s="8"/>
      <c r="B542" s="8"/>
      <c r="C542" s="8"/>
      <c r="D542" s="8"/>
      <c r="E542" s="9"/>
      <c r="F542" s="8"/>
      <c r="G542" s="8"/>
      <c r="H542" s="8"/>
    </row>
    <row r="543" spans="1:8" ht="14.25" customHeight="1" x14ac:dyDescent="0.25">
      <c r="A543" s="8"/>
      <c r="B543" s="8"/>
      <c r="C543" s="8"/>
      <c r="D543" s="8"/>
      <c r="E543" s="9"/>
      <c r="F543" s="8"/>
      <c r="G543" s="8"/>
      <c r="H543" s="8"/>
    </row>
    <row r="544" spans="1:8" ht="14.25" customHeight="1" x14ac:dyDescent="0.25">
      <c r="A544" s="8"/>
      <c r="B544" s="8"/>
      <c r="C544" s="8"/>
      <c r="D544" s="8"/>
      <c r="E544" s="9"/>
      <c r="F544" s="8"/>
      <c r="G544" s="8"/>
      <c r="H544" s="8"/>
    </row>
    <row r="545" spans="1:8" ht="14.25" customHeight="1" x14ac:dyDescent="0.25">
      <c r="A545" s="8"/>
      <c r="B545" s="8"/>
      <c r="C545" s="8"/>
      <c r="D545" s="8"/>
      <c r="E545" s="9"/>
      <c r="F545" s="8"/>
      <c r="G545" s="8"/>
      <c r="H545" s="8"/>
    </row>
    <row r="546" spans="1:8" ht="14.25" customHeight="1" x14ac:dyDescent="0.25">
      <c r="A546" s="8"/>
      <c r="B546" s="8"/>
      <c r="C546" s="8"/>
      <c r="D546" s="8"/>
      <c r="E546" s="9"/>
      <c r="F546" s="8"/>
      <c r="G546" s="8"/>
      <c r="H546" s="8"/>
    </row>
    <row r="547" spans="1:8" ht="14.25" customHeight="1" x14ac:dyDescent="0.25">
      <c r="A547" s="8"/>
      <c r="B547" s="8"/>
      <c r="C547" s="8"/>
      <c r="D547" s="8"/>
      <c r="E547" s="9"/>
      <c r="F547" s="8"/>
      <c r="G547" s="8"/>
      <c r="H547" s="8"/>
    </row>
    <row r="548" spans="1:8" ht="14.25" customHeight="1" x14ac:dyDescent="0.25">
      <c r="A548" s="8"/>
      <c r="B548" s="8"/>
      <c r="C548" s="8"/>
      <c r="D548" s="8"/>
      <c r="E548" s="9"/>
      <c r="F548" s="8"/>
      <c r="G548" s="8"/>
      <c r="H548" s="8"/>
    </row>
    <row r="549" spans="1:8" ht="14.25" customHeight="1" x14ac:dyDescent="0.25">
      <c r="A549" s="8"/>
      <c r="B549" s="8"/>
      <c r="C549" s="8"/>
      <c r="D549" s="8"/>
      <c r="E549" s="9"/>
      <c r="F549" s="8"/>
      <c r="G549" s="8"/>
      <c r="H549" s="8"/>
    </row>
    <row r="550" spans="1:8" ht="14.25" customHeight="1" x14ac:dyDescent="0.25">
      <c r="A550" s="8"/>
      <c r="B550" s="8"/>
      <c r="C550" s="8"/>
      <c r="D550" s="8"/>
      <c r="E550" s="9"/>
      <c r="F550" s="8"/>
      <c r="G550" s="8"/>
      <c r="H550" s="8"/>
    </row>
    <row r="551" spans="1:8" ht="14.25" customHeight="1" x14ac:dyDescent="0.25">
      <c r="A551" s="8"/>
      <c r="B551" s="8"/>
      <c r="C551" s="8"/>
      <c r="D551" s="8"/>
      <c r="E551" s="9"/>
      <c r="F551" s="8"/>
      <c r="G551" s="8"/>
      <c r="H551" s="8"/>
    </row>
    <row r="552" spans="1:8" ht="14.25" customHeight="1" x14ac:dyDescent="0.25">
      <c r="A552" s="8"/>
      <c r="B552" s="8"/>
      <c r="C552" s="8"/>
      <c r="D552" s="8"/>
      <c r="E552" s="9"/>
      <c r="F552" s="8"/>
      <c r="G552" s="8"/>
      <c r="H552" s="8"/>
    </row>
    <row r="553" spans="1:8" ht="14.25" customHeight="1" x14ac:dyDescent="0.25">
      <c r="A553" s="8"/>
      <c r="B553" s="8"/>
      <c r="C553" s="8"/>
      <c r="D553" s="8"/>
      <c r="E553" s="9"/>
      <c r="F553" s="8"/>
      <c r="G553" s="8"/>
      <c r="H553" s="8"/>
    </row>
    <row r="554" spans="1:8" ht="14.25" customHeight="1" x14ac:dyDescent="0.25">
      <c r="A554" s="8"/>
      <c r="B554" s="8"/>
      <c r="C554" s="8"/>
      <c r="D554" s="8"/>
      <c r="E554" s="9"/>
      <c r="F554" s="8"/>
      <c r="G554" s="8"/>
      <c r="H554" s="8"/>
    </row>
    <row r="555" spans="1:8" ht="14.25" customHeight="1" x14ac:dyDescent="0.25">
      <c r="A555" s="8"/>
      <c r="B555" s="8"/>
      <c r="C555" s="8"/>
      <c r="D555" s="8"/>
      <c r="E555" s="9"/>
      <c r="F555" s="8"/>
      <c r="G555" s="8"/>
      <c r="H555" s="8"/>
    </row>
    <row r="556" spans="1:8" ht="14.25" customHeight="1" x14ac:dyDescent="0.25">
      <c r="A556" s="8"/>
      <c r="B556" s="8"/>
      <c r="C556" s="8"/>
      <c r="D556" s="8"/>
      <c r="E556" s="9"/>
      <c r="F556" s="8"/>
      <c r="G556" s="8"/>
      <c r="H556" s="8"/>
    </row>
    <row r="557" spans="1:8" ht="14.25" customHeight="1" x14ac:dyDescent="0.25">
      <c r="A557" s="8"/>
      <c r="B557" s="8"/>
      <c r="C557" s="8"/>
      <c r="D557" s="8"/>
      <c r="E557" s="9"/>
      <c r="F557" s="8"/>
      <c r="G557" s="8"/>
      <c r="H557" s="8"/>
    </row>
    <row r="558" spans="1:8" ht="14.25" customHeight="1" x14ac:dyDescent="0.25">
      <c r="A558" s="8"/>
      <c r="B558" s="8"/>
      <c r="C558" s="8"/>
      <c r="D558" s="8"/>
      <c r="E558" s="9"/>
      <c r="F558" s="8"/>
      <c r="G558" s="8"/>
      <c r="H558" s="8"/>
    </row>
    <row r="559" spans="1:8" ht="14.25" customHeight="1" x14ac:dyDescent="0.25">
      <c r="A559" s="8"/>
      <c r="B559" s="8"/>
      <c r="C559" s="8"/>
      <c r="D559" s="8"/>
      <c r="E559" s="9"/>
      <c r="F559" s="8"/>
      <c r="G559" s="8"/>
      <c r="H559" s="8"/>
    </row>
    <row r="560" spans="1:8" ht="14.25" customHeight="1" x14ac:dyDescent="0.25">
      <c r="A560" s="8"/>
      <c r="B560" s="8"/>
      <c r="C560" s="8"/>
      <c r="D560" s="8"/>
      <c r="E560" s="9"/>
      <c r="F560" s="8"/>
      <c r="G560" s="8"/>
      <c r="H560" s="8"/>
    </row>
    <row r="561" spans="1:8" ht="14.25" customHeight="1" x14ac:dyDescent="0.25">
      <c r="A561" s="8"/>
      <c r="B561" s="8"/>
      <c r="C561" s="8"/>
      <c r="D561" s="8"/>
      <c r="E561" s="9"/>
      <c r="F561" s="8"/>
      <c r="G561" s="8"/>
      <c r="H561" s="8"/>
    </row>
    <row r="562" spans="1:8" ht="14.25" customHeight="1" x14ac:dyDescent="0.25">
      <c r="A562" s="8"/>
      <c r="B562" s="8"/>
      <c r="C562" s="8"/>
      <c r="D562" s="8"/>
      <c r="E562" s="9"/>
      <c r="F562" s="8"/>
      <c r="G562" s="8"/>
      <c r="H562" s="8"/>
    </row>
    <row r="563" spans="1:8" ht="14.25" customHeight="1" x14ac:dyDescent="0.25">
      <c r="A563" s="8"/>
      <c r="B563" s="8"/>
      <c r="C563" s="8"/>
      <c r="D563" s="8"/>
      <c r="E563" s="9"/>
      <c r="F563" s="8"/>
      <c r="G563" s="8"/>
      <c r="H563" s="8"/>
    </row>
    <row r="564" spans="1:8" ht="14.25" customHeight="1" x14ac:dyDescent="0.25">
      <c r="A564" s="8"/>
      <c r="B564" s="8"/>
      <c r="C564" s="8"/>
      <c r="D564" s="8"/>
      <c r="E564" s="9"/>
      <c r="F564" s="8"/>
      <c r="G564" s="8"/>
      <c r="H564" s="8"/>
    </row>
    <row r="565" spans="1:8" ht="14.25" customHeight="1" x14ac:dyDescent="0.25">
      <c r="A565" s="8"/>
      <c r="B565" s="8"/>
      <c r="C565" s="8"/>
      <c r="D565" s="8"/>
      <c r="E565" s="9"/>
      <c r="F565" s="8"/>
      <c r="G565" s="8"/>
      <c r="H565" s="8"/>
    </row>
    <row r="566" spans="1:8" ht="14.25" customHeight="1" x14ac:dyDescent="0.25">
      <c r="A566" s="8"/>
      <c r="B566" s="8"/>
      <c r="C566" s="8"/>
      <c r="D566" s="8"/>
      <c r="E566" s="9"/>
      <c r="F566" s="8"/>
      <c r="G566" s="8"/>
      <c r="H566" s="8"/>
    </row>
    <row r="567" spans="1:8" ht="14.25" customHeight="1" x14ac:dyDescent="0.25">
      <c r="A567" s="8"/>
      <c r="B567" s="8"/>
      <c r="C567" s="8"/>
      <c r="D567" s="8"/>
      <c r="E567" s="9"/>
      <c r="F567" s="8"/>
      <c r="G567" s="8"/>
      <c r="H567" s="8"/>
    </row>
    <row r="568" spans="1:8" ht="14.25" customHeight="1" x14ac:dyDescent="0.25">
      <c r="A568" s="8"/>
      <c r="B568" s="8"/>
      <c r="C568" s="8"/>
      <c r="D568" s="8"/>
      <c r="E568" s="9"/>
      <c r="F568" s="8"/>
      <c r="G568" s="8"/>
      <c r="H568" s="8"/>
    </row>
    <row r="569" spans="1:8" ht="14.25" customHeight="1" x14ac:dyDescent="0.25">
      <c r="A569" s="8"/>
      <c r="B569" s="8"/>
      <c r="C569" s="8"/>
      <c r="D569" s="8"/>
      <c r="E569" s="9"/>
      <c r="F569" s="8"/>
      <c r="G569" s="8"/>
      <c r="H569" s="8"/>
    </row>
    <row r="570" spans="1:8" ht="14.25" customHeight="1" x14ac:dyDescent="0.25">
      <c r="A570" s="8"/>
      <c r="B570" s="8"/>
      <c r="C570" s="8"/>
      <c r="D570" s="8"/>
      <c r="E570" s="9"/>
      <c r="F570" s="8"/>
      <c r="G570" s="8"/>
      <c r="H570" s="8"/>
    </row>
    <row r="571" spans="1:8" ht="14.25" customHeight="1" x14ac:dyDescent="0.25">
      <c r="A571" s="8"/>
      <c r="B571" s="8"/>
      <c r="C571" s="8"/>
      <c r="D571" s="8"/>
      <c r="E571" s="9"/>
      <c r="F571" s="8"/>
      <c r="G571" s="8"/>
      <c r="H571" s="8"/>
    </row>
    <row r="572" spans="1:8" ht="14.25" customHeight="1" x14ac:dyDescent="0.25">
      <c r="A572" s="8"/>
      <c r="B572" s="8"/>
      <c r="C572" s="8"/>
      <c r="D572" s="8"/>
      <c r="E572" s="9"/>
      <c r="F572" s="8"/>
      <c r="G572" s="8"/>
      <c r="H572" s="8"/>
    </row>
    <row r="573" spans="1:8" ht="14.25" customHeight="1" x14ac:dyDescent="0.25">
      <c r="A573" s="8"/>
      <c r="B573" s="8"/>
      <c r="C573" s="8"/>
      <c r="D573" s="8"/>
      <c r="E573" s="9"/>
      <c r="F573" s="8"/>
      <c r="G573" s="8"/>
      <c r="H573" s="8"/>
    </row>
    <row r="574" spans="1:8" ht="14.25" customHeight="1" x14ac:dyDescent="0.25">
      <c r="A574" s="8"/>
      <c r="B574" s="8"/>
      <c r="C574" s="8"/>
      <c r="D574" s="8"/>
      <c r="E574" s="9"/>
      <c r="F574" s="8"/>
      <c r="G574" s="8"/>
      <c r="H574" s="8"/>
    </row>
    <row r="575" spans="1:8" ht="14.25" customHeight="1" x14ac:dyDescent="0.25">
      <c r="A575" s="8"/>
      <c r="B575" s="8"/>
      <c r="C575" s="8"/>
      <c r="D575" s="8"/>
      <c r="E575" s="9"/>
      <c r="F575" s="8"/>
      <c r="G575" s="8"/>
      <c r="H575" s="8"/>
    </row>
    <row r="576" spans="1:8" ht="14.25" customHeight="1" x14ac:dyDescent="0.25">
      <c r="A576" s="8"/>
      <c r="B576" s="8"/>
      <c r="C576" s="8"/>
      <c r="D576" s="8"/>
      <c r="E576" s="9"/>
      <c r="F576" s="8"/>
      <c r="G576" s="8"/>
      <c r="H576" s="8"/>
    </row>
    <row r="577" spans="1:8" ht="14.25" customHeight="1" x14ac:dyDescent="0.25">
      <c r="A577" s="8"/>
      <c r="B577" s="8"/>
      <c r="C577" s="8"/>
      <c r="D577" s="8"/>
      <c r="E577" s="9"/>
      <c r="F577" s="8"/>
      <c r="G577" s="8"/>
      <c r="H577" s="8"/>
    </row>
    <row r="578" spans="1:8" ht="14.25" customHeight="1" x14ac:dyDescent="0.25">
      <c r="A578" s="8"/>
      <c r="B578" s="8"/>
      <c r="C578" s="8"/>
      <c r="D578" s="8"/>
      <c r="E578" s="9"/>
      <c r="F578" s="8"/>
      <c r="G578" s="8"/>
      <c r="H578" s="8"/>
    </row>
    <row r="579" spans="1:8" ht="14.25" customHeight="1" x14ac:dyDescent="0.25">
      <c r="A579" s="8"/>
      <c r="B579" s="8"/>
      <c r="C579" s="8"/>
      <c r="D579" s="8"/>
      <c r="E579" s="9"/>
      <c r="F579" s="8"/>
      <c r="G579" s="8"/>
      <c r="H579" s="8"/>
    </row>
    <row r="580" spans="1:8" ht="14.25" customHeight="1" x14ac:dyDescent="0.25">
      <c r="A580" s="8"/>
      <c r="B580" s="8"/>
      <c r="C580" s="8"/>
      <c r="D580" s="8"/>
      <c r="E580" s="9"/>
      <c r="F580" s="8"/>
      <c r="G580" s="8"/>
      <c r="H580" s="8"/>
    </row>
    <row r="581" spans="1:8" ht="14.25" customHeight="1" x14ac:dyDescent="0.25">
      <c r="A581" s="8"/>
      <c r="B581" s="8"/>
      <c r="C581" s="8"/>
      <c r="D581" s="8"/>
      <c r="E581" s="9"/>
      <c r="F581" s="8"/>
      <c r="G581" s="8"/>
      <c r="H581" s="8"/>
    </row>
    <row r="582" spans="1:8" ht="14.25" customHeight="1" x14ac:dyDescent="0.25">
      <c r="A582" s="8"/>
      <c r="B582" s="8"/>
      <c r="C582" s="8"/>
      <c r="D582" s="8"/>
      <c r="E582" s="9"/>
      <c r="F582" s="8"/>
      <c r="G582" s="8"/>
      <c r="H582" s="8"/>
    </row>
    <row r="583" spans="1:8" ht="14.25" customHeight="1" x14ac:dyDescent="0.25">
      <c r="A583" s="8"/>
      <c r="B583" s="8"/>
      <c r="C583" s="8"/>
      <c r="D583" s="8"/>
      <c r="E583" s="9"/>
      <c r="F583" s="8"/>
      <c r="G583" s="8"/>
      <c r="H583" s="8"/>
    </row>
    <row r="584" spans="1:8" ht="14.25" customHeight="1" x14ac:dyDescent="0.25">
      <c r="A584" s="8"/>
      <c r="B584" s="8"/>
      <c r="C584" s="8"/>
      <c r="D584" s="8"/>
      <c r="E584" s="9"/>
      <c r="F584" s="8"/>
      <c r="G584" s="8"/>
      <c r="H584" s="8"/>
    </row>
    <row r="585" spans="1:8" ht="14.25" customHeight="1" x14ac:dyDescent="0.25">
      <c r="A585" s="8"/>
      <c r="B585" s="8"/>
      <c r="C585" s="8"/>
      <c r="D585" s="8"/>
      <c r="E585" s="9"/>
      <c r="F585" s="8"/>
      <c r="G585" s="8"/>
      <c r="H585" s="8"/>
    </row>
    <row r="586" spans="1:8" ht="14.25" customHeight="1" x14ac:dyDescent="0.25">
      <c r="A586" s="8"/>
      <c r="B586" s="8"/>
      <c r="C586" s="8"/>
      <c r="D586" s="8"/>
      <c r="E586" s="9"/>
      <c r="F586" s="8"/>
      <c r="G586" s="8"/>
      <c r="H586" s="8"/>
    </row>
    <row r="587" spans="1:8" ht="14.25" customHeight="1" x14ac:dyDescent="0.25">
      <c r="A587" s="8"/>
      <c r="B587" s="8"/>
      <c r="C587" s="8"/>
      <c r="D587" s="8"/>
      <c r="E587" s="9"/>
      <c r="F587" s="8"/>
      <c r="G587" s="8"/>
      <c r="H587" s="8"/>
    </row>
    <row r="588" spans="1:8" ht="14.25" customHeight="1" x14ac:dyDescent="0.25">
      <c r="A588" s="8"/>
      <c r="B588" s="8"/>
      <c r="C588" s="8"/>
      <c r="D588" s="8"/>
      <c r="E588" s="9"/>
      <c r="F588" s="8"/>
      <c r="G588" s="8"/>
      <c r="H588" s="8"/>
    </row>
    <row r="589" spans="1:8" ht="14.25" customHeight="1" x14ac:dyDescent="0.25">
      <c r="A589" s="8"/>
      <c r="B589" s="8"/>
      <c r="C589" s="8"/>
      <c r="D589" s="8"/>
      <c r="E589" s="9"/>
      <c r="F589" s="8"/>
      <c r="G589" s="8"/>
      <c r="H589" s="8"/>
    </row>
    <row r="590" spans="1:8" ht="14.25" customHeight="1" x14ac:dyDescent="0.25">
      <c r="A590" s="8"/>
      <c r="B590" s="8"/>
      <c r="C590" s="8"/>
      <c r="D590" s="8"/>
      <c r="E590" s="9"/>
      <c r="F590" s="8"/>
      <c r="G590" s="8"/>
      <c r="H590" s="8"/>
    </row>
    <row r="591" spans="1:8" ht="14.25" customHeight="1" x14ac:dyDescent="0.25">
      <c r="A591" s="8"/>
      <c r="B591" s="8"/>
      <c r="C591" s="8"/>
      <c r="D591" s="8"/>
      <c r="E591" s="9"/>
      <c r="F591" s="8"/>
      <c r="G591" s="8"/>
      <c r="H591" s="8"/>
    </row>
    <row r="592" spans="1:8" ht="14.25" customHeight="1" x14ac:dyDescent="0.25">
      <c r="A592" s="8"/>
      <c r="B592" s="8"/>
      <c r="C592" s="8"/>
      <c r="D592" s="8"/>
      <c r="E592" s="9"/>
      <c r="F592" s="8"/>
      <c r="G592" s="8"/>
      <c r="H592" s="8"/>
    </row>
    <row r="593" spans="1:8" ht="14.25" customHeight="1" x14ac:dyDescent="0.25">
      <c r="A593" s="8"/>
      <c r="B593" s="8"/>
      <c r="C593" s="8"/>
      <c r="D593" s="8"/>
      <c r="E593" s="9"/>
      <c r="F593" s="8"/>
      <c r="G593" s="8"/>
      <c r="H593" s="8"/>
    </row>
    <row r="594" spans="1:8" ht="14.25" customHeight="1" x14ac:dyDescent="0.25">
      <c r="A594" s="8"/>
      <c r="B594" s="8"/>
      <c r="C594" s="8"/>
      <c r="D594" s="8"/>
      <c r="E594" s="9"/>
      <c r="F594" s="8"/>
      <c r="G594" s="8"/>
      <c r="H594" s="8"/>
    </row>
    <row r="595" spans="1:8" ht="14.25" customHeight="1" x14ac:dyDescent="0.25">
      <c r="A595" s="8"/>
      <c r="B595" s="8"/>
      <c r="C595" s="8"/>
      <c r="D595" s="8"/>
      <c r="E595" s="9"/>
      <c r="F595" s="8"/>
      <c r="G595" s="8"/>
      <c r="H595" s="8"/>
    </row>
    <row r="596" spans="1:8" ht="14.25" customHeight="1" x14ac:dyDescent="0.25">
      <c r="A596" s="8"/>
      <c r="B596" s="8"/>
      <c r="C596" s="8"/>
      <c r="D596" s="8"/>
      <c r="E596" s="9"/>
      <c r="F596" s="8"/>
      <c r="G596" s="8"/>
      <c r="H596" s="8"/>
    </row>
    <row r="597" spans="1:8" ht="14.25" customHeight="1" x14ac:dyDescent="0.25">
      <c r="A597" s="8"/>
      <c r="B597" s="8"/>
      <c r="C597" s="8"/>
      <c r="D597" s="8"/>
      <c r="E597" s="9"/>
      <c r="F597" s="8"/>
      <c r="G597" s="8"/>
      <c r="H597" s="8"/>
    </row>
    <row r="598" spans="1:8" ht="14.25" customHeight="1" x14ac:dyDescent="0.25">
      <c r="A598" s="8"/>
      <c r="B598" s="8"/>
      <c r="C598" s="8"/>
      <c r="D598" s="8"/>
      <c r="E598" s="9"/>
      <c r="F598" s="8"/>
      <c r="G598" s="8"/>
      <c r="H598" s="8"/>
    </row>
    <row r="599" spans="1:8" ht="14.25" customHeight="1" x14ac:dyDescent="0.25">
      <c r="A599" s="8"/>
      <c r="B599" s="8"/>
      <c r="C599" s="8"/>
      <c r="D599" s="8"/>
      <c r="E599" s="9"/>
      <c r="F599" s="8"/>
      <c r="G599" s="8"/>
      <c r="H599" s="8"/>
    </row>
    <row r="600" spans="1:8" ht="14.25" customHeight="1" x14ac:dyDescent="0.25">
      <c r="A600" s="8"/>
      <c r="B600" s="8"/>
      <c r="C600" s="8"/>
      <c r="D600" s="8"/>
      <c r="E600" s="9"/>
      <c r="F600" s="8"/>
      <c r="G600" s="8"/>
      <c r="H600" s="8"/>
    </row>
    <row r="601" spans="1:8" ht="14.25" customHeight="1" x14ac:dyDescent="0.25">
      <c r="A601" s="8"/>
      <c r="B601" s="8"/>
      <c r="C601" s="8"/>
      <c r="D601" s="8"/>
      <c r="E601" s="9"/>
      <c r="F601" s="8"/>
      <c r="G601" s="8"/>
      <c r="H601" s="8"/>
    </row>
    <row r="602" spans="1:8" ht="14.25" customHeight="1" x14ac:dyDescent="0.25">
      <c r="A602" s="8"/>
      <c r="B602" s="8"/>
      <c r="C602" s="8"/>
      <c r="D602" s="8"/>
      <c r="E602" s="9"/>
      <c r="F602" s="8"/>
      <c r="G602" s="8"/>
      <c r="H602" s="8"/>
    </row>
    <row r="603" spans="1:8" ht="14.25" customHeight="1" x14ac:dyDescent="0.25">
      <c r="A603" s="8"/>
      <c r="B603" s="8"/>
      <c r="C603" s="8"/>
      <c r="D603" s="8"/>
      <c r="E603" s="9"/>
      <c r="F603" s="8"/>
      <c r="G603" s="8"/>
      <c r="H603" s="8"/>
    </row>
    <row r="604" spans="1:8" ht="14.25" customHeight="1" x14ac:dyDescent="0.25">
      <c r="A604" s="8"/>
      <c r="B604" s="8"/>
      <c r="C604" s="8"/>
      <c r="D604" s="8"/>
      <c r="E604" s="9"/>
      <c r="F604" s="8"/>
      <c r="G604" s="8"/>
      <c r="H604" s="8"/>
    </row>
    <row r="605" spans="1:8" ht="14.25" customHeight="1" x14ac:dyDescent="0.25">
      <c r="A605" s="8"/>
      <c r="B605" s="8"/>
      <c r="C605" s="8"/>
      <c r="D605" s="8"/>
      <c r="E605" s="9"/>
      <c r="F605" s="8"/>
      <c r="G605" s="8"/>
      <c r="H605" s="8"/>
    </row>
    <row r="606" spans="1:8" ht="14.25" customHeight="1" x14ac:dyDescent="0.25">
      <c r="A606" s="8"/>
      <c r="B606" s="8"/>
      <c r="C606" s="8"/>
      <c r="D606" s="8"/>
      <c r="E606" s="9"/>
      <c r="F606" s="8"/>
      <c r="G606" s="8"/>
      <c r="H606" s="8"/>
    </row>
    <row r="607" spans="1:8" ht="14.25" customHeight="1" x14ac:dyDescent="0.25">
      <c r="A607" s="8"/>
      <c r="B607" s="8"/>
      <c r="C607" s="8"/>
      <c r="D607" s="8"/>
      <c r="E607" s="9"/>
      <c r="F607" s="8"/>
      <c r="G607" s="8"/>
      <c r="H607" s="8"/>
    </row>
    <row r="608" spans="1:8" ht="14.25" customHeight="1" x14ac:dyDescent="0.25">
      <c r="A608" s="8"/>
      <c r="B608" s="8"/>
      <c r="C608" s="8"/>
      <c r="D608" s="8"/>
      <c r="E608" s="9"/>
      <c r="F608" s="8"/>
      <c r="G608" s="8"/>
      <c r="H608" s="8"/>
    </row>
    <row r="609" spans="1:8" ht="14.25" customHeight="1" x14ac:dyDescent="0.25">
      <c r="A609" s="8"/>
      <c r="B609" s="8"/>
      <c r="C609" s="8"/>
      <c r="D609" s="8"/>
      <c r="E609" s="9"/>
      <c r="F609" s="8"/>
      <c r="G609" s="8"/>
      <c r="H609" s="8"/>
    </row>
    <row r="610" spans="1:8" ht="14.25" customHeight="1" x14ac:dyDescent="0.25">
      <c r="A610" s="8"/>
      <c r="B610" s="8"/>
      <c r="C610" s="8"/>
      <c r="D610" s="8"/>
      <c r="E610" s="9"/>
      <c r="F610" s="8"/>
      <c r="G610" s="8"/>
      <c r="H610" s="8"/>
    </row>
    <row r="611" spans="1:8" ht="14.25" customHeight="1" x14ac:dyDescent="0.25">
      <c r="A611" s="8"/>
      <c r="B611" s="8"/>
      <c r="C611" s="8"/>
      <c r="D611" s="8"/>
      <c r="E611" s="9"/>
      <c r="F611" s="8"/>
      <c r="G611" s="8"/>
      <c r="H611" s="8"/>
    </row>
    <row r="612" spans="1:8" ht="14.25" customHeight="1" x14ac:dyDescent="0.25">
      <c r="A612" s="8"/>
      <c r="B612" s="8"/>
      <c r="C612" s="8"/>
      <c r="D612" s="8"/>
      <c r="E612" s="9"/>
      <c r="F612" s="8"/>
      <c r="G612" s="8"/>
      <c r="H612" s="8"/>
    </row>
    <row r="613" spans="1:8" ht="14.25" customHeight="1" x14ac:dyDescent="0.25">
      <c r="A613" s="8"/>
      <c r="B613" s="8"/>
      <c r="C613" s="8"/>
      <c r="D613" s="8"/>
      <c r="E613" s="9"/>
      <c r="F613" s="8"/>
      <c r="G613" s="8"/>
      <c r="H613" s="8"/>
    </row>
    <row r="614" spans="1:8" ht="14.25" customHeight="1" x14ac:dyDescent="0.25">
      <c r="A614" s="8"/>
      <c r="B614" s="8"/>
      <c r="C614" s="8"/>
      <c r="D614" s="8"/>
      <c r="E614" s="9"/>
      <c r="F614" s="8"/>
      <c r="G614" s="8"/>
      <c r="H614" s="8"/>
    </row>
    <row r="615" spans="1:8" ht="14.25" customHeight="1" x14ac:dyDescent="0.25">
      <c r="A615" s="8"/>
      <c r="B615" s="8"/>
      <c r="C615" s="8"/>
      <c r="D615" s="8"/>
      <c r="E615" s="9"/>
      <c r="F615" s="8"/>
      <c r="G615" s="8"/>
      <c r="H615" s="8"/>
    </row>
    <row r="616" spans="1:8" ht="14.25" customHeight="1" x14ac:dyDescent="0.25">
      <c r="A616" s="8"/>
      <c r="B616" s="8"/>
      <c r="C616" s="8"/>
      <c r="D616" s="8"/>
      <c r="E616" s="9"/>
      <c r="F616" s="8"/>
      <c r="G616" s="8"/>
      <c r="H616" s="8"/>
    </row>
    <row r="617" spans="1:8" ht="14.25" customHeight="1" x14ac:dyDescent="0.25">
      <c r="A617" s="8"/>
      <c r="B617" s="8"/>
      <c r="C617" s="8"/>
      <c r="D617" s="8"/>
      <c r="E617" s="9"/>
      <c r="F617" s="8"/>
      <c r="G617" s="8"/>
      <c r="H617" s="8"/>
    </row>
    <row r="618" spans="1:8" ht="14.25" customHeight="1" x14ac:dyDescent="0.25">
      <c r="A618" s="8"/>
      <c r="B618" s="8"/>
      <c r="C618" s="8"/>
      <c r="D618" s="8"/>
      <c r="E618" s="9"/>
      <c r="F618" s="8"/>
      <c r="G618" s="8"/>
      <c r="H618" s="8"/>
    </row>
    <row r="619" spans="1:8" ht="14.25" customHeight="1" x14ac:dyDescent="0.25">
      <c r="A619" s="8"/>
      <c r="B619" s="8"/>
      <c r="C619" s="8"/>
      <c r="D619" s="8"/>
      <c r="E619" s="9"/>
      <c r="F619" s="8"/>
      <c r="G619" s="8"/>
      <c r="H619" s="8"/>
    </row>
    <row r="620" spans="1:8" ht="14.25" customHeight="1" x14ac:dyDescent="0.25">
      <c r="A620" s="8"/>
      <c r="B620" s="8"/>
      <c r="C620" s="8"/>
      <c r="D620" s="8"/>
      <c r="E620" s="9"/>
      <c r="F620" s="8"/>
      <c r="G620" s="8"/>
      <c r="H620" s="8"/>
    </row>
    <row r="621" spans="1:8" ht="14.25" customHeight="1" x14ac:dyDescent="0.25">
      <c r="A621" s="8"/>
      <c r="B621" s="8"/>
      <c r="C621" s="8"/>
      <c r="D621" s="8"/>
      <c r="E621" s="9"/>
      <c r="F621" s="8"/>
      <c r="G621" s="8"/>
      <c r="H621" s="8"/>
    </row>
    <row r="622" spans="1:8" ht="14.25" customHeight="1" x14ac:dyDescent="0.25">
      <c r="A622" s="8"/>
      <c r="B622" s="8"/>
      <c r="C622" s="8"/>
      <c r="D622" s="8"/>
      <c r="E622" s="9"/>
      <c r="F622" s="8"/>
      <c r="G622" s="8"/>
      <c r="H622" s="8"/>
    </row>
    <row r="623" spans="1:8" ht="14.25" customHeight="1" x14ac:dyDescent="0.25">
      <c r="A623" s="8"/>
      <c r="B623" s="8"/>
      <c r="C623" s="8"/>
      <c r="D623" s="8"/>
      <c r="E623" s="9"/>
      <c r="F623" s="8"/>
      <c r="G623" s="8"/>
      <c r="H623" s="8"/>
    </row>
    <row r="624" spans="1:8" ht="14.25" customHeight="1" x14ac:dyDescent="0.25">
      <c r="A624" s="8"/>
      <c r="B624" s="8"/>
      <c r="C624" s="8"/>
      <c r="D624" s="8"/>
      <c r="E624" s="9"/>
      <c r="F624" s="8"/>
      <c r="G624" s="8"/>
      <c r="H624" s="8"/>
    </row>
    <row r="625" spans="1:8" ht="14.25" customHeight="1" x14ac:dyDescent="0.25">
      <c r="A625" s="8"/>
      <c r="B625" s="8"/>
      <c r="C625" s="8"/>
      <c r="D625" s="8"/>
      <c r="E625" s="9"/>
      <c r="F625" s="8"/>
      <c r="G625" s="8"/>
      <c r="H625" s="8"/>
    </row>
    <row r="626" spans="1:8" ht="14.25" customHeight="1" x14ac:dyDescent="0.25">
      <c r="A626" s="8"/>
      <c r="B626" s="8"/>
      <c r="C626" s="8"/>
      <c r="D626" s="8"/>
      <c r="E626" s="9"/>
      <c r="F626" s="8"/>
      <c r="G626" s="8"/>
      <c r="H626" s="8"/>
    </row>
    <row r="627" spans="1:8" ht="14.25" customHeight="1" x14ac:dyDescent="0.25">
      <c r="A627" s="8"/>
      <c r="B627" s="8"/>
      <c r="C627" s="8"/>
      <c r="D627" s="8"/>
      <c r="E627" s="9"/>
      <c r="F627" s="8"/>
      <c r="G627" s="8"/>
      <c r="H627" s="8"/>
    </row>
    <row r="628" spans="1:8" ht="14.25" customHeight="1" x14ac:dyDescent="0.25">
      <c r="A628" s="8"/>
      <c r="B628" s="8"/>
      <c r="C628" s="8"/>
      <c r="D628" s="8"/>
      <c r="E628" s="9"/>
      <c r="F628" s="8"/>
      <c r="G628" s="8"/>
      <c r="H628" s="8"/>
    </row>
    <row r="629" spans="1:8" ht="14.25" customHeight="1" x14ac:dyDescent="0.25">
      <c r="A629" s="8"/>
      <c r="B629" s="8"/>
      <c r="C629" s="8"/>
      <c r="D629" s="8"/>
      <c r="E629" s="9"/>
      <c r="F629" s="8"/>
      <c r="G629" s="8"/>
      <c r="H629" s="8"/>
    </row>
    <row r="630" spans="1:8" ht="14.25" customHeight="1" x14ac:dyDescent="0.25">
      <c r="A630" s="8"/>
      <c r="B630" s="8"/>
      <c r="C630" s="8"/>
      <c r="D630" s="8"/>
      <c r="E630" s="9"/>
      <c r="F630" s="8"/>
      <c r="G630" s="8"/>
      <c r="H630" s="8"/>
    </row>
    <row r="631" spans="1:8" ht="14.25" customHeight="1" x14ac:dyDescent="0.25">
      <c r="A631" s="8"/>
      <c r="B631" s="8"/>
      <c r="C631" s="8"/>
      <c r="D631" s="8"/>
      <c r="E631" s="9"/>
      <c r="F631" s="8"/>
      <c r="G631" s="8"/>
      <c r="H631" s="8"/>
    </row>
    <row r="632" spans="1:8" ht="14.25" customHeight="1" x14ac:dyDescent="0.25">
      <c r="A632" s="8"/>
      <c r="B632" s="8"/>
      <c r="C632" s="8"/>
      <c r="D632" s="8"/>
      <c r="E632" s="9"/>
      <c r="F632" s="8"/>
      <c r="G632" s="8"/>
      <c r="H632" s="8"/>
    </row>
    <row r="633" spans="1:8" ht="14.25" customHeight="1" x14ac:dyDescent="0.25">
      <c r="A633" s="8"/>
      <c r="B633" s="8"/>
      <c r="C633" s="8"/>
      <c r="D633" s="8"/>
      <c r="E633" s="9"/>
      <c r="F633" s="8"/>
      <c r="G633" s="8"/>
      <c r="H633" s="8"/>
    </row>
    <row r="634" spans="1:8" ht="14.25" customHeight="1" x14ac:dyDescent="0.25">
      <c r="A634" s="8"/>
      <c r="B634" s="8"/>
      <c r="C634" s="8"/>
      <c r="D634" s="8"/>
      <c r="E634" s="9"/>
      <c r="F634" s="8"/>
      <c r="G634" s="8"/>
      <c r="H634" s="8"/>
    </row>
    <row r="635" spans="1:8" ht="14.25" customHeight="1" x14ac:dyDescent="0.25">
      <c r="A635" s="8"/>
      <c r="B635" s="8"/>
      <c r="C635" s="8"/>
      <c r="D635" s="8"/>
      <c r="E635" s="9"/>
      <c r="F635" s="8"/>
      <c r="G635" s="8"/>
      <c r="H635" s="8"/>
    </row>
    <row r="636" spans="1:8" ht="14.25" customHeight="1" x14ac:dyDescent="0.25">
      <c r="A636" s="8"/>
      <c r="B636" s="8"/>
      <c r="C636" s="8"/>
      <c r="D636" s="8"/>
      <c r="E636" s="9"/>
      <c r="F636" s="8"/>
      <c r="G636" s="8"/>
      <c r="H636" s="8"/>
    </row>
    <row r="637" spans="1:8" ht="14.25" customHeight="1" x14ac:dyDescent="0.25">
      <c r="A637" s="8"/>
      <c r="B637" s="8"/>
      <c r="C637" s="8"/>
      <c r="D637" s="8"/>
      <c r="E637" s="9"/>
      <c r="F637" s="8"/>
      <c r="G637" s="8"/>
      <c r="H637" s="8"/>
    </row>
    <row r="638" spans="1:8" ht="14.25" customHeight="1" x14ac:dyDescent="0.25">
      <c r="A638" s="8"/>
      <c r="B638" s="8"/>
      <c r="C638" s="8"/>
      <c r="D638" s="8"/>
      <c r="E638" s="9"/>
      <c r="F638" s="8"/>
      <c r="G638" s="8"/>
      <c r="H638" s="8"/>
    </row>
    <row r="639" spans="1:8" ht="14.25" customHeight="1" x14ac:dyDescent="0.25">
      <c r="A639" s="8"/>
      <c r="B639" s="8"/>
      <c r="C639" s="8"/>
      <c r="D639" s="8"/>
      <c r="E639" s="9"/>
      <c r="F639" s="8"/>
      <c r="G639" s="8"/>
      <c r="H639" s="8"/>
    </row>
    <row r="640" spans="1:8" ht="14.25" customHeight="1" x14ac:dyDescent="0.25">
      <c r="A640" s="8"/>
      <c r="B640" s="8"/>
      <c r="C640" s="8"/>
      <c r="D640" s="8"/>
      <c r="E640" s="9"/>
      <c r="F640" s="8"/>
      <c r="G640" s="8"/>
      <c r="H640" s="8"/>
    </row>
    <row r="641" spans="1:8" ht="14.25" customHeight="1" x14ac:dyDescent="0.25">
      <c r="A641" s="8"/>
      <c r="B641" s="8"/>
      <c r="C641" s="8"/>
      <c r="D641" s="8"/>
      <c r="E641" s="9"/>
      <c r="F641" s="8"/>
      <c r="G641" s="8"/>
      <c r="H641" s="8"/>
    </row>
    <row r="642" spans="1:8" ht="14.25" customHeight="1" x14ac:dyDescent="0.25">
      <c r="A642" s="8"/>
      <c r="B642" s="8"/>
      <c r="C642" s="8"/>
      <c r="D642" s="8"/>
      <c r="E642" s="9"/>
      <c r="F642" s="8"/>
      <c r="G642" s="8"/>
      <c r="H642" s="8"/>
    </row>
    <row r="643" spans="1:8" ht="14.25" customHeight="1" x14ac:dyDescent="0.25">
      <c r="A643" s="8"/>
      <c r="B643" s="8"/>
      <c r="C643" s="8"/>
      <c r="D643" s="8"/>
      <c r="E643" s="9"/>
      <c r="F643" s="8"/>
      <c r="G643" s="8"/>
      <c r="H643" s="8"/>
    </row>
    <row r="644" spans="1:8" ht="14.25" customHeight="1" x14ac:dyDescent="0.25">
      <c r="A644" s="8"/>
      <c r="B644" s="8"/>
      <c r="C644" s="8"/>
      <c r="D644" s="8"/>
      <c r="E644" s="9"/>
      <c r="F644" s="8"/>
      <c r="G644" s="8"/>
      <c r="H644" s="8"/>
    </row>
    <row r="645" spans="1:8" ht="14.25" customHeight="1" x14ac:dyDescent="0.25">
      <c r="A645" s="8"/>
      <c r="B645" s="8"/>
      <c r="C645" s="8"/>
      <c r="D645" s="8"/>
      <c r="E645" s="9"/>
      <c r="F645" s="8"/>
      <c r="G645" s="8"/>
      <c r="H645" s="8"/>
    </row>
    <row r="646" spans="1:8" ht="14.25" customHeight="1" x14ac:dyDescent="0.25">
      <c r="A646" s="8"/>
      <c r="B646" s="8"/>
      <c r="C646" s="8"/>
      <c r="D646" s="8"/>
      <c r="E646" s="9"/>
      <c r="F646" s="8"/>
      <c r="G646" s="8"/>
      <c r="H646" s="8"/>
    </row>
    <row r="647" spans="1:8" ht="14.25" customHeight="1" x14ac:dyDescent="0.25">
      <c r="A647" s="8"/>
      <c r="B647" s="8"/>
      <c r="C647" s="8"/>
      <c r="D647" s="8"/>
      <c r="E647" s="9"/>
      <c r="F647" s="8"/>
      <c r="G647" s="8"/>
      <c r="H647" s="8"/>
    </row>
    <row r="648" spans="1:8" ht="14.25" customHeight="1" x14ac:dyDescent="0.25">
      <c r="A648" s="8"/>
      <c r="B648" s="8"/>
      <c r="C648" s="8"/>
      <c r="D648" s="8"/>
      <c r="E648" s="9"/>
      <c r="F648" s="8"/>
      <c r="G648" s="8"/>
      <c r="H648" s="8"/>
    </row>
    <row r="649" spans="1:8" ht="14.25" customHeight="1" x14ac:dyDescent="0.25">
      <c r="A649" s="8"/>
      <c r="B649" s="8"/>
      <c r="C649" s="8"/>
      <c r="D649" s="8"/>
      <c r="E649" s="9"/>
      <c r="F649" s="8"/>
      <c r="G649" s="8"/>
      <c r="H649" s="8"/>
    </row>
    <row r="650" spans="1:8" ht="14.25" customHeight="1" x14ac:dyDescent="0.25">
      <c r="A650" s="8"/>
      <c r="B650" s="8"/>
      <c r="C650" s="8"/>
      <c r="D650" s="8"/>
      <c r="E650" s="9"/>
      <c r="F650" s="8"/>
      <c r="G650" s="8"/>
      <c r="H650" s="8"/>
    </row>
    <row r="651" spans="1:8" ht="14.25" customHeight="1" x14ac:dyDescent="0.25">
      <c r="A651" s="8"/>
      <c r="B651" s="8"/>
      <c r="C651" s="8"/>
      <c r="D651" s="8"/>
      <c r="E651" s="9"/>
      <c r="F651" s="8"/>
      <c r="G651" s="8"/>
      <c r="H651" s="8"/>
    </row>
    <row r="652" spans="1:8" ht="14.25" customHeight="1" x14ac:dyDescent="0.25">
      <c r="A652" s="8"/>
      <c r="B652" s="8"/>
      <c r="C652" s="8"/>
      <c r="D652" s="8"/>
      <c r="E652" s="9"/>
      <c r="F652" s="8"/>
      <c r="G652" s="8"/>
      <c r="H652" s="8"/>
    </row>
    <row r="653" spans="1:8" ht="14.25" customHeight="1" x14ac:dyDescent="0.25">
      <c r="A653" s="8"/>
      <c r="B653" s="8"/>
      <c r="C653" s="8"/>
      <c r="D653" s="8"/>
      <c r="E653" s="9"/>
      <c r="F653" s="8"/>
      <c r="G653" s="8"/>
      <c r="H653" s="8"/>
    </row>
    <row r="654" spans="1:8" ht="14.25" customHeight="1" x14ac:dyDescent="0.25">
      <c r="A654" s="8"/>
      <c r="B654" s="8"/>
      <c r="C654" s="8"/>
      <c r="D654" s="8"/>
      <c r="E654" s="9"/>
      <c r="F654" s="8"/>
      <c r="G654" s="8"/>
      <c r="H654" s="8"/>
    </row>
    <row r="655" spans="1:8" ht="14.25" customHeight="1" x14ac:dyDescent="0.25">
      <c r="A655" s="8"/>
      <c r="B655" s="8"/>
      <c r="C655" s="8"/>
      <c r="D655" s="8"/>
      <c r="E655" s="9"/>
      <c r="F655" s="8"/>
      <c r="G655" s="8"/>
      <c r="H655" s="8"/>
    </row>
    <row r="656" spans="1:8" ht="14.25" customHeight="1" x14ac:dyDescent="0.25">
      <c r="A656" s="8"/>
      <c r="B656" s="8"/>
      <c r="C656" s="8"/>
      <c r="D656" s="8"/>
      <c r="E656" s="9"/>
      <c r="F656" s="8"/>
      <c r="G656" s="8"/>
      <c r="H656" s="8"/>
    </row>
    <row r="657" spans="1:8" ht="14.25" customHeight="1" x14ac:dyDescent="0.25">
      <c r="A657" s="8"/>
      <c r="B657" s="8"/>
      <c r="C657" s="8"/>
      <c r="D657" s="8"/>
      <c r="E657" s="9"/>
      <c r="F657" s="8"/>
      <c r="G657" s="8"/>
      <c r="H657" s="8"/>
    </row>
    <row r="658" spans="1:8" ht="14.25" customHeight="1" x14ac:dyDescent="0.25">
      <c r="A658" s="8"/>
      <c r="B658" s="8"/>
      <c r="C658" s="8"/>
      <c r="D658" s="8"/>
      <c r="E658" s="9"/>
      <c r="F658" s="8"/>
      <c r="G658" s="8"/>
      <c r="H658" s="8"/>
    </row>
    <row r="659" spans="1:8" ht="14.25" customHeight="1" x14ac:dyDescent="0.25">
      <c r="A659" s="8"/>
      <c r="B659" s="8"/>
      <c r="C659" s="8"/>
      <c r="D659" s="8"/>
      <c r="E659" s="9"/>
      <c r="F659" s="8"/>
      <c r="G659" s="8"/>
      <c r="H659" s="8"/>
    </row>
    <row r="660" spans="1:8" ht="14.25" customHeight="1" x14ac:dyDescent="0.25">
      <c r="A660" s="8"/>
      <c r="B660" s="8"/>
      <c r="C660" s="8"/>
      <c r="D660" s="8"/>
      <c r="E660" s="9"/>
      <c r="F660" s="8"/>
      <c r="G660" s="8"/>
      <c r="H660" s="8"/>
    </row>
    <row r="661" spans="1:8" ht="14.25" customHeight="1" x14ac:dyDescent="0.25">
      <c r="A661" s="8"/>
      <c r="B661" s="8"/>
      <c r="C661" s="8"/>
      <c r="D661" s="8"/>
      <c r="E661" s="9"/>
      <c r="F661" s="8"/>
      <c r="G661" s="8"/>
      <c r="H661" s="8"/>
    </row>
    <row r="662" spans="1:8" ht="14.25" customHeight="1" x14ac:dyDescent="0.25">
      <c r="A662" s="8"/>
      <c r="B662" s="8"/>
      <c r="C662" s="8"/>
      <c r="D662" s="8"/>
      <c r="E662" s="9"/>
      <c r="F662" s="8"/>
      <c r="G662" s="8"/>
      <c r="H662" s="8"/>
    </row>
    <row r="663" spans="1:8" ht="14.25" customHeight="1" x14ac:dyDescent="0.25">
      <c r="A663" s="8"/>
      <c r="B663" s="8"/>
      <c r="C663" s="8"/>
      <c r="D663" s="8"/>
      <c r="E663" s="9"/>
      <c r="F663" s="8"/>
      <c r="G663" s="8"/>
      <c r="H663" s="8"/>
    </row>
    <row r="664" spans="1:8" ht="14.25" customHeight="1" x14ac:dyDescent="0.25">
      <c r="A664" s="8"/>
      <c r="B664" s="8"/>
      <c r="C664" s="8"/>
      <c r="D664" s="8"/>
      <c r="E664" s="9"/>
      <c r="F664" s="8"/>
      <c r="G664" s="8"/>
      <c r="H664" s="8"/>
    </row>
    <row r="665" spans="1:8" ht="14.25" customHeight="1" x14ac:dyDescent="0.25">
      <c r="A665" s="8"/>
      <c r="B665" s="8"/>
      <c r="C665" s="8"/>
      <c r="D665" s="8"/>
      <c r="E665" s="9"/>
      <c r="F665" s="8"/>
      <c r="G665" s="8"/>
      <c r="H665" s="8"/>
    </row>
    <row r="666" spans="1:8" ht="14.25" customHeight="1" x14ac:dyDescent="0.25">
      <c r="A666" s="8"/>
      <c r="B666" s="8"/>
      <c r="C666" s="8"/>
      <c r="D666" s="8"/>
      <c r="E666" s="9"/>
      <c r="F666" s="8"/>
      <c r="G666" s="8"/>
      <c r="H666" s="8"/>
    </row>
    <row r="667" spans="1:8" ht="14.25" customHeight="1" x14ac:dyDescent="0.25">
      <c r="A667" s="8"/>
      <c r="B667" s="8"/>
      <c r="C667" s="8"/>
      <c r="D667" s="8"/>
      <c r="E667" s="9"/>
      <c r="F667" s="8"/>
      <c r="G667" s="8"/>
      <c r="H667" s="8"/>
    </row>
    <row r="668" spans="1:8" ht="14.25" customHeight="1" x14ac:dyDescent="0.25">
      <c r="A668" s="8"/>
      <c r="B668" s="8"/>
      <c r="C668" s="8"/>
      <c r="D668" s="8"/>
      <c r="E668" s="9"/>
      <c r="F668" s="8"/>
      <c r="G668" s="8"/>
      <c r="H668" s="8"/>
    </row>
    <row r="669" spans="1:8" ht="14.25" customHeight="1" x14ac:dyDescent="0.25">
      <c r="A669" s="8"/>
      <c r="B669" s="8"/>
      <c r="C669" s="8"/>
      <c r="D669" s="8"/>
      <c r="E669" s="9"/>
      <c r="F669" s="8"/>
      <c r="G669" s="8"/>
      <c r="H669" s="8"/>
    </row>
    <row r="670" spans="1:8" ht="14.25" customHeight="1" x14ac:dyDescent="0.25">
      <c r="A670" s="8"/>
      <c r="B670" s="8"/>
      <c r="C670" s="8"/>
      <c r="D670" s="8"/>
      <c r="E670" s="9"/>
      <c r="F670" s="8"/>
      <c r="G670" s="8"/>
      <c r="H670" s="8"/>
    </row>
    <row r="671" spans="1:8" ht="14.25" customHeight="1" x14ac:dyDescent="0.25">
      <c r="A671" s="8"/>
      <c r="B671" s="8"/>
      <c r="C671" s="8"/>
      <c r="D671" s="8"/>
      <c r="E671" s="9"/>
      <c r="F671" s="8"/>
      <c r="G671" s="8"/>
      <c r="H671" s="8"/>
    </row>
    <row r="672" spans="1:8" ht="14.25" customHeight="1" x14ac:dyDescent="0.25">
      <c r="A672" s="8"/>
      <c r="B672" s="8"/>
      <c r="C672" s="8"/>
      <c r="D672" s="8"/>
      <c r="E672" s="9"/>
      <c r="F672" s="8"/>
      <c r="G672" s="8"/>
      <c r="H672" s="8"/>
    </row>
    <row r="673" spans="1:8" ht="14.25" customHeight="1" x14ac:dyDescent="0.25">
      <c r="A673" s="8"/>
      <c r="B673" s="8"/>
      <c r="C673" s="8"/>
      <c r="D673" s="8"/>
      <c r="E673" s="9"/>
      <c r="F673" s="8"/>
      <c r="G673" s="8"/>
      <c r="H673" s="8"/>
    </row>
    <row r="674" spans="1:8" ht="14.25" customHeight="1" x14ac:dyDescent="0.25">
      <c r="A674" s="8"/>
      <c r="B674" s="8"/>
      <c r="C674" s="8"/>
      <c r="D674" s="8"/>
      <c r="E674" s="9"/>
      <c r="F674" s="8"/>
      <c r="G674" s="8"/>
      <c r="H674" s="8"/>
    </row>
    <row r="675" spans="1:8" ht="14.25" customHeight="1" x14ac:dyDescent="0.25">
      <c r="A675" s="8"/>
      <c r="B675" s="8"/>
      <c r="C675" s="8"/>
      <c r="D675" s="8"/>
      <c r="E675" s="9"/>
      <c r="F675" s="8"/>
      <c r="G675" s="8"/>
      <c r="H675" s="8"/>
    </row>
    <row r="676" spans="1:8" ht="14.25" customHeight="1" x14ac:dyDescent="0.25">
      <c r="A676" s="8"/>
      <c r="B676" s="8"/>
      <c r="C676" s="8"/>
      <c r="D676" s="8"/>
      <c r="E676" s="9"/>
      <c r="F676" s="8"/>
      <c r="G676" s="8"/>
      <c r="H676" s="8"/>
    </row>
    <row r="677" spans="1:8" ht="14.25" customHeight="1" x14ac:dyDescent="0.25">
      <c r="A677" s="8"/>
      <c r="B677" s="8"/>
      <c r="C677" s="8"/>
      <c r="D677" s="8"/>
      <c r="E677" s="9"/>
      <c r="F677" s="8"/>
      <c r="G677" s="8"/>
      <c r="H677" s="8"/>
    </row>
    <row r="678" spans="1:8" ht="14.25" customHeight="1" x14ac:dyDescent="0.25">
      <c r="A678" s="8"/>
      <c r="B678" s="8"/>
      <c r="C678" s="8"/>
      <c r="D678" s="8"/>
      <c r="E678" s="9"/>
      <c r="F678" s="8"/>
      <c r="G678" s="8"/>
      <c r="H678" s="8"/>
    </row>
    <row r="679" spans="1:8" ht="14.25" customHeight="1" x14ac:dyDescent="0.25">
      <c r="A679" s="8"/>
      <c r="B679" s="8"/>
      <c r="C679" s="8"/>
      <c r="D679" s="8"/>
      <c r="E679" s="9"/>
      <c r="F679" s="8"/>
      <c r="G679" s="8"/>
      <c r="H679" s="8"/>
    </row>
    <row r="680" spans="1:8" ht="14.25" customHeight="1" x14ac:dyDescent="0.25">
      <c r="A680" s="8"/>
      <c r="B680" s="8"/>
      <c r="C680" s="8"/>
      <c r="D680" s="8"/>
      <c r="E680" s="9"/>
      <c r="F680" s="8"/>
      <c r="G680" s="8"/>
      <c r="H680" s="8"/>
    </row>
    <row r="681" spans="1:8" ht="14.25" customHeight="1" x14ac:dyDescent="0.25">
      <c r="A681" s="8"/>
      <c r="B681" s="8"/>
      <c r="C681" s="8"/>
      <c r="D681" s="8"/>
      <c r="E681" s="9"/>
      <c r="F681" s="8"/>
      <c r="G681" s="8"/>
      <c r="H681" s="8"/>
    </row>
    <row r="682" spans="1:8" ht="14.25" customHeight="1" x14ac:dyDescent="0.25">
      <c r="A682" s="8"/>
      <c r="B682" s="8"/>
      <c r="C682" s="8"/>
      <c r="D682" s="8"/>
      <c r="E682" s="9"/>
      <c r="F682" s="8"/>
      <c r="G682" s="8"/>
      <c r="H682" s="8"/>
    </row>
    <row r="683" spans="1:8" ht="14.25" customHeight="1" x14ac:dyDescent="0.25">
      <c r="A683" s="8"/>
      <c r="B683" s="8"/>
      <c r="C683" s="8"/>
      <c r="D683" s="8"/>
      <c r="E683" s="9"/>
      <c r="F683" s="8"/>
      <c r="G683" s="8"/>
      <c r="H683" s="8"/>
    </row>
    <row r="684" spans="1:8" ht="14.25" customHeight="1" x14ac:dyDescent="0.25">
      <c r="A684" s="8"/>
      <c r="B684" s="8"/>
      <c r="C684" s="8"/>
      <c r="D684" s="8"/>
      <c r="E684" s="9"/>
      <c r="F684" s="8"/>
      <c r="G684" s="8"/>
      <c r="H684" s="8"/>
    </row>
    <row r="685" spans="1:8" ht="14.25" customHeight="1" x14ac:dyDescent="0.25">
      <c r="A685" s="8"/>
      <c r="B685" s="8"/>
      <c r="C685" s="8"/>
      <c r="D685" s="8"/>
      <c r="E685" s="9"/>
      <c r="F685" s="8"/>
      <c r="G685" s="8"/>
      <c r="H685" s="8"/>
    </row>
    <row r="686" spans="1:8" ht="14.25" customHeight="1" x14ac:dyDescent="0.25">
      <c r="A686" s="8"/>
      <c r="B686" s="8"/>
      <c r="C686" s="8"/>
      <c r="D686" s="8"/>
      <c r="E686" s="9"/>
      <c r="F686" s="8"/>
      <c r="G686" s="8"/>
      <c r="H686" s="8"/>
    </row>
    <row r="687" spans="1:8" ht="14.25" customHeight="1" x14ac:dyDescent="0.25">
      <c r="A687" s="8"/>
      <c r="B687" s="8"/>
      <c r="C687" s="8"/>
      <c r="D687" s="8"/>
      <c r="E687" s="9"/>
      <c r="F687" s="8"/>
      <c r="G687" s="8"/>
      <c r="H687" s="8"/>
    </row>
    <row r="688" spans="1:8" ht="14.25" customHeight="1" x14ac:dyDescent="0.25">
      <c r="A688" s="8"/>
      <c r="B688" s="8"/>
      <c r="C688" s="8"/>
      <c r="D688" s="8"/>
      <c r="E688" s="9"/>
      <c r="F688" s="8"/>
      <c r="G688" s="8"/>
      <c r="H688" s="8"/>
    </row>
    <row r="689" spans="1:8" ht="14.25" customHeight="1" x14ac:dyDescent="0.25">
      <c r="A689" s="8"/>
      <c r="B689" s="8"/>
      <c r="C689" s="8"/>
      <c r="D689" s="8"/>
      <c r="E689" s="9"/>
      <c r="F689" s="8"/>
      <c r="G689" s="8"/>
      <c r="H689" s="8"/>
    </row>
    <row r="690" spans="1:8" ht="14.25" customHeight="1" x14ac:dyDescent="0.25">
      <c r="A690" s="8"/>
      <c r="B690" s="8"/>
      <c r="C690" s="8"/>
      <c r="D690" s="8"/>
      <c r="E690" s="9"/>
      <c r="F690" s="8"/>
      <c r="G690" s="8"/>
      <c r="H690" s="8"/>
    </row>
    <row r="691" spans="1:8" ht="14.25" customHeight="1" x14ac:dyDescent="0.25">
      <c r="A691" s="8"/>
      <c r="B691" s="8"/>
      <c r="C691" s="8"/>
      <c r="D691" s="8"/>
      <c r="E691" s="9"/>
      <c r="F691" s="8"/>
      <c r="G691" s="8"/>
      <c r="H691" s="8"/>
    </row>
    <row r="692" spans="1:8" ht="14.25" customHeight="1" x14ac:dyDescent="0.25">
      <c r="A692" s="8"/>
      <c r="B692" s="8"/>
      <c r="C692" s="8"/>
      <c r="D692" s="8"/>
      <c r="E692" s="9"/>
      <c r="F692" s="8"/>
      <c r="G692" s="8"/>
      <c r="H692" s="8"/>
    </row>
    <row r="693" spans="1:8" ht="14.25" customHeight="1" x14ac:dyDescent="0.25">
      <c r="A693" s="8"/>
      <c r="B693" s="8"/>
      <c r="C693" s="8"/>
      <c r="D693" s="8"/>
      <c r="E693" s="9"/>
      <c r="F693" s="8"/>
      <c r="G693" s="8"/>
      <c r="H693" s="8"/>
    </row>
    <row r="694" spans="1:8" ht="14.25" customHeight="1" x14ac:dyDescent="0.25">
      <c r="A694" s="8"/>
      <c r="B694" s="8"/>
      <c r="C694" s="8"/>
      <c r="D694" s="8"/>
      <c r="E694" s="9"/>
      <c r="F694" s="8"/>
      <c r="G694" s="8"/>
      <c r="H694" s="8"/>
    </row>
    <row r="695" spans="1:8" ht="14.25" customHeight="1" x14ac:dyDescent="0.25">
      <c r="A695" s="8"/>
      <c r="B695" s="8"/>
      <c r="C695" s="8"/>
      <c r="D695" s="8"/>
      <c r="E695" s="9"/>
      <c r="F695" s="8"/>
      <c r="G695" s="8"/>
      <c r="H695" s="8"/>
    </row>
    <row r="696" spans="1:8" ht="14.25" customHeight="1" x14ac:dyDescent="0.25">
      <c r="A696" s="8"/>
      <c r="B696" s="8"/>
      <c r="C696" s="8"/>
      <c r="D696" s="8"/>
      <c r="E696" s="9"/>
      <c r="F696" s="8"/>
      <c r="G696" s="8"/>
      <c r="H696" s="8"/>
    </row>
    <row r="697" spans="1:8" ht="14.25" customHeight="1" x14ac:dyDescent="0.25">
      <c r="A697" s="8"/>
      <c r="B697" s="8"/>
      <c r="C697" s="8"/>
      <c r="D697" s="8"/>
      <c r="E697" s="9"/>
      <c r="F697" s="8"/>
      <c r="G697" s="8"/>
      <c r="H697" s="8"/>
    </row>
    <row r="698" spans="1:8" ht="14.25" customHeight="1" x14ac:dyDescent="0.25">
      <c r="A698" s="8"/>
      <c r="B698" s="8"/>
      <c r="C698" s="8"/>
      <c r="D698" s="8"/>
      <c r="E698" s="9"/>
      <c r="F698" s="8"/>
      <c r="G698" s="8"/>
      <c r="H698" s="8"/>
    </row>
    <row r="699" spans="1:8" ht="14.25" customHeight="1" x14ac:dyDescent="0.25">
      <c r="A699" s="8"/>
      <c r="B699" s="8"/>
      <c r="C699" s="8"/>
      <c r="D699" s="8"/>
      <c r="E699" s="9"/>
      <c r="F699" s="8"/>
      <c r="G699" s="8"/>
      <c r="H699" s="8"/>
    </row>
    <row r="700" spans="1:8" ht="14.25" customHeight="1" x14ac:dyDescent="0.25">
      <c r="A700" s="8"/>
      <c r="B700" s="8"/>
      <c r="C700" s="8"/>
      <c r="D700" s="8"/>
      <c r="E700" s="9"/>
      <c r="F700" s="8"/>
      <c r="G700" s="8"/>
      <c r="H700" s="8"/>
    </row>
    <row r="701" spans="1:8" ht="14.25" customHeight="1" x14ac:dyDescent="0.25">
      <c r="A701" s="8"/>
      <c r="B701" s="8"/>
      <c r="C701" s="8"/>
      <c r="D701" s="8"/>
      <c r="E701" s="9"/>
      <c r="F701" s="8"/>
      <c r="G701" s="8"/>
      <c r="H701" s="8"/>
    </row>
    <row r="702" spans="1:8" ht="14.25" customHeight="1" x14ac:dyDescent="0.25">
      <c r="A702" s="8"/>
      <c r="B702" s="8"/>
      <c r="C702" s="8"/>
      <c r="D702" s="8"/>
      <c r="E702" s="9"/>
      <c r="F702" s="8"/>
      <c r="G702" s="8"/>
      <c r="H702" s="8"/>
    </row>
    <row r="703" spans="1:8" ht="14.25" customHeight="1" x14ac:dyDescent="0.25">
      <c r="A703" s="8"/>
      <c r="B703" s="8"/>
      <c r="C703" s="8"/>
      <c r="D703" s="8"/>
      <c r="E703" s="9"/>
      <c r="F703" s="8"/>
      <c r="G703" s="8"/>
      <c r="H703" s="8"/>
    </row>
    <row r="704" spans="1:8" ht="14.25" customHeight="1" x14ac:dyDescent="0.25">
      <c r="A704" s="8"/>
      <c r="B704" s="8"/>
      <c r="C704" s="8"/>
      <c r="D704" s="8"/>
      <c r="E704" s="9"/>
      <c r="F704" s="8"/>
      <c r="G704" s="8"/>
      <c r="H704" s="8"/>
    </row>
    <row r="705" spans="1:8" ht="14.25" customHeight="1" x14ac:dyDescent="0.25">
      <c r="A705" s="8"/>
      <c r="B705" s="8"/>
      <c r="C705" s="8"/>
      <c r="D705" s="8"/>
      <c r="E705" s="9"/>
      <c r="F705" s="8"/>
      <c r="G705" s="8"/>
      <c r="H705" s="8"/>
    </row>
    <row r="706" spans="1:8" ht="14.25" customHeight="1" x14ac:dyDescent="0.25">
      <c r="A706" s="8"/>
      <c r="B706" s="8"/>
      <c r="C706" s="8"/>
      <c r="D706" s="8"/>
      <c r="E706" s="9"/>
      <c r="F706" s="8"/>
      <c r="G706" s="8"/>
      <c r="H706" s="8"/>
    </row>
    <row r="707" spans="1:8" ht="14.25" customHeight="1" x14ac:dyDescent="0.25">
      <c r="A707" s="8"/>
      <c r="B707" s="8"/>
      <c r="C707" s="8"/>
      <c r="D707" s="8"/>
      <c r="E707" s="9"/>
      <c r="F707" s="8"/>
      <c r="G707" s="8"/>
      <c r="H707" s="8"/>
    </row>
    <row r="708" spans="1:8" ht="14.25" customHeight="1" x14ac:dyDescent="0.25">
      <c r="A708" s="8"/>
      <c r="B708" s="8"/>
      <c r="C708" s="8"/>
      <c r="D708" s="8"/>
      <c r="E708" s="9"/>
      <c r="F708" s="8"/>
      <c r="G708" s="8"/>
      <c r="H708" s="8"/>
    </row>
    <row r="709" spans="1:8" ht="14.25" customHeight="1" x14ac:dyDescent="0.25">
      <c r="A709" s="8"/>
      <c r="B709" s="8"/>
      <c r="C709" s="8"/>
      <c r="D709" s="8"/>
      <c r="E709" s="9"/>
      <c r="F709" s="8"/>
      <c r="G709" s="8"/>
      <c r="H709" s="8"/>
    </row>
    <row r="710" spans="1:8" ht="14.25" customHeight="1" x14ac:dyDescent="0.25">
      <c r="A710" s="8"/>
      <c r="B710" s="8"/>
      <c r="C710" s="8"/>
      <c r="D710" s="8"/>
      <c r="E710" s="9"/>
      <c r="F710" s="8"/>
      <c r="G710" s="8"/>
      <c r="H710" s="8"/>
    </row>
    <row r="711" spans="1:8" ht="14.25" customHeight="1" x14ac:dyDescent="0.25">
      <c r="A711" s="8"/>
      <c r="B711" s="8"/>
      <c r="C711" s="8"/>
      <c r="D711" s="8"/>
      <c r="E711" s="9"/>
      <c r="F711" s="8"/>
      <c r="G711" s="8"/>
      <c r="H711" s="8"/>
    </row>
    <row r="712" spans="1:8" ht="14.25" customHeight="1" x14ac:dyDescent="0.25">
      <c r="A712" s="8"/>
      <c r="B712" s="8"/>
      <c r="C712" s="8"/>
      <c r="D712" s="8"/>
      <c r="E712" s="9"/>
      <c r="F712" s="8"/>
      <c r="G712" s="8"/>
      <c r="H712" s="8"/>
    </row>
    <row r="713" spans="1:8" ht="14.25" customHeight="1" x14ac:dyDescent="0.25">
      <c r="A713" s="8"/>
      <c r="B713" s="8"/>
      <c r="C713" s="8"/>
      <c r="D713" s="8"/>
      <c r="E713" s="9"/>
      <c r="F713" s="8"/>
      <c r="G713" s="8"/>
      <c r="H713" s="8"/>
    </row>
    <row r="714" spans="1:8" ht="14.25" customHeight="1" x14ac:dyDescent="0.25">
      <c r="A714" s="8"/>
      <c r="B714" s="8"/>
      <c r="C714" s="8"/>
      <c r="D714" s="8"/>
      <c r="E714" s="9"/>
      <c r="F714" s="8"/>
      <c r="G714" s="8"/>
      <c r="H714" s="8"/>
    </row>
    <row r="715" spans="1:8" ht="14.25" customHeight="1" x14ac:dyDescent="0.25">
      <c r="A715" s="8"/>
      <c r="B715" s="8"/>
      <c r="C715" s="8"/>
      <c r="D715" s="8"/>
      <c r="E715" s="9"/>
      <c r="F715" s="8"/>
      <c r="G715" s="8"/>
      <c r="H715" s="8"/>
    </row>
    <row r="716" spans="1:8" ht="14.25" customHeight="1" x14ac:dyDescent="0.25">
      <c r="A716" s="8"/>
      <c r="B716" s="8"/>
      <c r="C716" s="8"/>
      <c r="D716" s="8"/>
      <c r="E716" s="9"/>
      <c r="F716" s="8"/>
      <c r="G716" s="8"/>
      <c r="H716" s="8"/>
    </row>
    <row r="717" spans="1:8" ht="14.25" customHeight="1" x14ac:dyDescent="0.25">
      <c r="A717" s="8"/>
      <c r="B717" s="8"/>
      <c r="C717" s="8"/>
      <c r="D717" s="8"/>
      <c r="E717" s="9"/>
      <c r="F717" s="8"/>
      <c r="G717" s="8"/>
      <c r="H717" s="8"/>
    </row>
    <row r="718" spans="1:8" ht="14.25" customHeight="1" x14ac:dyDescent="0.25">
      <c r="A718" s="8"/>
      <c r="B718" s="8"/>
      <c r="C718" s="8"/>
      <c r="D718" s="8"/>
      <c r="E718" s="9"/>
      <c r="F718" s="8"/>
      <c r="G718" s="8"/>
      <c r="H718" s="8"/>
    </row>
    <row r="719" spans="1:8" ht="14.25" customHeight="1" x14ac:dyDescent="0.25">
      <c r="A719" s="8"/>
      <c r="B719" s="8"/>
      <c r="C719" s="8"/>
      <c r="D719" s="8"/>
      <c r="E719" s="9"/>
      <c r="F719" s="8"/>
      <c r="G719" s="8"/>
      <c r="H719" s="8"/>
    </row>
    <row r="720" spans="1:8" ht="14.25" customHeight="1" x14ac:dyDescent="0.25">
      <c r="A720" s="8"/>
      <c r="B720" s="8"/>
      <c r="C720" s="8"/>
      <c r="D720" s="8"/>
      <c r="E720" s="9"/>
      <c r="F720" s="8"/>
      <c r="G720" s="8"/>
      <c r="H720" s="8"/>
    </row>
    <row r="721" spans="1:8" ht="14.25" customHeight="1" x14ac:dyDescent="0.25">
      <c r="A721" s="8"/>
      <c r="B721" s="8"/>
      <c r="C721" s="8"/>
      <c r="D721" s="8"/>
      <c r="E721" s="9"/>
      <c r="F721" s="8"/>
      <c r="G721" s="8"/>
      <c r="H721" s="8"/>
    </row>
    <row r="722" spans="1:8" ht="14.25" customHeight="1" x14ac:dyDescent="0.25">
      <c r="A722" s="8"/>
      <c r="B722" s="8"/>
      <c r="C722" s="8"/>
      <c r="D722" s="8"/>
      <c r="E722" s="9"/>
      <c r="F722" s="8"/>
      <c r="G722" s="8"/>
      <c r="H722" s="8"/>
    </row>
    <row r="723" spans="1:8" ht="14.25" customHeight="1" x14ac:dyDescent="0.25">
      <c r="A723" s="8"/>
      <c r="B723" s="8"/>
      <c r="C723" s="8"/>
      <c r="D723" s="8"/>
      <c r="E723" s="9"/>
      <c r="F723" s="8"/>
      <c r="G723" s="8"/>
      <c r="H723" s="8"/>
    </row>
    <row r="724" spans="1:8" ht="14.25" customHeight="1" x14ac:dyDescent="0.25">
      <c r="A724" s="8"/>
      <c r="B724" s="8"/>
      <c r="C724" s="8"/>
      <c r="D724" s="8"/>
      <c r="E724" s="9"/>
      <c r="F724" s="8"/>
      <c r="G724" s="8"/>
      <c r="H724" s="8"/>
    </row>
    <row r="725" spans="1:8" ht="14.25" customHeight="1" x14ac:dyDescent="0.25">
      <c r="A725" s="8"/>
      <c r="B725" s="8"/>
      <c r="C725" s="8"/>
      <c r="D725" s="8"/>
      <c r="E725" s="9"/>
      <c r="F725" s="8"/>
      <c r="G725" s="8"/>
      <c r="H725" s="8"/>
    </row>
    <row r="726" spans="1:8" ht="14.25" customHeight="1" x14ac:dyDescent="0.25">
      <c r="A726" s="8"/>
      <c r="B726" s="8"/>
      <c r="C726" s="8"/>
      <c r="D726" s="8"/>
      <c r="E726" s="9"/>
      <c r="F726" s="8"/>
      <c r="G726" s="8"/>
      <c r="H726" s="8"/>
    </row>
    <row r="727" spans="1:8" ht="14.25" customHeight="1" x14ac:dyDescent="0.25">
      <c r="A727" s="8"/>
      <c r="B727" s="8"/>
      <c r="C727" s="8"/>
      <c r="D727" s="8"/>
      <c r="E727" s="9"/>
      <c r="F727" s="8"/>
      <c r="G727" s="8"/>
      <c r="H727" s="8"/>
    </row>
    <row r="728" spans="1:8" ht="14.25" customHeight="1" x14ac:dyDescent="0.25">
      <c r="A728" s="8"/>
      <c r="B728" s="8"/>
      <c r="C728" s="8"/>
      <c r="D728" s="8"/>
      <c r="E728" s="9"/>
      <c r="F728" s="8"/>
      <c r="G728" s="8"/>
      <c r="H728" s="8"/>
    </row>
    <row r="729" spans="1:8" ht="14.25" customHeight="1" x14ac:dyDescent="0.25">
      <c r="A729" s="8"/>
      <c r="B729" s="8"/>
      <c r="C729" s="8"/>
      <c r="D729" s="8"/>
      <c r="E729" s="9"/>
      <c r="F729" s="8"/>
      <c r="G729" s="8"/>
      <c r="H729" s="8"/>
    </row>
    <row r="730" spans="1:8" ht="14.25" customHeight="1" x14ac:dyDescent="0.25">
      <c r="A730" s="8"/>
      <c r="B730" s="8"/>
      <c r="C730" s="8"/>
      <c r="D730" s="8"/>
      <c r="E730" s="9"/>
      <c r="F730" s="8"/>
      <c r="G730" s="8"/>
      <c r="H730" s="8"/>
    </row>
    <row r="731" spans="1:8" ht="14.25" customHeight="1" x14ac:dyDescent="0.25">
      <c r="A731" s="8"/>
      <c r="B731" s="8"/>
      <c r="C731" s="8"/>
      <c r="D731" s="8"/>
      <c r="E731" s="9"/>
      <c r="F731" s="8"/>
      <c r="G731" s="8"/>
      <c r="H731" s="8"/>
    </row>
    <row r="732" spans="1:8" ht="14.25" customHeight="1" x14ac:dyDescent="0.25">
      <c r="A732" s="8"/>
      <c r="B732" s="8"/>
      <c r="C732" s="8"/>
      <c r="D732" s="8"/>
      <c r="E732" s="9"/>
      <c r="F732" s="8"/>
      <c r="G732" s="8"/>
      <c r="H732" s="8"/>
    </row>
    <row r="733" spans="1:8" ht="14.25" customHeight="1" x14ac:dyDescent="0.25">
      <c r="A733" s="8"/>
      <c r="B733" s="8"/>
      <c r="C733" s="8"/>
      <c r="D733" s="8"/>
      <c r="E733" s="9"/>
      <c r="F733" s="8"/>
      <c r="G733" s="8"/>
      <c r="H733" s="8"/>
    </row>
    <row r="734" spans="1:8" ht="14.25" customHeight="1" x14ac:dyDescent="0.25">
      <c r="A734" s="8"/>
      <c r="B734" s="8"/>
      <c r="C734" s="8"/>
      <c r="D734" s="8"/>
      <c r="E734" s="9"/>
      <c r="F734" s="8"/>
      <c r="G734" s="8"/>
      <c r="H734" s="8"/>
    </row>
    <row r="735" spans="1:8" ht="14.25" customHeight="1" x14ac:dyDescent="0.25">
      <c r="A735" s="8"/>
      <c r="B735" s="8"/>
      <c r="C735" s="8"/>
      <c r="D735" s="8"/>
      <c r="E735" s="9"/>
      <c r="F735" s="8"/>
      <c r="G735" s="8"/>
      <c r="H735" s="8"/>
    </row>
    <row r="736" spans="1:8" ht="14.25" customHeight="1" x14ac:dyDescent="0.25">
      <c r="A736" s="8"/>
      <c r="B736" s="8"/>
      <c r="C736" s="8"/>
      <c r="D736" s="8"/>
      <c r="E736" s="9"/>
      <c r="F736" s="8"/>
      <c r="G736" s="8"/>
      <c r="H736" s="8"/>
    </row>
    <row r="737" spans="1:8" ht="14.25" customHeight="1" x14ac:dyDescent="0.25">
      <c r="A737" s="8"/>
      <c r="B737" s="8"/>
      <c r="C737" s="8"/>
      <c r="D737" s="8"/>
      <c r="E737" s="9"/>
      <c r="F737" s="8"/>
      <c r="G737" s="8"/>
      <c r="H737" s="8"/>
    </row>
    <row r="738" spans="1:8" ht="14.25" customHeight="1" x14ac:dyDescent="0.25">
      <c r="A738" s="8"/>
      <c r="B738" s="8"/>
      <c r="C738" s="8"/>
      <c r="D738" s="8"/>
      <c r="E738" s="9"/>
      <c r="F738" s="8"/>
      <c r="G738" s="8"/>
      <c r="H738" s="8"/>
    </row>
    <row r="739" spans="1:8" ht="14.25" customHeight="1" x14ac:dyDescent="0.25">
      <c r="A739" s="8"/>
      <c r="B739" s="8"/>
      <c r="C739" s="8"/>
      <c r="D739" s="8"/>
      <c r="E739" s="9"/>
      <c r="F739" s="8"/>
      <c r="G739" s="8"/>
      <c r="H739" s="8"/>
    </row>
    <row r="740" spans="1:8" ht="14.25" customHeight="1" x14ac:dyDescent="0.25">
      <c r="A740" s="8"/>
      <c r="B740" s="8"/>
      <c r="C740" s="8"/>
      <c r="D740" s="8"/>
      <c r="E740" s="9"/>
      <c r="F740" s="8"/>
      <c r="G740" s="8"/>
      <c r="H740" s="8"/>
    </row>
    <row r="741" spans="1:8" ht="14.25" customHeight="1" x14ac:dyDescent="0.25">
      <c r="A741" s="8"/>
      <c r="B741" s="8"/>
      <c r="C741" s="8"/>
      <c r="D741" s="8"/>
      <c r="E741" s="9"/>
      <c r="F741" s="8"/>
      <c r="G741" s="8"/>
      <c r="H741" s="8"/>
    </row>
    <row r="742" spans="1:8" ht="14.25" customHeight="1" x14ac:dyDescent="0.25">
      <c r="A742" s="8"/>
      <c r="B742" s="8"/>
      <c r="C742" s="8"/>
      <c r="D742" s="8"/>
      <c r="E742" s="9"/>
      <c r="F742" s="8"/>
      <c r="G742" s="8"/>
      <c r="H742" s="8"/>
    </row>
    <row r="743" spans="1:8" ht="14.25" customHeight="1" x14ac:dyDescent="0.25">
      <c r="A743" s="8"/>
      <c r="B743" s="8"/>
      <c r="C743" s="8"/>
      <c r="D743" s="8"/>
      <c r="E743" s="9"/>
      <c r="F743" s="8"/>
      <c r="G743" s="8"/>
      <c r="H743" s="8"/>
    </row>
    <row r="744" spans="1:8" ht="14.25" customHeight="1" x14ac:dyDescent="0.25">
      <c r="A744" s="8"/>
      <c r="B744" s="8"/>
      <c r="C744" s="8"/>
      <c r="D744" s="8"/>
      <c r="E744" s="9"/>
      <c r="F744" s="8"/>
      <c r="G744" s="8"/>
      <c r="H744" s="8"/>
    </row>
    <row r="745" spans="1:8" ht="14.25" customHeight="1" x14ac:dyDescent="0.25">
      <c r="A745" s="8"/>
      <c r="B745" s="8"/>
      <c r="C745" s="8"/>
      <c r="D745" s="8"/>
      <c r="E745" s="9"/>
      <c r="F745" s="8"/>
      <c r="G745" s="8"/>
      <c r="H745" s="8"/>
    </row>
    <row r="746" spans="1:8" ht="14.25" customHeight="1" x14ac:dyDescent="0.25">
      <c r="A746" s="8"/>
      <c r="B746" s="8"/>
      <c r="C746" s="8"/>
      <c r="D746" s="8"/>
      <c r="E746" s="9"/>
      <c r="F746" s="8"/>
      <c r="G746" s="8"/>
      <c r="H746" s="8"/>
    </row>
    <row r="747" spans="1:8" ht="14.25" customHeight="1" x14ac:dyDescent="0.25">
      <c r="A747" s="8"/>
      <c r="B747" s="8"/>
      <c r="C747" s="8"/>
      <c r="D747" s="8"/>
      <c r="E747" s="9"/>
      <c r="F747" s="8"/>
      <c r="G747" s="8"/>
      <c r="H747" s="8"/>
    </row>
    <row r="748" spans="1:8" ht="14.25" customHeight="1" x14ac:dyDescent="0.25">
      <c r="A748" s="8"/>
      <c r="B748" s="8"/>
      <c r="C748" s="8"/>
      <c r="D748" s="8"/>
      <c r="E748" s="9"/>
      <c r="F748" s="8"/>
      <c r="G748" s="8"/>
      <c r="H748" s="8"/>
    </row>
    <row r="749" spans="1:8" ht="14.25" customHeight="1" x14ac:dyDescent="0.25">
      <c r="A749" s="8"/>
      <c r="B749" s="8"/>
      <c r="C749" s="8"/>
      <c r="D749" s="8"/>
      <c r="E749" s="9"/>
      <c r="F749" s="8"/>
      <c r="G749" s="8"/>
      <c r="H749" s="8"/>
    </row>
    <row r="750" spans="1:8" ht="14.25" customHeight="1" x14ac:dyDescent="0.25">
      <c r="A750" s="8"/>
      <c r="B750" s="8"/>
      <c r="C750" s="8"/>
      <c r="D750" s="8"/>
      <c r="E750" s="9"/>
      <c r="F750" s="8"/>
      <c r="G750" s="8"/>
      <c r="H750" s="8"/>
    </row>
    <row r="751" spans="1:8" ht="14.25" customHeight="1" x14ac:dyDescent="0.25">
      <c r="A751" s="8"/>
      <c r="B751" s="8"/>
      <c r="C751" s="8"/>
      <c r="D751" s="8"/>
      <c r="E751" s="9"/>
      <c r="F751" s="8"/>
      <c r="G751" s="8"/>
      <c r="H751" s="8"/>
    </row>
    <row r="752" spans="1:8" ht="14.25" customHeight="1" x14ac:dyDescent="0.25">
      <c r="A752" s="8"/>
      <c r="B752" s="8"/>
      <c r="C752" s="8"/>
      <c r="D752" s="8"/>
      <c r="E752" s="9"/>
      <c r="F752" s="8"/>
      <c r="G752" s="8"/>
      <c r="H752" s="8"/>
    </row>
    <row r="753" spans="1:8" ht="14.25" customHeight="1" x14ac:dyDescent="0.25">
      <c r="A753" s="8"/>
      <c r="B753" s="8"/>
      <c r="C753" s="8"/>
      <c r="D753" s="8"/>
      <c r="E753" s="9"/>
      <c r="F753" s="8"/>
      <c r="G753" s="8"/>
      <c r="H753" s="8"/>
    </row>
    <row r="754" spans="1:8" ht="14.25" customHeight="1" x14ac:dyDescent="0.25">
      <c r="A754" s="8"/>
      <c r="B754" s="8"/>
      <c r="C754" s="8"/>
      <c r="D754" s="8"/>
      <c r="E754" s="9"/>
      <c r="F754" s="8"/>
      <c r="G754" s="8"/>
      <c r="H754" s="8"/>
    </row>
    <row r="755" spans="1:8" ht="14.25" customHeight="1" x14ac:dyDescent="0.25">
      <c r="A755" s="8"/>
      <c r="B755" s="8"/>
      <c r="C755" s="8"/>
      <c r="D755" s="8"/>
      <c r="E755" s="9"/>
      <c r="F755" s="8"/>
      <c r="G755" s="8"/>
      <c r="H755" s="8"/>
    </row>
    <row r="756" spans="1:8" ht="14.25" customHeight="1" x14ac:dyDescent="0.25">
      <c r="A756" s="8"/>
      <c r="B756" s="8"/>
      <c r="C756" s="8"/>
      <c r="D756" s="8"/>
      <c r="E756" s="9"/>
      <c r="F756" s="8"/>
      <c r="G756" s="8"/>
      <c r="H756" s="8"/>
    </row>
    <row r="757" spans="1:8" ht="14.25" customHeight="1" x14ac:dyDescent="0.25">
      <c r="A757" s="8"/>
      <c r="B757" s="8"/>
      <c r="C757" s="8"/>
      <c r="D757" s="8"/>
      <c r="E757" s="9"/>
      <c r="F757" s="8"/>
      <c r="G757" s="8"/>
      <c r="H757" s="8"/>
    </row>
    <row r="758" spans="1:8" ht="14.25" customHeight="1" x14ac:dyDescent="0.25">
      <c r="A758" s="8"/>
      <c r="B758" s="8"/>
      <c r="C758" s="8"/>
      <c r="D758" s="8"/>
      <c r="E758" s="9"/>
      <c r="F758" s="8"/>
      <c r="G758" s="8"/>
      <c r="H758" s="8"/>
    </row>
    <row r="759" spans="1:8" ht="14.25" customHeight="1" x14ac:dyDescent="0.25">
      <c r="A759" s="8"/>
      <c r="B759" s="8"/>
      <c r="C759" s="8"/>
      <c r="D759" s="8"/>
      <c r="E759" s="9"/>
      <c r="F759" s="8"/>
      <c r="G759" s="8"/>
      <c r="H759" s="8"/>
    </row>
    <row r="760" spans="1:8" ht="14.25" customHeight="1" x14ac:dyDescent="0.25">
      <c r="A760" s="8"/>
      <c r="B760" s="8"/>
      <c r="C760" s="8"/>
      <c r="D760" s="8"/>
      <c r="E760" s="9"/>
      <c r="F760" s="8"/>
      <c r="G760" s="8"/>
      <c r="H760" s="8"/>
    </row>
    <row r="761" spans="1:8" ht="14.25" customHeight="1" x14ac:dyDescent="0.25">
      <c r="A761" s="8"/>
      <c r="B761" s="8"/>
      <c r="C761" s="8"/>
      <c r="D761" s="8"/>
      <c r="E761" s="9"/>
      <c r="F761" s="8"/>
      <c r="G761" s="8"/>
      <c r="H761" s="8"/>
    </row>
    <row r="762" spans="1:8" ht="14.25" customHeight="1" x14ac:dyDescent="0.25">
      <c r="A762" s="8"/>
      <c r="B762" s="8"/>
      <c r="C762" s="8"/>
      <c r="D762" s="8"/>
      <c r="E762" s="9"/>
      <c r="F762" s="8"/>
      <c r="G762" s="8"/>
      <c r="H762" s="8"/>
    </row>
    <row r="763" spans="1:8" ht="14.25" customHeight="1" x14ac:dyDescent="0.25">
      <c r="A763" s="8"/>
      <c r="B763" s="8"/>
      <c r="C763" s="8"/>
      <c r="D763" s="8"/>
      <c r="E763" s="9"/>
      <c r="F763" s="8"/>
      <c r="G763" s="8"/>
      <c r="H763" s="8"/>
    </row>
    <row r="764" spans="1:8" ht="14.25" customHeight="1" x14ac:dyDescent="0.25">
      <c r="A764" s="8"/>
      <c r="B764" s="8"/>
      <c r="C764" s="8"/>
      <c r="D764" s="8"/>
      <c r="E764" s="9"/>
      <c r="F764" s="8"/>
      <c r="G764" s="8"/>
      <c r="H764" s="8"/>
    </row>
    <row r="765" spans="1:8" ht="14.25" customHeight="1" x14ac:dyDescent="0.25">
      <c r="A765" s="8"/>
      <c r="B765" s="8"/>
      <c r="C765" s="8"/>
      <c r="D765" s="8"/>
      <c r="E765" s="9"/>
      <c r="F765" s="8"/>
      <c r="G765" s="8"/>
      <c r="H765" s="8"/>
    </row>
    <row r="766" spans="1:8" ht="14.25" customHeight="1" x14ac:dyDescent="0.25">
      <c r="A766" s="8"/>
      <c r="B766" s="8"/>
      <c r="C766" s="8"/>
      <c r="D766" s="8"/>
      <c r="E766" s="9"/>
      <c r="F766" s="8"/>
      <c r="G766" s="8"/>
      <c r="H766" s="8"/>
    </row>
    <row r="767" spans="1:8" ht="14.25" customHeight="1" x14ac:dyDescent="0.25">
      <c r="A767" s="8"/>
      <c r="B767" s="8"/>
      <c r="C767" s="8"/>
      <c r="D767" s="8"/>
      <c r="E767" s="9"/>
      <c r="F767" s="8"/>
      <c r="G767" s="8"/>
      <c r="H767" s="8"/>
    </row>
    <row r="768" spans="1:8" ht="14.25" customHeight="1" x14ac:dyDescent="0.25">
      <c r="A768" s="8"/>
      <c r="B768" s="8"/>
      <c r="C768" s="8"/>
      <c r="D768" s="8"/>
      <c r="E768" s="9"/>
      <c r="F768" s="8"/>
      <c r="G768" s="8"/>
      <c r="H768" s="8"/>
    </row>
    <row r="769" spans="1:8" ht="14.25" customHeight="1" x14ac:dyDescent="0.25">
      <c r="A769" s="8"/>
      <c r="B769" s="8"/>
      <c r="C769" s="8"/>
      <c r="D769" s="8"/>
      <c r="E769" s="9"/>
      <c r="F769" s="8"/>
      <c r="G769" s="8"/>
      <c r="H769" s="8"/>
    </row>
    <row r="770" spans="1:8" ht="14.25" customHeight="1" x14ac:dyDescent="0.25">
      <c r="A770" s="8"/>
      <c r="B770" s="8"/>
      <c r="C770" s="8"/>
      <c r="D770" s="8"/>
      <c r="E770" s="9"/>
      <c r="F770" s="8"/>
      <c r="G770" s="8"/>
      <c r="H770" s="8"/>
    </row>
    <row r="771" spans="1:8" ht="14.25" customHeight="1" x14ac:dyDescent="0.25">
      <c r="A771" s="8"/>
      <c r="B771" s="8"/>
      <c r="C771" s="8"/>
      <c r="D771" s="8"/>
      <c r="E771" s="9"/>
      <c r="F771" s="8"/>
      <c r="G771" s="8"/>
      <c r="H771" s="8"/>
    </row>
    <row r="772" spans="1:8" ht="14.25" customHeight="1" x14ac:dyDescent="0.25">
      <c r="A772" s="8"/>
      <c r="B772" s="8"/>
      <c r="C772" s="8"/>
      <c r="D772" s="8"/>
      <c r="E772" s="9"/>
      <c r="F772" s="8"/>
      <c r="G772" s="8"/>
      <c r="H772" s="8"/>
    </row>
    <row r="773" spans="1:8" ht="14.25" customHeight="1" x14ac:dyDescent="0.25">
      <c r="A773" s="8"/>
      <c r="B773" s="8"/>
      <c r="C773" s="8"/>
      <c r="D773" s="8"/>
      <c r="E773" s="9"/>
      <c r="F773" s="8"/>
      <c r="G773" s="8"/>
      <c r="H773" s="8"/>
    </row>
    <row r="774" spans="1:8" ht="14.25" customHeight="1" x14ac:dyDescent="0.25">
      <c r="A774" s="8"/>
      <c r="B774" s="8"/>
      <c r="C774" s="8"/>
      <c r="D774" s="8"/>
      <c r="E774" s="9"/>
      <c r="F774" s="8"/>
      <c r="G774" s="8"/>
      <c r="H774" s="8"/>
    </row>
    <row r="775" spans="1:8" ht="14.25" customHeight="1" x14ac:dyDescent="0.25">
      <c r="A775" s="8"/>
      <c r="B775" s="8"/>
      <c r="C775" s="8"/>
      <c r="D775" s="8"/>
      <c r="E775" s="9"/>
      <c r="F775" s="8"/>
      <c r="G775" s="8"/>
      <c r="H775" s="8"/>
    </row>
    <row r="776" spans="1:8" ht="14.25" customHeight="1" x14ac:dyDescent="0.25">
      <c r="A776" s="8"/>
      <c r="B776" s="8"/>
      <c r="C776" s="8"/>
      <c r="D776" s="8"/>
      <c r="E776" s="9"/>
      <c r="F776" s="8"/>
      <c r="G776" s="8"/>
      <c r="H776" s="8"/>
    </row>
    <row r="777" spans="1:8" ht="14.25" customHeight="1" x14ac:dyDescent="0.25">
      <c r="A777" s="8"/>
      <c r="B777" s="8"/>
      <c r="C777" s="8"/>
      <c r="D777" s="8"/>
      <c r="E777" s="9"/>
      <c r="F777" s="8"/>
      <c r="G777" s="8"/>
      <c r="H777" s="8"/>
    </row>
    <row r="778" spans="1:8" ht="14.25" customHeight="1" x14ac:dyDescent="0.25">
      <c r="A778" s="8"/>
      <c r="B778" s="8"/>
      <c r="C778" s="8"/>
      <c r="D778" s="8"/>
      <c r="E778" s="9"/>
      <c r="F778" s="8"/>
      <c r="G778" s="8"/>
      <c r="H778" s="8"/>
    </row>
    <row r="779" spans="1:8" ht="14.25" customHeight="1" x14ac:dyDescent="0.25">
      <c r="A779" s="8"/>
      <c r="B779" s="8"/>
      <c r="C779" s="8"/>
      <c r="D779" s="8"/>
      <c r="E779" s="9"/>
      <c r="F779" s="8"/>
      <c r="G779" s="8"/>
      <c r="H779" s="8"/>
    </row>
    <row r="780" spans="1:8" ht="14.25" customHeight="1" x14ac:dyDescent="0.25">
      <c r="A780" s="8"/>
      <c r="B780" s="8"/>
      <c r="C780" s="8"/>
      <c r="D780" s="8"/>
      <c r="E780" s="9"/>
      <c r="F780" s="8"/>
      <c r="G780" s="8"/>
      <c r="H780" s="8"/>
    </row>
    <row r="781" spans="1:8" ht="14.25" customHeight="1" x14ac:dyDescent="0.25">
      <c r="A781" s="8"/>
      <c r="B781" s="8"/>
      <c r="C781" s="8"/>
      <c r="D781" s="8"/>
      <c r="E781" s="9"/>
      <c r="F781" s="8"/>
      <c r="G781" s="8"/>
      <c r="H781" s="8"/>
    </row>
    <row r="782" spans="1:8" ht="14.25" customHeight="1" x14ac:dyDescent="0.25">
      <c r="A782" s="8"/>
      <c r="B782" s="8"/>
      <c r="C782" s="8"/>
      <c r="D782" s="8"/>
      <c r="E782" s="9"/>
      <c r="F782" s="8"/>
      <c r="G782" s="8"/>
      <c r="H782" s="8"/>
    </row>
    <row r="783" spans="1:8" ht="14.25" customHeight="1" x14ac:dyDescent="0.25">
      <c r="A783" s="8"/>
      <c r="B783" s="8"/>
      <c r="C783" s="8"/>
      <c r="D783" s="8"/>
      <c r="E783" s="9"/>
      <c r="F783" s="8"/>
      <c r="G783" s="8"/>
      <c r="H783" s="8"/>
    </row>
    <row r="784" spans="1:8" ht="14.25" customHeight="1" x14ac:dyDescent="0.25">
      <c r="A784" s="8"/>
      <c r="B784" s="8"/>
      <c r="C784" s="8"/>
      <c r="D784" s="8"/>
      <c r="E784" s="9"/>
      <c r="F784" s="8"/>
      <c r="G784" s="8"/>
      <c r="H784" s="8"/>
    </row>
    <row r="785" spans="1:8" ht="14.25" customHeight="1" x14ac:dyDescent="0.25">
      <c r="A785" s="8"/>
      <c r="B785" s="8"/>
      <c r="C785" s="8"/>
      <c r="D785" s="8"/>
      <c r="E785" s="9"/>
      <c r="F785" s="8"/>
      <c r="G785" s="8"/>
      <c r="H785" s="8"/>
    </row>
    <row r="786" spans="1:8" ht="14.25" customHeight="1" x14ac:dyDescent="0.25">
      <c r="A786" s="8"/>
      <c r="B786" s="8"/>
      <c r="C786" s="8"/>
      <c r="D786" s="8"/>
      <c r="E786" s="9"/>
      <c r="F786" s="8"/>
      <c r="G786" s="8"/>
      <c r="H786" s="8"/>
    </row>
    <row r="787" spans="1:8" ht="14.25" customHeight="1" x14ac:dyDescent="0.25">
      <c r="A787" s="8"/>
      <c r="B787" s="8"/>
      <c r="C787" s="8"/>
      <c r="D787" s="8"/>
      <c r="E787" s="9"/>
      <c r="F787" s="8"/>
      <c r="G787" s="8"/>
      <c r="H787" s="8"/>
    </row>
    <row r="788" spans="1:8" ht="14.25" customHeight="1" x14ac:dyDescent="0.25">
      <c r="A788" s="8"/>
      <c r="B788" s="8"/>
      <c r="C788" s="8"/>
      <c r="D788" s="8"/>
      <c r="E788" s="9"/>
      <c r="F788" s="8"/>
      <c r="G788" s="8"/>
      <c r="H788" s="8"/>
    </row>
    <row r="789" spans="1:8" ht="14.25" customHeight="1" x14ac:dyDescent="0.25">
      <c r="A789" s="8"/>
      <c r="B789" s="8"/>
      <c r="C789" s="8"/>
      <c r="D789" s="8"/>
      <c r="E789" s="9"/>
      <c r="F789" s="8"/>
      <c r="G789" s="8"/>
      <c r="H789" s="8"/>
    </row>
    <row r="790" spans="1:8" ht="14.25" customHeight="1" x14ac:dyDescent="0.25">
      <c r="A790" s="8"/>
      <c r="B790" s="8"/>
      <c r="C790" s="8"/>
      <c r="D790" s="8"/>
      <c r="E790" s="9"/>
      <c r="F790" s="8"/>
      <c r="G790" s="8"/>
      <c r="H790" s="8"/>
    </row>
    <row r="791" spans="1:8" ht="14.25" customHeight="1" x14ac:dyDescent="0.25">
      <c r="A791" s="8"/>
      <c r="B791" s="8"/>
      <c r="C791" s="8"/>
      <c r="D791" s="8"/>
      <c r="E791" s="9"/>
      <c r="F791" s="8"/>
      <c r="G791" s="8"/>
      <c r="H791" s="8"/>
    </row>
    <row r="792" spans="1:8" ht="14.25" customHeight="1" x14ac:dyDescent="0.25">
      <c r="A792" s="8"/>
      <c r="B792" s="8"/>
      <c r="C792" s="8"/>
      <c r="D792" s="8"/>
      <c r="E792" s="9"/>
      <c r="F792" s="8"/>
      <c r="G792" s="8"/>
      <c r="H792" s="8"/>
    </row>
    <row r="793" spans="1:8" ht="14.25" customHeight="1" x14ac:dyDescent="0.25">
      <c r="A793" s="8"/>
      <c r="B793" s="8"/>
      <c r="C793" s="8"/>
      <c r="D793" s="8"/>
      <c r="E793" s="9"/>
      <c r="F793" s="8"/>
      <c r="G793" s="8"/>
      <c r="H793" s="8"/>
    </row>
    <row r="794" spans="1:8" ht="14.25" customHeight="1" x14ac:dyDescent="0.25">
      <c r="A794" s="8"/>
      <c r="B794" s="8"/>
      <c r="C794" s="8"/>
      <c r="D794" s="8"/>
      <c r="E794" s="9"/>
      <c r="F794" s="8"/>
      <c r="G794" s="8"/>
      <c r="H794" s="8"/>
    </row>
    <row r="795" spans="1:8" ht="14.25" customHeight="1" x14ac:dyDescent="0.25">
      <c r="A795" s="8"/>
      <c r="B795" s="8"/>
      <c r="C795" s="8"/>
      <c r="D795" s="8"/>
      <c r="E795" s="9"/>
      <c r="F795" s="8"/>
      <c r="G795" s="8"/>
      <c r="H795" s="8"/>
    </row>
    <row r="796" spans="1:8" ht="14.25" customHeight="1" x14ac:dyDescent="0.25">
      <c r="A796" s="8"/>
      <c r="B796" s="8"/>
      <c r="C796" s="8"/>
      <c r="D796" s="8"/>
      <c r="E796" s="9"/>
      <c r="F796" s="8"/>
      <c r="G796" s="8"/>
      <c r="H796" s="8"/>
    </row>
    <row r="797" spans="1:8" ht="14.25" customHeight="1" x14ac:dyDescent="0.25">
      <c r="A797" s="8"/>
      <c r="B797" s="8"/>
      <c r="C797" s="8"/>
      <c r="D797" s="8"/>
      <c r="E797" s="9"/>
      <c r="F797" s="8"/>
      <c r="G797" s="8"/>
      <c r="H797" s="8"/>
    </row>
    <row r="798" spans="1:8" ht="14.25" customHeight="1" x14ac:dyDescent="0.25">
      <c r="A798" s="8"/>
      <c r="B798" s="8"/>
      <c r="C798" s="8"/>
      <c r="D798" s="8"/>
      <c r="E798" s="9"/>
      <c r="F798" s="8"/>
      <c r="G798" s="8"/>
      <c r="H798" s="8"/>
    </row>
    <row r="799" spans="1:8" ht="14.25" customHeight="1" x14ac:dyDescent="0.25">
      <c r="A799" s="8"/>
      <c r="B799" s="8"/>
      <c r="C799" s="8"/>
      <c r="D799" s="8"/>
      <c r="E799" s="9"/>
      <c r="F799" s="8"/>
      <c r="G799" s="8"/>
      <c r="H799" s="8"/>
    </row>
    <row r="800" spans="1:8" ht="14.25" customHeight="1" x14ac:dyDescent="0.25">
      <c r="A800" s="8"/>
      <c r="B800" s="8"/>
      <c r="C800" s="8"/>
      <c r="D800" s="8"/>
      <c r="E800" s="9"/>
      <c r="F800" s="8"/>
      <c r="G800" s="8"/>
      <c r="H800" s="8"/>
    </row>
    <row r="801" spans="1:8" ht="14.25" customHeight="1" x14ac:dyDescent="0.25">
      <c r="A801" s="8"/>
      <c r="B801" s="8"/>
      <c r="C801" s="8"/>
      <c r="D801" s="8"/>
      <c r="E801" s="9"/>
      <c r="F801" s="8"/>
      <c r="G801" s="8"/>
      <c r="H801" s="8"/>
    </row>
    <row r="802" spans="1:8" ht="14.25" customHeight="1" x14ac:dyDescent="0.25">
      <c r="A802" s="8"/>
      <c r="B802" s="8"/>
      <c r="C802" s="8"/>
      <c r="D802" s="8"/>
      <c r="E802" s="9"/>
      <c r="F802" s="8"/>
      <c r="G802" s="8"/>
      <c r="H802" s="8"/>
    </row>
    <row r="803" spans="1:8" ht="14.25" customHeight="1" x14ac:dyDescent="0.25">
      <c r="A803" s="8"/>
      <c r="B803" s="8"/>
      <c r="C803" s="8"/>
      <c r="D803" s="8"/>
      <c r="E803" s="9"/>
      <c r="F803" s="8"/>
      <c r="G803" s="8"/>
      <c r="H803" s="8"/>
    </row>
    <row r="804" spans="1:8" ht="14.25" customHeight="1" x14ac:dyDescent="0.25">
      <c r="A804" s="8"/>
      <c r="B804" s="8"/>
      <c r="C804" s="8"/>
      <c r="D804" s="8"/>
      <c r="E804" s="9"/>
      <c r="F804" s="8"/>
      <c r="G804" s="8"/>
      <c r="H804" s="8"/>
    </row>
    <row r="805" spans="1:8" ht="14.25" customHeight="1" x14ac:dyDescent="0.25">
      <c r="A805" s="8"/>
      <c r="B805" s="8"/>
      <c r="C805" s="8"/>
      <c r="D805" s="8"/>
      <c r="E805" s="9"/>
      <c r="F805" s="8"/>
      <c r="G805" s="8"/>
      <c r="H805" s="8"/>
    </row>
    <row r="806" spans="1:8" ht="14.25" customHeight="1" x14ac:dyDescent="0.25">
      <c r="A806" s="8"/>
      <c r="B806" s="8"/>
      <c r="C806" s="8"/>
      <c r="D806" s="8"/>
      <c r="E806" s="9"/>
      <c r="F806" s="8"/>
      <c r="G806" s="8"/>
      <c r="H806" s="8"/>
    </row>
    <row r="807" spans="1:8" ht="14.25" customHeight="1" x14ac:dyDescent="0.25">
      <c r="A807" s="8"/>
      <c r="B807" s="8"/>
      <c r="C807" s="8"/>
      <c r="D807" s="8"/>
      <c r="E807" s="9"/>
      <c r="F807" s="8"/>
      <c r="G807" s="8"/>
      <c r="H807" s="8"/>
    </row>
    <row r="808" spans="1:8" ht="14.25" customHeight="1" x14ac:dyDescent="0.25">
      <c r="A808" s="8"/>
      <c r="B808" s="8"/>
      <c r="C808" s="8"/>
      <c r="D808" s="8"/>
      <c r="E808" s="9"/>
      <c r="F808" s="8"/>
      <c r="G808" s="8"/>
      <c r="H808" s="8"/>
    </row>
    <row r="809" spans="1:8" ht="14.25" customHeight="1" x14ac:dyDescent="0.25">
      <c r="A809" s="8"/>
      <c r="B809" s="8"/>
      <c r="C809" s="8"/>
      <c r="D809" s="8"/>
      <c r="E809" s="9"/>
      <c r="F809" s="8"/>
      <c r="G809" s="8"/>
      <c r="H809" s="8"/>
    </row>
    <row r="810" spans="1:8" ht="14.25" customHeight="1" x14ac:dyDescent="0.25">
      <c r="A810" s="8"/>
      <c r="B810" s="8"/>
      <c r="C810" s="8"/>
      <c r="D810" s="8"/>
      <c r="E810" s="9"/>
      <c r="F810" s="8"/>
      <c r="G810" s="8"/>
      <c r="H810" s="8"/>
    </row>
    <row r="811" spans="1:8" ht="14.25" customHeight="1" x14ac:dyDescent="0.25">
      <c r="A811" s="8"/>
      <c r="B811" s="8"/>
      <c r="C811" s="8"/>
      <c r="D811" s="8"/>
      <c r="E811" s="9"/>
      <c r="F811" s="8"/>
      <c r="G811" s="8"/>
      <c r="H811" s="8"/>
    </row>
    <row r="812" spans="1:8" ht="14.25" customHeight="1" x14ac:dyDescent="0.25">
      <c r="A812" s="8"/>
      <c r="B812" s="8"/>
      <c r="C812" s="8"/>
      <c r="D812" s="8"/>
      <c r="E812" s="9"/>
      <c r="F812" s="8"/>
      <c r="G812" s="8"/>
      <c r="H812" s="8"/>
    </row>
    <row r="813" spans="1:8" ht="14.25" customHeight="1" x14ac:dyDescent="0.25">
      <c r="A813" s="8"/>
      <c r="B813" s="8"/>
      <c r="C813" s="8"/>
      <c r="D813" s="8"/>
      <c r="E813" s="9"/>
      <c r="F813" s="8"/>
      <c r="G813" s="8"/>
      <c r="H813" s="8"/>
    </row>
    <row r="814" spans="1:8" ht="14.25" customHeight="1" x14ac:dyDescent="0.25">
      <c r="A814" s="8"/>
      <c r="B814" s="8"/>
      <c r="C814" s="8"/>
      <c r="D814" s="8"/>
      <c r="E814" s="9"/>
      <c r="F814" s="8"/>
      <c r="G814" s="8"/>
      <c r="H814" s="8"/>
    </row>
    <row r="815" spans="1:8" ht="14.25" customHeight="1" x14ac:dyDescent="0.25">
      <c r="A815" s="8"/>
      <c r="B815" s="8"/>
      <c r="C815" s="8"/>
      <c r="D815" s="8"/>
      <c r="E815" s="9"/>
      <c r="F815" s="8"/>
      <c r="G815" s="8"/>
      <c r="H815" s="8"/>
    </row>
    <row r="816" spans="1:8" ht="14.25" customHeight="1" x14ac:dyDescent="0.25">
      <c r="A816" s="8"/>
      <c r="B816" s="8"/>
      <c r="C816" s="8"/>
      <c r="D816" s="8"/>
      <c r="E816" s="9"/>
      <c r="F816" s="8"/>
      <c r="G816" s="8"/>
      <c r="H816" s="8"/>
    </row>
    <row r="817" spans="1:8" ht="14.25" customHeight="1" x14ac:dyDescent="0.25">
      <c r="A817" s="8"/>
      <c r="B817" s="8"/>
      <c r="C817" s="8"/>
      <c r="D817" s="8"/>
      <c r="E817" s="9"/>
      <c r="F817" s="8"/>
      <c r="G817" s="8"/>
      <c r="H817" s="8"/>
    </row>
    <row r="818" spans="1:8" ht="14.25" customHeight="1" x14ac:dyDescent="0.25">
      <c r="A818" s="8"/>
      <c r="B818" s="8"/>
      <c r="C818" s="8"/>
      <c r="D818" s="8"/>
      <c r="E818" s="9"/>
      <c r="F818" s="8"/>
      <c r="G818" s="8"/>
      <c r="H818" s="8"/>
    </row>
    <row r="819" spans="1:8" ht="14.25" customHeight="1" x14ac:dyDescent="0.25">
      <c r="A819" s="8"/>
      <c r="B819" s="8"/>
      <c r="C819" s="8"/>
      <c r="D819" s="8"/>
      <c r="E819" s="9"/>
      <c r="F819" s="8"/>
      <c r="G819" s="8"/>
      <c r="H819" s="8"/>
    </row>
    <row r="820" spans="1:8" ht="14.25" customHeight="1" x14ac:dyDescent="0.25">
      <c r="A820" s="8"/>
      <c r="B820" s="8"/>
      <c r="C820" s="8"/>
      <c r="D820" s="8"/>
      <c r="E820" s="9"/>
      <c r="F820" s="8"/>
      <c r="G820" s="8"/>
      <c r="H820" s="8"/>
    </row>
    <row r="821" spans="1:8" ht="14.25" customHeight="1" x14ac:dyDescent="0.25">
      <c r="A821" s="8"/>
      <c r="B821" s="8"/>
      <c r="C821" s="8"/>
      <c r="D821" s="8"/>
      <c r="E821" s="9"/>
      <c r="F821" s="8"/>
      <c r="G821" s="8"/>
      <c r="H821" s="8"/>
    </row>
    <row r="822" spans="1:8" ht="14.25" customHeight="1" x14ac:dyDescent="0.25">
      <c r="A822" s="8"/>
      <c r="B822" s="8"/>
      <c r="C822" s="8"/>
      <c r="D822" s="8"/>
      <c r="E822" s="9"/>
      <c r="F822" s="8"/>
      <c r="G822" s="8"/>
      <c r="H822" s="8"/>
    </row>
    <row r="823" spans="1:8" ht="14.25" customHeight="1" x14ac:dyDescent="0.25">
      <c r="A823" s="8"/>
      <c r="B823" s="8"/>
      <c r="C823" s="8"/>
      <c r="D823" s="8"/>
      <c r="E823" s="9"/>
      <c r="F823" s="8"/>
      <c r="G823" s="8"/>
      <c r="H823" s="8"/>
    </row>
    <row r="824" spans="1:8" ht="14.25" customHeight="1" x14ac:dyDescent="0.25">
      <c r="A824" s="8"/>
      <c r="B824" s="8"/>
      <c r="C824" s="8"/>
      <c r="D824" s="8"/>
      <c r="E824" s="9"/>
      <c r="F824" s="8"/>
      <c r="G824" s="8"/>
      <c r="H824" s="8"/>
    </row>
    <row r="825" spans="1:8" ht="14.25" customHeight="1" x14ac:dyDescent="0.25">
      <c r="A825" s="8"/>
      <c r="B825" s="8"/>
      <c r="C825" s="8"/>
      <c r="D825" s="8"/>
      <c r="E825" s="9"/>
      <c r="F825" s="8"/>
      <c r="G825" s="8"/>
      <c r="H825" s="8"/>
    </row>
    <row r="826" spans="1:8" ht="14.25" customHeight="1" x14ac:dyDescent="0.25">
      <c r="A826" s="8"/>
      <c r="B826" s="8"/>
      <c r="C826" s="8"/>
      <c r="D826" s="8"/>
      <c r="E826" s="9"/>
      <c r="F826" s="8"/>
      <c r="G826" s="8"/>
      <c r="H826" s="8"/>
    </row>
    <row r="827" spans="1:8" ht="14.25" customHeight="1" x14ac:dyDescent="0.25">
      <c r="A827" s="8"/>
      <c r="B827" s="8"/>
      <c r="C827" s="8"/>
      <c r="D827" s="8"/>
      <c r="E827" s="9"/>
      <c r="F827" s="8"/>
      <c r="G827" s="8"/>
      <c r="H827" s="8"/>
    </row>
    <row r="828" spans="1:8" ht="14.25" customHeight="1" x14ac:dyDescent="0.25">
      <c r="A828" s="8"/>
      <c r="B828" s="8"/>
      <c r="C828" s="8"/>
      <c r="D828" s="8"/>
      <c r="E828" s="9"/>
      <c r="F828" s="8"/>
      <c r="G828" s="8"/>
      <c r="H828" s="8"/>
    </row>
    <row r="829" spans="1:8" ht="14.25" customHeight="1" x14ac:dyDescent="0.25">
      <c r="A829" s="8"/>
      <c r="B829" s="8"/>
      <c r="C829" s="8"/>
      <c r="D829" s="8"/>
      <c r="E829" s="9"/>
      <c r="F829" s="8"/>
      <c r="G829" s="8"/>
      <c r="H829" s="8"/>
    </row>
    <row r="830" spans="1:8" ht="14.25" customHeight="1" x14ac:dyDescent="0.25">
      <c r="A830" s="8"/>
      <c r="B830" s="8"/>
      <c r="C830" s="8"/>
      <c r="D830" s="8"/>
      <c r="E830" s="9"/>
      <c r="F830" s="8"/>
      <c r="G830" s="8"/>
      <c r="H830" s="8"/>
    </row>
    <row r="831" spans="1:8" ht="14.25" customHeight="1" x14ac:dyDescent="0.25">
      <c r="A831" s="8"/>
      <c r="B831" s="8"/>
      <c r="C831" s="8"/>
      <c r="D831" s="8"/>
      <c r="E831" s="9"/>
      <c r="F831" s="8"/>
      <c r="G831" s="8"/>
      <c r="H831" s="8"/>
    </row>
    <row r="832" spans="1:8" ht="14.25" customHeight="1" x14ac:dyDescent="0.25">
      <c r="A832" s="8"/>
      <c r="B832" s="8"/>
      <c r="C832" s="8"/>
      <c r="D832" s="8"/>
      <c r="E832" s="9"/>
      <c r="F832" s="8"/>
      <c r="G832" s="8"/>
      <c r="H832" s="8"/>
    </row>
    <row r="833" spans="1:8" ht="14.25" customHeight="1" x14ac:dyDescent="0.25">
      <c r="A833" s="8"/>
      <c r="B833" s="8"/>
      <c r="C833" s="8"/>
      <c r="D833" s="8"/>
      <c r="E833" s="9"/>
      <c r="F833" s="8"/>
      <c r="G833" s="8"/>
      <c r="H833" s="8"/>
    </row>
    <row r="834" spans="1:8" ht="14.25" customHeight="1" x14ac:dyDescent="0.25">
      <c r="A834" s="8"/>
      <c r="B834" s="8"/>
      <c r="C834" s="8"/>
      <c r="D834" s="8"/>
      <c r="E834" s="9"/>
      <c r="F834" s="8"/>
      <c r="G834" s="8"/>
      <c r="H834" s="8"/>
    </row>
    <row r="835" spans="1:8" ht="14.25" customHeight="1" x14ac:dyDescent="0.25">
      <c r="A835" s="8"/>
      <c r="B835" s="8"/>
      <c r="C835" s="8"/>
      <c r="D835" s="8"/>
      <c r="E835" s="9"/>
      <c r="F835" s="8"/>
      <c r="G835" s="8"/>
      <c r="H835" s="8"/>
    </row>
    <row r="836" spans="1:8" ht="14.25" customHeight="1" x14ac:dyDescent="0.25">
      <c r="A836" s="8"/>
      <c r="B836" s="8"/>
      <c r="C836" s="8"/>
      <c r="D836" s="8"/>
      <c r="E836" s="9"/>
      <c r="F836" s="8"/>
      <c r="G836" s="8"/>
      <c r="H836" s="8"/>
    </row>
    <row r="837" spans="1:8" ht="14.25" customHeight="1" x14ac:dyDescent="0.25">
      <c r="A837" s="8"/>
      <c r="B837" s="8"/>
      <c r="C837" s="8"/>
      <c r="D837" s="8"/>
      <c r="E837" s="9"/>
      <c r="F837" s="8"/>
      <c r="G837" s="8"/>
      <c r="H837" s="8"/>
    </row>
    <row r="838" spans="1:8" ht="14.25" customHeight="1" x14ac:dyDescent="0.25">
      <c r="A838" s="8"/>
      <c r="B838" s="8"/>
      <c r="C838" s="8"/>
      <c r="D838" s="8"/>
      <c r="E838" s="9"/>
      <c r="F838" s="8"/>
      <c r="G838" s="8"/>
      <c r="H838" s="8"/>
    </row>
    <row r="839" spans="1:8" ht="14.25" customHeight="1" x14ac:dyDescent="0.25">
      <c r="A839" s="8"/>
      <c r="B839" s="8"/>
      <c r="C839" s="8"/>
      <c r="D839" s="8"/>
      <c r="E839" s="9"/>
      <c r="F839" s="8"/>
      <c r="G839" s="8"/>
      <c r="H839" s="8"/>
    </row>
    <row r="840" spans="1:8" ht="14.25" customHeight="1" x14ac:dyDescent="0.25">
      <c r="A840" s="8"/>
      <c r="B840" s="8"/>
      <c r="C840" s="8"/>
      <c r="D840" s="8"/>
      <c r="E840" s="9"/>
      <c r="F840" s="8"/>
      <c r="G840" s="8"/>
      <c r="H840" s="8"/>
    </row>
    <row r="841" spans="1:8" ht="14.25" customHeight="1" x14ac:dyDescent="0.25">
      <c r="A841" s="8"/>
      <c r="B841" s="8"/>
      <c r="C841" s="8"/>
      <c r="D841" s="8"/>
      <c r="E841" s="9"/>
      <c r="F841" s="8"/>
      <c r="G841" s="8"/>
      <c r="H841" s="8"/>
    </row>
    <row r="842" spans="1:8" ht="14.25" customHeight="1" x14ac:dyDescent="0.25">
      <c r="A842" s="8"/>
      <c r="B842" s="8"/>
      <c r="C842" s="8"/>
      <c r="D842" s="8"/>
      <c r="E842" s="9"/>
      <c r="F842" s="8"/>
      <c r="G842" s="8"/>
      <c r="H842" s="8"/>
    </row>
    <row r="843" spans="1:8" ht="14.25" customHeight="1" x14ac:dyDescent="0.25">
      <c r="A843" s="8"/>
      <c r="B843" s="8"/>
      <c r="C843" s="8"/>
      <c r="D843" s="8"/>
      <c r="E843" s="9"/>
      <c r="F843" s="8"/>
      <c r="G843" s="8"/>
      <c r="H843" s="8"/>
    </row>
    <row r="844" spans="1:8" ht="14.25" customHeight="1" x14ac:dyDescent="0.25">
      <c r="A844" s="8"/>
      <c r="B844" s="8"/>
      <c r="C844" s="8"/>
      <c r="D844" s="8"/>
      <c r="E844" s="9"/>
      <c r="F844" s="8"/>
      <c r="G844" s="8"/>
      <c r="H844" s="8"/>
    </row>
    <row r="845" spans="1:8" ht="14.25" customHeight="1" x14ac:dyDescent="0.25">
      <c r="A845" s="8"/>
      <c r="B845" s="8"/>
      <c r="C845" s="8"/>
      <c r="D845" s="8"/>
      <c r="E845" s="9"/>
      <c r="F845" s="8"/>
      <c r="G845" s="8"/>
      <c r="H845" s="8"/>
    </row>
    <row r="846" spans="1:8" ht="14.25" customHeight="1" x14ac:dyDescent="0.25">
      <c r="A846" s="8"/>
      <c r="B846" s="8"/>
      <c r="C846" s="8"/>
      <c r="D846" s="8"/>
      <c r="E846" s="9"/>
      <c r="F846" s="8"/>
      <c r="G846" s="8"/>
      <c r="H846" s="8"/>
    </row>
    <row r="847" spans="1:8" ht="14.25" customHeight="1" x14ac:dyDescent="0.25">
      <c r="A847" s="8"/>
      <c r="B847" s="8"/>
      <c r="C847" s="8"/>
      <c r="D847" s="8"/>
      <c r="E847" s="9"/>
      <c r="F847" s="8"/>
      <c r="G847" s="8"/>
      <c r="H847" s="8"/>
    </row>
    <row r="848" spans="1:8" ht="14.25" customHeight="1" x14ac:dyDescent="0.25">
      <c r="A848" s="8"/>
      <c r="B848" s="8"/>
      <c r="C848" s="8"/>
      <c r="D848" s="8"/>
      <c r="E848" s="9"/>
      <c r="F848" s="8"/>
      <c r="G848" s="8"/>
      <c r="H848" s="8"/>
    </row>
    <row r="849" spans="1:8" ht="14.25" customHeight="1" x14ac:dyDescent="0.25">
      <c r="A849" s="8"/>
      <c r="B849" s="8"/>
      <c r="C849" s="8"/>
      <c r="D849" s="8"/>
      <c r="E849" s="9"/>
      <c r="F849" s="8"/>
      <c r="G849" s="8"/>
      <c r="H849" s="8"/>
    </row>
    <row r="850" spans="1:8" ht="14.25" customHeight="1" x14ac:dyDescent="0.25">
      <c r="A850" s="8"/>
      <c r="B850" s="8"/>
      <c r="C850" s="8"/>
      <c r="D850" s="8"/>
      <c r="E850" s="9"/>
      <c r="F850" s="8"/>
      <c r="G850" s="8"/>
      <c r="H850" s="8"/>
    </row>
    <row r="851" spans="1:8" ht="14.25" customHeight="1" x14ac:dyDescent="0.25">
      <c r="A851" s="8"/>
      <c r="B851" s="8"/>
      <c r="C851" s="8"/>
      <c r="D851" s="8"/>
      <c r="E851" s="9"/>
      <c r="F851" s="8"/>
      <c r="G851" s="8"/>
      <c r="H851" s="8"/>
    </row>
    <row r="852" spans="1:8" ht="14.25" customHeight="1" x14ac:dyDescent="0.25">
      <c r="A852" s="8"/>
      <c r="B852" s="8"/>
      <c r="C852" s="8"/>
      <c r="D852" s="8"/>
      <c r="E852" s="9"/>
      <c r="F852" s="8"/>
      <c r="G852" s="8"/>
      <c r="H852" s="8"/>
    </row>
    <row r="853" spans="1:8" ht="14.25" customHeight="1" x14ac:dyDescent="0.25">
      <c r="A853" s="8"/>
      <c r="B853" s="8"/>
      <c r="C853" s="8"/>
      <c r="D853" s="8"/>
      <c r="E853" s="9"/>
      <c r="F853" s="8"/>
      <c r="G853" s="8"/>
      <c r="H853" s="8"/>
    </row>
    <row r="854" spans="1:8" ht="14.25" customHeight="1" x14ac:dyDescent="0.25">
      <c r="A854" s="8"/>
      <c r="B854" s="8"/>
      <c r="C854" s="8"/>
      <c r="D854" s="8"/>
      <c r="E854" s="9"/>
      <c r="F854" s="8"/>
      <c r="G854" s="8"/>
      <c r="H854" s="8"/>
    </row>
    <row r="855" spans="1:8" ht="14.25" customHeight="1" x14ac:dyDescent="0.25">
      <c r="A855" s="8"/>
      <c r="B855" s="8"/>
      <c r="C855" s="8"/>
      <c r="D855" s="8"/>
      <c r="E855" s="9"/>
      <c r="F855" s="8"/>
      <c r="G855" s="8"/>
      <c r="H855" s="8"/>
    </row>
    <row r="856" spans="1:8" ht="14.25" customHeight="1" x14ac:dyDescent="0.25">
      <c r="A856" s="8"/>
      <c r="B856" s="8"/>
      <c r="C856" s="8"/>
      <c r="D856" s="8"/>
      <c r="E856" s="9"/>
      <c r="F856" s="8"/>
      <c r="G856" s="8"/>
      <c r="H856" s="8"/>
    </row>
    <row r="857" spans="1:8" ht="14.25" customHeight="1" x14ac:dyDescent="0.25">
      <c r="A857" s="8"/>
      <c r="B857" s="8"/>
      <c r="C857" s="8"/>
      <c r="D857" s="8"/>
      <c r="E857" s="9"/>
      <c r="F857" s="8"/>
      <c r="G857" s="8"/>
      <c r="H857" s="8"/>
    </row>
    <row r="858" spans="1:8" ht="14.25" customHeight="1" x14ac:dyDescent="0.25">
      <c r="A858" s="8"/>
      <c r="B858" s="8"/>
      <c r="C858" s="8"/>
      <c r="D858" s="8"/>
      <c r="E858" s="9"/>
      <c r="F858" s="8"/>
      <c r="G858" s="8"/>
      <c r="H858" s="8"/>
    </row>
    <row r="859" spans="1:8" ht="14.25" customHeight="1" x14ac:dyDescent="0.25">
      <c r="A859" s="8"/>
      <c r="B859" s="8"/>
      <c r="C859" s="8"/>
      <c r="D859" s="8"/>
      <c r="E859" s="9"/>
      <c r="F859" s="8"/>
      <c r="G859" s="8"/>
      <c r="H859" s="8"/>
    </row>
    <row r="860" spans="1:8" ht="14.25" customHeight="1" x14ac:dyDescent="0.25">
      <c r="A860" s="8"/>
      <c r="B860" s="8"/>
      <c r="C860" s="8"/>
      <c r="D860" s="8"/>
      <c r="E860" s="9"/>
      <c r="F860" s="8"/>
      <c r="G860" s="8"/>
      <c r="H860" s="8"/>
    </row>
    <row r="861" spans="1:8" ht="14.25" customHeight="1" x14ac:dyDescent="0.25">
      <c r="A861" s="8"/>
      <c r="B861" s="8"/>
      <c r="C861" s="8"/>
      <c r="D861" s="8"/>
      <c r="E861" s="9"/>
      <c r="F861" s="8"/>
      <c r="G861" s="8"/>
      <c r="H861" s="8"/>
    </row>
    <row r="862" spans="1:8" ht="14.25" customHeight="1" x14ac:dyDescent="0.25">
      <c r="A862" s="8"/>
      <c r="B862" s="8"/>
      <c r="C862" s="8"/>
      <c r="D862" s="8"/>
      <c r="E862" s="9"/>
      <c r="F862" s="8"/>
      <c r="G862" s="8"/>
      <c r="H862" s="8"/>
    </row>
    <row r="863" spans="1:8" ht="14.25" customHeight="1" x14ac:dyDescent="0.25">
      <c r="A863" s="8"/>
      <c r="B863" s="8"/>
      <c r="C863" s="8"/>
      <c r="D863" s="8"/>
      <c r="E863" s="9"/>
      <c r="F863" s="8"/>
      <c r="G863" s="8"/>
      <c r="H863" s="8"/>
    </row>
    <row r="864" spans="1:8" ht="14.25" customHeight="1" x14ac:dyDescent="0.25">
      <c r="A864" s="8"/>
      <c r="B864" s="8"/>
      <c r="C864" s="8"/>
      <c r="D864" s="8"/>
      <c r="E864" s="9"/>
      <c r="F864" s="8"/>
      <c r="G864" s="8"/>
      <c r="H864" s="8"/>
    </row>
    <row r="865" spans="1:8" ht="14.25" customHeight="1" x14ac:dyDescent="0.25">
      <c r="A865" s="8"/>
      <c r="B865" s="8"/>
      <c r="C865" s="8"/>
      <c r="D865" s="8"/>
      <c r="E865" s="9"/>
      <c r="F865" s="8"/>
      <c r="G865" s="8"/>
      <c r="H865" s="8"/>
    </row>
    <row r="866" spans="1:8" ht="14.25" customHeight="1" x14ac:dyDescent="0.25">
      <c r="A866" s="8"/>
      <c r="B866" s="8"/>
      <c r="C866" s="8"/>
      <c r="D866" s="8"/>
      <c r="E866" s="9"/>
      <c r="F866" s="8"/>
      <c r="G866" s="8"/>
      <c r="H866" s="8"/>
    </row>
    <row r="867" spans="1:8" ht="14.25" customHeight="1" x14ac:dyDescent="0.25">
      <c r="A867" s="8"/>
      <c r="B867" s="8"/>
      <c r="C867" s="8"/>
      <c r="D867" s="8"/>
      <c r="E867" s="9"/>
      <c r="F867" s="8"/>
      <c r="G867" s="8"/>
      <c r="H867" s="8"/>
    </row>
    <row r="868" spans="1:8" ht="14.25" customHeight="1" x14ac:dyDescent="0.25">
      <c r="A868" s="8"/>
      <c r="B868" s="8"/>
      <c r="C868" s="8"/>
      <c r="D868" s="8"/>
      <c r="E868" s="9"/>
      <c r="F868" s="8"/>
      <c r="G868" s="8"/>
      <c r="H868" s="8"/>
    </row>
    <row r="869" spans="1:8" ht="14.25" customHeight="1" x14ac:dyDescent="0.25">
      <c r="A869" s="8"/>
      <c r="B869" s="8"/>
      <c r="C869" s="8"/>
      <c r="D869" s="8"/>
      <c r="E869" s="9"/>
      <c r="F869" s="8"/>
      <c r="G869" s="8"/>
      <c r="H869" s="8"/>
    </row>
    <row r="870" spans="1:8" ht="14.25" customHeight="1" x14ac:dyDescent="0.25">
      <c r="A870" s="8"/>
      <c r="B870" s="8"/>
      <c r="C870" s="8"/>
      <c r="D870" s="8"/>
      <c r="E870" s="9"/>
      <c r="F870" s="8"/>
      <c r="G870" s="8"/>
      <c r="H870" s="8"/>
    </row>
    <row r="871" spans="1:8" ht="14.25" customHeight="1" x14ac:dyDescent="0.25">
      <c r="A871" s="8"/>
      <c r="B871" s="8"/>
      <c r="C871" s="8"/>
      <c r="D871" s="8"/>
      <c r="E871" s="9"/>
      <c r="F871" s="8"/>
      <c r="G871" s="8"/>
      <c r="H871" s="8"/>
    </row>
    <row r="872" spans="1:8" ht="14.25" customHeight="1" x14ac:dyDescent="0.25">
      <c r="A872" s="8"/>
      <c r="B872" s="8"/>
      <c r="C872" s="8"/>
      <c r="D872" s="8"/>
      <c r="E872" s="9"/>
      <c r="F872" s="8"/>
      <c r="G872" s="8"/>
      <c r="H872" s="8"/>
    </row>
    <row r="873" spans="1:8" ht="14.25" customHeight="1" x14ac:dyDescent="0.25">
      <c r="A873" s="8"/>
      <c r="B873" s="8"/>
      <c r="C873" s="8"/>
      <c r="D873" s="8"/>
      <c r="E873" s="9"/>
      <c r="F873" s="8"/>
      <c r="G873" s="8"/>
      <c r="H873" s="8"/>
    </row>
    <row r="874" spans="1:8" ht="14.25" customHeight="1" x14ac:dyDescent="0.25">
      <c r="A874" s="8"/>
      <c r="B874" s="8"/>
      <c r="C874" s="8"/>
      <c r="D874" s="8"/>
      <c r="E874" s="9"/>
      <c r="F874" s="8"/>
      <c r="G874" s="8"/>
      <c r="H874" s="8"/>
    </row>
    <row r="875" spans="1:8" ht="14.25" customHeight="1" x14ac:dyDescent="0.25">
      <c r="A875" s="8"/>
      <c r="B875" s="8"/>
      <c r="C875" s="8"/>
      <c r="D875" s="8"/>
      <c r="E875" s="9"/>
      <c r="F875" s="8"/>
      <c r="G875" s="8"/>
      <c r="H875" s="8"/>
    </row>
    <row r="876" spans="1:8" ht="14.25" customHeight="1" x14ac:dyDescent="0.25">
      <c r="A876" s="8"/>
      <c r="B876" s="8"/>
      <c r="C876" s="8"/>
      <c r="D876" s="8"/>
      <c r="E876" s="9"/>
      <c r="F876" s="8"/>
      <c r="G876" s="8"/>
      <c r="H876" s="8"/>
    </row>
    <row r="877" spans="1:8" ht="14.25" customHeight="1" x14ac:dyDescent="0.25">
      <c r="A877" s="8"/>
      <c r="B877" s="8"/>
      <c r="C877" s="8"/>
      <c r="D877" s="8"/>
      <c r="E877" s="9"/>
      <c r="F877" s="8"/>
      <c r="G877" s="8"/>
      <c r="H877" s="8"/>
    </row>
    <row r="878" spans="1:8" ht="14.25" customHeight="1" x14ac:dyDescent="0.25">
      <c r="A878" s="8"/>
      <c r="B878" s="8"/>
      <c r="C878" s="8"/>
      <c r="D878" s="8"/>
      <c r="E878" s="9"/>
      <c r="F878" s="8"/>
      <c r="G878" s="8"/>
      <c r="H878" s="8"/>
    </row>
    <row r="879" spans="1:8" ht="14.25" customHeight="1" x14ac:dyDescent="0.25">
      <c r="A879" s="8"/>
      <c r="B879" s="8"/>
      <c r="C879" s="8"/>
      <c r="D879" s="8"/>
      <c r="E879" s="9"/>
      <c r="F879" s="8"/>
      <c r="G879" s="8"/>
      <c r="H879" s="8"/>
    </row>
    <row r="880" spans="1:8" ht="14.25" customHeight="1" x14ac:dyDescent="0.25">
      <c r="A880" s="8"/>
      <c r="B880" s="8"/>
      <c r="C880" s="8"/>
      <c r="D880" s="8"/>
      <c r="E880" s="9"/>
      <c r="F880" s="8"/>
      <c r="G880" s="8"/>
      <c r="H880" s="8"/>
    </row>
    <row r="881" spans="1:8" ht="14.25" customHeight="1" x14ac:dyDescent="0.25">
      <c r="A881" s="8"/>
      <c r="B881" s="8"/>
      <c r="C881" s="8"/>
      <c r="D881" s="8"/>
      <c r="E881" s="9"/>
      <c r="F881" s="8"/>
      <c r="G881" s="8"/>
      <c r="H881" s="8"/>
    </row>
    <row r="882" spans="1:8" ht="14.25" customHeight="1" x14ac:dyDescent="0.25">
      <c r="A882" s="8"/>
      <c r="B882" s="8"/>
      <c r="C882" s="8"/>
      <c r="D882" s="8"/>
      <c r="E882" s="9"/>
      <c r="F882" s="8"/>
      <c r="G882" s="8"/>
      <c r="H882" s="8"/>
    </row>
    <row r="883" spans="1:8" ht="14.25" customHeight="1" x14ac:dyDescent="0.25">
      <c r="A883" s="8"/>
      <c r="B883" s="8"/>
      <c r="C883" s="8"/>
      <c r="D883" s="8"/>
      <c r="E883" s="9"/>
      <c r="F883" s="8"/>
      <c r="G883" s="8"/>
      <c r="H883" s="8"/>
    </row>
    <row r="884" spans="1:8" ht="14.25" customHeight="1" x14ac:dyDescent="0.25">
      <c r="A884" s="8"/>
      <c r="B884" s="8"/>
      <c r="C884" s="8"/>
      <c r="D884" s="8"/>
      <c r="E884" s="9"/>
      <c r="F884" s="8"/>
      <c r="G884" s="8"/>
      <c r="H884" s="8"/>
    </row>
    <row r="885" spans="1:8" ht="14.25" customHeight="1" x14ac:dyDescent="0.25">
      <c r="A885" s="8"/>
      <c r="B885" s="8"/>
      <c r="C885" s="8"/>
      <c r="D885" s="8"/>
      <c r="E885" s="9"/>
      <c r="F885" s="8"/>
      <c r="G885" s="8"/>
      <c r="H885" s="8"/>
    </row>
    <row r="886" spans="1:8" ht="14.25" customHeight="1" x14ac:dyDescent="0.25">
      <c r="A886" s="8"/>
      <c r="B886" s="8"/>
      <c r="C886" s="8"/>
      <c r="D886" s="8"/>
      <c r="E886" s="9"/>
      <c r="F886" s="8"/>
      <c r="G886" s="8"/>
      <c r="H886" s="8"/>
    </row>
    <row r="887" spans="1:8" ht="14.25" customHeight="1" x14ac:dyDescent="0.25">
      <c r="A887" s="8"/>
      <c r="B887" s="8"/>
      <c r="C887" s="8"/>
      <c r="D887" s="8"/>
      <c r="E887" s="9"/>
      <c r="F887" s="8"/>
      <c r="G887" s="8"/>
      <c r="H887" s="8"/>
    </row>
    <row r="888" spans="1:8" ht="14.25" customHeight="1" x14ac:dyDescent="0.25">
      <c r="A888" s="8"/>
      <c r="B888" s="8"/>
      <c r="C888" s="8"/>
      <c r="D888" s="8"/>
      <c r="E888" s="9"/>
      <c r="F888" s="8"/>
      <c r="G888" s="8"/>
      <c r="H888" s="8"/>
    </row>
    <row r="889" spans="1:8" ht="14.25" customHeight="1" x14ac:dyDescent="0.25">
      <c r="A889" s="8"/>
      <c r="B889" s="8"/>
      <c r="C889" s="8"/>
      <c r="D889" s="8"/>
      <c r="E889" s="9"/>
      <c r="F889" s="8"/>
      <c r="G889" s="8"/>
      <c r="H889" s="8"/>
    </row>
    <row r="890" spans="1:8" ht="14.25" customHeight="1" x14ac:dyDescent="0.25">
      <c r="A890" s="8"/>
      <c r="B890" s="8"/>
      <c r="C890" s="8"/>
      <c r="D890" s="8"/>
      <c r="E890" s="9"/>
      <c r="F890" s="8"/>
      <c r="G890" s="8"/>
      <c r="H890" s="8"/>
    </row>
    <row r="891" spans="1:8" ht="14.25" customHeight="1" x14ac:dyDescent="0.25">
      <c r="A891" s="8"/>
      <c r="B891" s="8"/>
      <c r="C891" s="8"/>
      <c r="D891" s="8"/>
      <c r="E891" s="9"/>
      <c r="F891" s="8"/>
      <c r="G891" s="8"/>
      <c r="H891" s="8"/>
    </row>
    <row r="892" spans="1:8" ht="14.25" customHeight="1" x14ac:dyDescent="0.25">
      <c r="A892" s="8"/>
      <c r="B892" s="8"/>
      <c r="C892" s="8"/>
      <c r="D892" s="8"/>
      <c r="E892" s="9"/>
      <c r="F892" s="8"/>
      <c r="G892" s="8"/>
      <c r="H892" s="8"/>
    </row>
    <row r="893" spans="1:8" ht="14.25" customHeight="1" x14ac:dyDescent="0.25">
      <c r="A893" s="8"/>
      <c r="B893" s="8"/>
      <c r="C893" s="8"/>
      <c r="D893" s="8"/>
      <c r="E893" s="9"/>
      <c r="F893" s="8"/>
      <c r="G893" s="8"/>
      <c r="H893" s="8"/>
    </row>
    <row r="894" spans="1:8" ht="14.25" customHeight="1" x14ac:dyDescent="0.25">
      <c r="A894" s="8"/>
      <c r="B894" s="8"/>
      <c r="C894" s="8"/>
      <c r="D894" s="8"/>
      <c r="E894" s="9"/>
      <c r="F894" s="8"/>
      <c r="G894" s="8"/>
      <c r="H894" s="8"/>
    </row>
    <row r="895" spans="1:8" ht="14.25" customHeight="1" x14ac:dyDescent="0.25">
      <c r="A895" s="8"/>
      <c r="B895" s="8"/>
      <c r="C895" s="8"/>
      <c r="D895" s="8"/>
      <c r="E895" s="9"/>
      <c r="F895" s="8"/>
      <c r="G895" s="8"/>
      <c r="H895" s="8"/>
    </row>
    <row r="896" spans="1:8" ht="14.25" customHeight="1" x14ac:dyDescent="0.25">
      <c r="A896" s="8"/>
      <c r="B896" s="8"/>
      <c r="C896" s="8"/>
      <c r="D896" s="8"/>
      <c r="E896" s="9"/>
      <c r="F896" s="8"/>
      <c r="G896" s="8"/>
      <c r="H896" s="8"/>
    </row>
    <row r="897" spans="1:8" ht="14.25" customHeight="1" x14ac:dyDescent="0.25">
      <c r="A897" s="8"/>
      <c r="B897" s="8"/>
      <c r="C897" s="8"/>
      <c r="D897" s="8"/>
      <c r="E897" s="9"/>
      <c r="F897" s="8"/>
      <c r="G897" s="8"/>
      <c r="H897" s="8"/>
    </row>
    <row r="898" spans="1:8" ht="14.25" customHeight="1" x14ac:dyDescent="0.25">
      <c r="A898" s="8"/>
      <c r="B898" s="8"/>
      <c r="C898" s="8"/>
      <c r="D898" s="8"/>
      <c r="E898" s="9"/>
      <c r="F898" s="8"/>
      <c r="G898" s="8"/>
      <c r="H898" s="8"/>
    </row>
    <row r="899" spans="1:8" ht="14.25" customHeight="1" x14ac:dyDescent="0.25">
      <c r="A899" s="8"/>
      <c r="B899" s="8"/>
      <c r="C899" s="8"/>
      <c r="D899" s="8"/>
      <c r="E899" s="9"/>
      <c r="F899" s="8"/>
      <c r="G899" s="8"/>
      <c r="H899" s="8"/>
    </row>
    <row r="900" spans="1:8" ht="14.25" customHeight="1" x14ac:dyDescent="0.25">
      <c r="A900" s="8"/>
      <c r="B900" s="8"/>
      <c r="C900" s="8"/>
      <c r="D900" s="8"/>
      <c r="E900" s="9"/>
      <c r="F900" s="8"/>
      <c r="G900" s="8"/>
      <c r="H900" s="8"/>
    </row>
    <row r="901" spans="1:8" ht="14.25" customHeight="1" x14ac:dyDescent="0.25">
      <c r="A901" s="8"/>
      <c r="B901" s="8"/>
      <c r="C901" s="8"/>
      <c r="D901" s="8"/>
      <c r="E901" s="9"/>
      <c r="F901" s="8"/>
      <c r="G901" s="8"/>
      <c r="H901" s="8"/>
    </row>
    <row r="902" spans="1:8" ht="14.25" customHeight="1" x14ac:dyDescent="0.25">
      <c r="A902" s="8"/>
      <c r="B902" s="8"/>
      <c r="C902" s="8"/>
      <c r="D902" s="8"/>
      <c r="E902" s="9"/>
      <c r="F902" s="8"/>
      <c r="G902" s="8"/>
      <c r="H902" s="8"/>
    </row>
    <row r="903" spans="1:8" ht="14.25" customHeight="1" x14ac:dyDescent="0.25">
      <c r="A903" s="8"/>
      <c r="B903" s="8"/>
      <c r="C903" s="8"/>
      <c r="D903" s="8"/>
      <c r="E903" s="9"/>
      <c r="F903" s="8"/>
      <c r="G903" s="8"/>
      <c r="H903" s="8"/>
    </row>
    <row r="904" spans="1:8" ht="14.25" customHeight="1" x14ac:dyDescent="0.25">
      <c r="A904" s="8"/>
      <c r="B904" s="8"/>
      <c r="C904" s="8"/>
      <c r="D904" s="8"/>
      <c r="E904" s="9"/>
      <c r="F904" s="8"/>
      <c r="G904" s="8"/>
      <c r="H904" s="8"/>
    </row>
    <row r="905" spans="1:8" ht="14.25" customHeight="1" x14ac:dyDescent="0.25">
      <c r="A905" s="8"/>
      <c r="B905" s="8"/>
      <c r="C905" s="8"/>
      <c r="D905" s="8"/>
      <c r="E905" s="9"/>
      <c r="F905" s="8"/>
      <c r="G905" s="8"/>
      <c r="H905" s="8"/>
    </row>
    <row r="906" spans="1:8" ht="14.25" customHeight="1" x14ac:dyDescent="0.25">
      <c r="A906" s="8"/>
      <c r="B906" s="8"/>
      <c r="C906" s="8"/>
      <c r="D906" s="8"/>
      <c r="E906" s="9"/>
      <c r="F906" s="8"/>
      <c r="G906" s="8"/>
      <c r="H906" s="8"/>
    </row>
    <row r="907" spans="1:8" ht="14.25" customHeight="1" x14ac:dyDescent="0.25">
      <c r="A907" s="8"/>
      <c r="B907" s="8"/>
      <c r="C907" s="8"/>
      <c r="D907" s="8"/>
      <c r="E907" s="9"/>
      <c r="F907" s="8"/>
      <c r="G907" s="8"/>
      <c r="H907" s="8"/>
    </row>
    <row r="908" spans="1:8" ht="14.25" customHeight="1" x14ac:dyDescent="0.25">
      <c r="A908" s="8"/>
      <c r="B908" s="8"/>
      <c r="C908" s="8"/>
      <c r="D908" s="8"/>
      <c r="E908" s="9"/>
      <c r="F908" s="8"/>
      <c r="G908" s="8"/>
      <c r="H908" s="8"/>
    </row>
    <row r="909" spans="1:8" ht="14.25" customHeight="1" x14ac:dyDescent="0.25">
      <c r="A909" s="8"/>
      <c r="B909" s="8"/>
      <c r="C909" s="8"/>
      <c r="D909" s="8"/>
      <c r="E909" s="9"/>
      <c r="F909" s="8"/>
      <c r="G909" s="8"/>
      <c r="H909" s="8"/>
    </row>
    <row r="910" spans="1:8" ht="14.25" customHeight="1" x14ac:dyDescent="0.25">
      <c r="A910" s="8"/>
      <c r="B910" s="8"/>
      <c r="C910" s="8"/>
      <c r="D910" s="8"/>
      <c r="E910" s="9"/>
      <c r="F910" s="8"/>
      <c r="G910" s="8"/>
      <c r="H910" s="8"/>
    </row>
    <row r="911" spans="1:8" ht="14.25" customHeight="1" x14ac:dyDescent="0.25">
      <c r="A911" s="8"/>
      <c r="B911" s="8"/>
      <c r="C911" s="8"/>
      <c r="D911" s="8"/>
      <c r="E911" s="9"/>
      <c r="F911" s="8"/>
      <c r="G911" s="8"/>
      <c r="H911" s="8"/>
    </row>
    <row r="912" spans="1:8" ht="14.25" customHeight="1" x14ac:dyDescent="0.25">
      <c r="A912" s="8"/>
      <c r="B912" s="8"/>
      <c r="C912" s="8"/>
      <c r="D912" s="8"/>
      <c r="E912" s="9"/>
      <c r="F912" s="8"/>
      <c r="G912" s="8"/>
      <c r="H912" s="8"/>
    </row>
    <row r="913" spans="1:8" ht="14.25" customHeight="1" x14ac:dyDescent="0.25">
      <c r="A913" s="8"/>
      <c r="B913" s="8"/>
      <c r="C913" s="8"/>
      <c r="D913" s="8"/>
      <c r="E913" s="9"/>
      <c r="F913" s="8"/>
      <c r="G913" s="8"/>
      <c r="H913" s="8"/>
    </row>
    <row r="914" spans="1:8" ht="14.25" customHeight="1" x14ac:dyDescent="0.25">
      <c r="A914" s="8"/>
      <c r="B914" s="8"/>
      <c r="C914" s="8"/>
      <c r="D914" s="8"/>
      <c r="E914" s="9"/>
      <c r="F914" s="8"/>
      <c r="G914" s="8"/>
      <c r="H914" s="8"/>
    </row>
    <row r="915" spans="1:8" ht="14.25" customHeight="1" x14ac:dyDescent="0.25">
      <c r="A915" s="8"/>
      <c r="B915" s="8"/>
      <c r="C915" s="8"/>
      <c r="D915" s="8"/>
      <c r="E915" s="9"/>
      <c r="F915" s="8"/>
      <c r="G915" s="8"/>
      <c r="H915" s="8"/>
    </row>
    <row r="916" spans="1:8" ht="14.25" customHeight="1" x14ac:dyDescent="0.25">
      <c r="A916" s="8"/>
      <c r="B916" s="8"/>
      <c r="C916" s="8"/>
      <c r="D916" s="8"/>
      <c r="E916" s="9"/>
      <c r="F916" s="8"/>
      <c r="G916" s="8"/>
      <c r="H916" s="8"/>
    </row>
    <row r="917" spans="1:8" ht="14.25" customHeight="1" x14ac:dyDescent="0.25">
      <c r="A917" s="8"/>
      <c r="B917" s="8"/>
      <c r="C917" s="8"/>
      <c r="D917" s="8"/>
      <c r="E917" s="9"/>
      <c r="F917" s="8"/>
      <c r="G917" s="8"/>
      <c r="H917" s="8"/>
    </row>
    <row r="918" spans="1:8" ht="14.25" customHeight="1" x14ac:dyDescent="0.25">
      <c r="A918" s="8"/>
      <c r="B918" s="8"/>
      <c r="C918" s="8"/>
      <c r="D918" s="8"/>
      <c r="E918" s="9"/>
      <c r="F918" s="8"/>
      <c r="G918" s="8"/>
      <c r="H918" s="8"/>
    </row>
    <row r="919" spans="1:8" ht="14.25" customHeight="1" x14ac:dyDescent="0.25">
      <c r="A919" s="8"/>
      <c r="B919" s="8"/>
      <c r="C919" s="8"/>
      <c r="D919" s="8"/>
      <c r="E919" s="9"/>
      <c r="F919" s="8"/>
      <c r="G919" s="8"/>
      <c r="H919" s="8"/>
    </row>
    <row r="920" spans="1:8" ht="14.25" customHeight="1" x14ac:dyDescent="0.25">
      <c r="A920" s="8"/>
      <c r="B920" s="8"/>
      <c r="C920" s="8"/>
      <c r="D920" s="8"/>
      <c r="E920" s="9"/>
      <c r="F920" s="8"/>
      <c r="G920" s="8"/>
      <c r="H920" s="8"/>
    </row>
    <row r="921" spans="1:8" ht="14.25" customHeight="1" x14ac:dyDescent="0.25">
      <c r="A921" s="8"/>
      <c r="B921" s="8"/>
      <c r="C921" s="8"/>
      <c r="D921" s="8"/>
      <c r="E921" s="9"/>
      <c r="F921" s="8"/>
      <c r="G921" s="8"/>
      <c r="H921" s="8"/>
    </row>
    <row r="922" spans="1:8" ht="14.25" customHeight="1" x14ac:dyDescent="0.25">
      <c r="A922" s="8"/>
      <c r="B922" s="8"/>
      <c r="C922" s="8"/>
      <c r="D922" s="8"/>
      <c r="E922" s="9"/>
      <c r="F922" s="8"/>
      <c r="G922" s="8"/>
      <c r="H922" s="8"/>
    </row>
    <row r="923" spans="1:8" ht="14.25" customHeight="1" x14ac:dyDescent="0.25">
      <c r="A923" s="8"/>
      <c r="B923" s="8"/>
      <c r="C923" s="8"/>
      <c r="D923" s="8"/>
      <c r="E923" s="9"/>
      <c r="F923" s="8"/>
      <c r="G923" s="8"/>
      <c r="H923" s="8"/>
    </row>
    <row r="924" spans="1:8" ht="14.25" customHeight="1" x14ac:dyDescent="0.25">
      <c r="A924" s="8"/>
      <c r="B924" s="8"/>
      <c r="C924" s="8"/>
      <c r="D924" s="8"/>
      <c r="E924" s="9"/>
      <c r="F924" s="8"/>
      <c r="G924" s="8"/>
      <c r="H924" s="8"/>
    </row>
    <row r="925" spans="1:8" ht="14.25" customHeight="1" x14ac:dyDescent="0.25">
      <c r="A925" s="8"/>
      <c r="B925" s="8"/>
      <c r="C925" s="8"/>
      <c r="D925" s="8"/>
      <c r="E925" s="9"/>
      <c r="F925" s="8"/>
      <c r="G925" s="8"/>
      <c r="H925" s="8"/>
    </row>
    <row r="926" spans="1:8" ht="14.25" customHeight="1" x14ac:dyDescent="0.25">
      <c r="A926" s="8"/>
      <c r="B926" s="8"/>
      <c r="C926" s="8"/>
      <c r="D926" s="8"/>
      <c r="E926" s="9"/>
      <c r="F926" s="8"/>
      <c r="G926" s="8"/>
      <c r="H926" s="8"/>
    </row>
    <row r="927" spans="1:8" ht="14.25" customHeight="1" x14ac:dyDescent="0.25">
      <c r="A927" s="8"/>
      <c r="B927" s="8"/>
      <c r="C927" s="8"/>
      <c r="D927" s="8"/>
      <c r="E927" s="9"/>
      <c r="F927" s="8"/>
      <c r="G927" s="8"/>
      <c r="H927" s="8"/>
    </row>
    <row r="928" spans="1:8" ht="14.25" customHeight="1" x14ac:dyDescent="0.25">
      <c r="A928" s="8"/>
      <c r="B928" s="8"/>
      <c r="C928" s="8"/>
      <c r="D928" s="8"/>
      <c r="E928" s="9"/>
      <c r="F928" s="8"/>
      <c r="G928" s="8"/>
      <c r="H928" s="8"/>
    </row>
    <row r="929" spans="1:8" ht="14.25" customHeight="1" x14ac:dyDescent="0.25">
      <c r="A929" s="8"/>
      <c r="B929" s="8"/>
      <c r="C929" s="8"/>
      <c r="D929" s="8"/>
      <c r="E929" s="9"/>
      <c r="F929" s="8"/>
      <c r="G929" s="8"/>
      <c r="H929" s="8"/>
    </row>
    <row r="930" spans="1:8" ht="14.25" customHeight="1" x14ac:dyDescent="0.25">
      <c r="A930" s="8"/>
      <c r="B930" s="8"/>
      <c r="C930" s="8"/>
      <c r="D930" s="8"/>
      <c r="E930" s="9"/>
      <c r="F930" s="8"/>
      <c r="G930" s="8"/>
      <c r="H930" s="8"/>
    </row>
    <row r="931" spans="1:8" ht="14.25" customHeight="1" x14ac:dyDescent="0.25">
      <c r="A931" s="8"/>
      <c r="B931" s="8"/>
      <c r="C931" s="8"/>
      <c r="D931" s="8"/>
      <c r="E931" s="9"/>
      <c r="F931" s="8"/>
      <c r="G931" s="8"/>
      <c r="H931" s="8"/>
    </row>
    <row r="932" spans="1:8" ht="14.25" customHeight="1" x14ac:dyDescent="0.25">
      <c r="A932" s="8"/>
      <c r="B932" s="8"/>
      <c r="C932" s="8"/>
      <c r="D932" s="8"/>
      <c r="E932" s="9"/>
      <c r="F932" s="8"/>
      <c r="G932" s="8"/>
      <c r="H932" s="8"/>
    </row>
    <row r="933" spans="1:8" ht="14.25" customHeight="1" x14ac:dyDescent="0.25">
      <c r="A933" s="8"/>
      <c r="B933" s="8"/>
      <c r="C933" s="8"/>
      <c r="D933" s="8"/>
      <c r="E933" s="9"/>
      <c r="F933" s="8"/>
      <c r="G933" s="8"/>
      <c r="H933" s="8"/>
    </row>
    <row r="934" spans="1:8" ht="14.25" customHeight="1" x14ac:dyDescent="0.25">
      <c r="A934" s="8"/>
      <c r="B934" s="8"/>
      <c r="C934" s="8"/>
      <c r="D934" s="8"/>
      <c r="E934" s="9"/>
      <c r="F934" s="8"/>
      <c r="G934" s="8"/>
      <c r="H934" s="8"/>
    </row>
    <row r="935" spans="1:8" ht="14.25" customHeight="1" x14ac:dyDescent="0.25">
      <c r="A935" s="8"/>
      <c r="B935" s="8"/>
      <c r="C935" s="8"/>
      <c r="D935" s="8"/>
      <c r="E935" s="9"/>
      <c r="F935" s="8"/>
      <c r="G935" s="8"/>
      <c r="H935" s="8"/>
    </row>
    <row r="936" spans="1:8" ht="14.25" customHeight="1" x14ac:dyDescent="0.25">
      <c r="A936" s="8"/>
      <c r="B936" s="8"/>
      <c r="C936" s="8"/>
      <c r="D936" s="8"/>
      <c r="E936" s="9"/>
      <c r="F936" s="8"/>
      <c r="G936" s="8"/>
      <c r="H936" s="8"/>
    </row>
    <row r="937" spans="1:8" ht="14.25" customHeight="1" x14ac:dyDescent="0.25">
      <c r="A937" s="8"/>
      <c r="B937" s="8"/>
      <c r="C937" s="8"/>
      <c r="D937" s="8"/>
      <c r="E937" s="9"/>
      <c r="F937" s="8"/>
      <c r="G937" s="8"/>
      <c r="H937" s="8"/>
    </row>
    <row r="938" spans="1:8" ht="14.25" customHeight="1" x14ac:dyDescent="0.25">
      <c r="A938" s="8"/>
      <c r="B938" s="8"/>
      <c r="C938" s="8"/>
      <c r="D938" s="8"/>
      <c r="E938" s="9"/>
      <c r="F938" s="8"/>
      <c r="G938" s="8"/>
      <c r="H938" s="8"/>
    </row>
    <row r="939" spans="1:8" ht="14.25" customHeight="1" x14ac:dyDescent="0.25">
      <c r="A939" s="8"/>
      <c r="B939" s="8"/>
      <c r="C939" s="8"/>
      <c r="D939" s="8"/>
      <c r="E939" s="9"/>
      <c r="F939" s="8"/>
      <c r="G939" s="8"/>
      <c r="H939" s="8"/>
    </row>
    <row r="940" spans="1:8" ht="14.25" customHeight="1" x14ac:dyDescent="0.25">
      <c r="A940" s="8"/>
      <c r="B940" s="8"/>
      <c r="C940" s="8"/>
      <c r="D940" s="8"/>
      <c r="E940" s="9"/>
      <c r="F940" s="8"/>
      <c r="G940" s="8"/>
      <c r="H940" s="8"/>
    </row>
    <row r="941" spans="1:8" ht="14.25" customHeight="1" x14ac:dyDescent="0.25">
      <c r="A941" s="8"/>
      <c r="B941" s="8"/>
      <c r="C941" s="8"/>
      <c r="D941" s="8"/>
      <c r="E941" s="9"/>
      <c r="F941" s="8"/>
      <c r="G941" s="8"/>
      <c r="H941" s="8"/>
    </row>
    <row r="942" spans="1:8" ht="14.25" customHeight="1" x14ac:dyDescent="0.25">
      <c r="A942" s="8"/>
      <c r="B942" s="8"/>
      <c r="C942" s="8"/>
      <c r="D942" s="8"/>
      <c r="E942" s="9"/>
      <c r="F942" s="8"/>
      <c r="G942" s="8"/>
      <c r="H942" s="8"/>
    </row>
    <row r="943" spans="1:8" ht="14.25" customHeight="1" x14ac:dyDescent="0.25">
      <c r="A943" s="8"/>
      <c r="B943" s="8"/>
      <c r="C943" s="8"/>
      <c r="D943" s="8"/>
      <c r="E943" s="9"/>
      <c r="F943" s="8"/>
      <c r="G943" s="8"/>
      <c r="H943" s="8"/>
    </row>
    <row r="944" spans="1:8" ht="14.25" customHeight="1" x14ac:dyDescent="0.25">
      <c r="A944" s="8"/>
      <c r="B944" s="8"/>
      <c r="C944" s="8"/>
      <c r="D944" s="8"/>
      <c r="E944" s="9"/>
      <c r="F944" s="8"/>
      <c r="G944" s="8"/>
      <c r="H944" s="8"/>
    </row>
    <row r="945" spans="1:8" ht="14.25" customHeight="1" x14ac:dyDescent="0.25">
      <c r="A945" s="8"/>
      <c r="B945" s="8"/>
      <c r="C945" s="8"/>
      <c r="D945" s="8"/>
      <c r="E945" s="9"/>
      <c r="F945" s="8"/>
      <c r="G945" s="8"/>
      <c r="H945" s="8"/>
    </row>
    <row r="946" spans="1:8" ht="14.25" customHeight="1" x14ac:dyDescent="0.25">
      <c r="A946" s="8"/>
      <c r="B946" s="8"/>
      <c r="C946" s="8"/>
      <c r="D946" s="8"/>
      <c r="E946" s="9"/>
      <c r="F946" s="8"/>
      <c r="G946" s="8"/>
      <c r="H946" s="8"/>
    </row>
    <row r="947" spans="1:8" ht="14.25" customHeight="1" x14ac:dyDescent="0.25">
      <c r="A947" s="8"/>
      <c r="B947" s="8"/>
      <c r="C947" s="8"/>
      <c r="D947" s="8"/>
      <c r="E947" s="9"/>
      <c r="F947" s="8"/>
      <c r="G947" s="8"/>
      <c r="H947" s="8"/>
    </row>
    <row r="948" spans="1:8" ht="14.25" customHeight="1" x14ac:dyDescent="0.25">
      <c r="A948" s="8"/>
      <c r="B948" s="8"/>
      <c r="C948" s="8"/>
      <c r="D948" s="8"/>
      <c r="E948" s="9"/>
      <c r="F948" s="8"/>
      <c r="G948" s="8"/>
      <c r="H948" s="8"/>
    </row>
    <row r="949" spans="1:8" ht="14.25" customHeight="1" x14ac:dyDescent="0.25">
      <c r="A949" s="8"/>
      <c r="B949" s="8"/>
      <c r="C949" s="8"/>
      <c r="D949" s="8"/>
      <c r="E949" s="9"/>
      <c r="F949" s="8"/>
      <c r="G949" s="8"/>
      <c r="H949" s="8"/>
    </row>
    <row r="950" spans="1:8" ht="14.25" customHeight="1" x14ac:dyDescent="0.25">
      <c r="A950" s="8"/>
      <c r="B950" s="8"/>
      <c r="C950" s="8"/>
      <c r="D950" s="8"/>
      <c r="E950" s="9"/>
      <c r="F950" s="8"/>
      <c r="G950" s="8"/>
      <c r="H950" s="8"/>
    </row>
    <row r="951" spans="1:8" ht="14.25" customHeight="1" x14ac:dyDescent="0.25">
      <c r="A951" s="8"/>
      <c r="B951" s="8"/>
      <c r="C951" s="8"/>
      <c r="D951" s="8"/>
      <c r="E951" s="9"/>
      <c r="F951" s="8"/>
      <c r="G951" s="8"/>
      <c r="H951" s="8"/>
    </row>
    <row r="952" spans="1:8" ht="14.25" customHeight="1" x14ac:dyDescent="0.25">
      <c r="A952" s="8"/>
      <c r="B952" s="8"/>
      <c r="C952" s="8"/>
      <c r="D952" s="8"/>
      <c r="E952" s="9"/>
      <c r="F952" s="8"/>
      <c r="G952" s="8"/>
      <c r="H952" s="8"/>
    </row>
    <row r="953" spans="1:8" ht="14.25" customHeight="1" x14ac:dyDescent="0.25">
      <c r="A953" s="8"/>
      <c r="B953" s="8"/>
      <c r="C953" s="8"/>
      <c r="D953" s="8"/>
      <c r="E953" s="9"/>
      <c r="F953" s="8"/>
      <c r="G953" s="8"/>
      <c r="H953" s="8"/>
    </row>
    <row r="954" spans="1:8" ht="14.25" customHeight="1" x14ac:dyDescent="0.25">
      <c r="A954" s="8"/>
      <c r="B954" s="8"/>
      <c r="C954" s="8"/>
      <c r="D954" s="8"/>
      <c r="E954" s="9"/>
      <c r="F954" s="8"/>
      <c r="G954" s="8"/>
      <c r="H954" s="8"/>
    </row>
    <row r="955" spans="1:8" ht="14.25" customHeight="1" x14ac:dyDescent="0.25">
      <c r="A955" s="8"/>
      <c r="B955" s="8"/>
      <c r="C955" s="8"/>
      <c r="D955" s="8"/>
      <c r="E955" s="9"/>
      <c r="F955" s="8"/>
      <c r="G955" s="8"/>
      <c r="H955" s="8"/>
    </row>
    <row r="956" spans="1:8" ht="14.25" customHeight="1" x14ac:dyDescent="0.25">
      <c r="A956" s="8"/>
      <c r="B956" s="8"/>
      <c r="C956" s="8"/>
      <c r="D956" s="8"/>
      <c r="E956" s="9"/>
      <c r="F956" s="8"/>
      <c r="G956" s="8"/>
      <c r="H956" s="8"/>
    </row>
    <row r="957" spans="1:8" ht="14.25" customHeight="1" x14ac:dyDescent="0.25">
      <c r="A957" s="8"/>
      <c r="B957" s="8"/>
      <c r="C957" s="8"/>
      <c r="D957" s="8"/>
      <c r="E957" s="9"/>
      <c r="F957" s="8"/>
      <c r="G957" s="8"/>
      <c r="H957" s="8"/>
    </row>
    <row r="958" spans="1:8" ht="14.25" customHeight="1" x14ac:dyDescent="0.25">
      <c r="A958" s="8"/>
      <c r="B958" s="8"/>
      <c r="C958" s="8"/>
      <c r="D958" s="8"/>
      <c r="E958" s="9"/>
      <c r="F958" s="8"/>
      <c r="G958" s="8"/>
      <c r="H958" s="8"/>
    </row>
    <row r="959" spans="1:8" ht="14.25" customHeight="1" x14ac:dyDescent="0.25">
      <c r="A959" s="8"/>
      <c r="B959" s="8"/>
      <c r="C959" s="8"/>
      <c r="D959" s="8"/>
      <c r="E959" s="9"/>
      <c r="F959" s="8"/>
      <c r="G959" s="8"/>
      <c r="H959" s="8"/>
    </row>
    <row r="960" spans="1:8" ht="14.25" customHeight="1" x14ac:dyDescent="0.25">
      <c r="A960" s="8"/>
      <c r="B960" s="8"/>
      <c r="C960" s="8"/>
      <c r="D960" s="8"/>
      <c r="E960" s="9"/>
      <c r="F960" s="8"/>
      <c r="G960" s="8"/>
      <c r="H960" s="8"/>
    </row>
    <row r="961" spans="1:8" ht="14.25" customHeight="1" x14ac:dyDescent="0.25">
      <c r="A961" s="8"/>
      <c r="B961" s="8"/>
      <c r="C961" s="8"/>
      <c r="D961" s="8"/>
      <c r="E961" s="9"/>
      <c r="F961" s="8"/>
      <c r="G961" s="8"/>
      <c r="H961" s="8"/>
    </row>
    <row r="962" spans="1:8" ht="14.25" customHeight="1" x14ac:dyDescent="0.25">
      <c r="A962" s="8"/>
      <c r="B962" s="8"/>
      <c r="C962" s="8"/>
      <c r="D962" s="8"/>
      <c r="E962" s="9"/>
      <c r="F962" s="8"/>
      <c r="G962" s="8"/>
      <c r="H962" s="8"/>
    </row>
    <row r="963" spans="1:8" ht="14.25" customHeight="1" x14ac:dyDescent="0.25">
      <c r="A963" s="8"/>
      <c r="B963" s="8"/>
      <c r="C963" s="8"/>
      <c r="D963" s="8"/>
      <c r="E963" s="9"/>
      <c r="F963" s="8"/>
      <c r="G963" s="8"/>
      <c r="H963" s="8"/>
    </row>
    <row r="964" spans="1:8" ht="14.25" customHeight="1" x14ac:dyDescent="0.25">
      <c r="A964" s="8"/>
      <c r="B964" s="8"/>
      <c r="C964" s="8"/>
      <c r="D964" s="8"/>
      <c r="E964" s="9"/>
      <c r="F964" s="8"/>
      <c r="G964" s="8"/>
      <c r="H964" s="8"/>
    </row>
    <row r="965" spans="1:8" ht="14.25" customHeight="1" x14ac:dyDescent="0.25">
      <c r="A965" s="8"/>
      <c r="B965" s="8"/>
      <c r="C965" s="8"/>
      <c r="D965" s="8"/>
      <c r="E965" s="9"/>
      <c r="F965" s="8"/>
      <c r="G965" s="8"/>
      <c r="H965" s="8"/>
    </row>
    <row r="966" spans="1:8" ht="14.25" customHeight="1" x14ac:dyDescent="0.25">
      <c r="A966" s="8"/>
      <c r="B966" s="8"/>
      <c r="C966" s="8"/>
      <c r="D966" s="8"/>
      <c r="E966" s="9"/>
      <c r="F966" s="8"/>
      <c r="G966" s="8"/>
      <c r="H966" s="8"/>
    </row>
    <row r="967" spans="1:8" ht="14.25" customHeight="1" x14ac:dyDescent="0.25">
      <c r="A967" s="8"/>
      <c r="B967" s="8"/>
      <c r="C967" s="8"/>
      <c r="D967" s="8"/>
      <c r="E967" s="9"/>
      <c r="F967" s="8"/>
      <c r="G967" s="8"/>
      <c r="H967" s="8"/>
    </row>
    <row r="968" spans="1:8" ht="14.25" customHeight="1" x14ac:dyDescent="0.25">
      <c r="A968" s="8"/>
      <c r="B968" s="8"/>
      <c r="C968" s="8"/>
      <c r="D968" s="8"/>
      <c r="E968" s="9"/>
      <c r="F968" s="8"/>
      <c r="G968" s="8"/>
      <c r="H968" s="8"/>
    </row>
    <row r="969" spans="1:8" ht="14.25" customHeight="1" x14ac:dyDescent="0.25">
      <c r="A969" s="8"/>
      <c r="B969" s="8"/>
      <c r="C969" s="8"/>
      <c r="D969" s="8"/>
      <c r="E969" s="9"/>
      <c r="F969" s="8"/>
      <c r="G969" s="8"/>
      <c r="H969" s="8"/>
    </row>
    <row r="970" spans="1:8" ht="14.25" customHeight="1" x14ac:dyDescent="0.25">
      <c r="A970" s="8"/>
      <c r="B970" s="8"/>
      <c r="C970" s="8"/>
      <c r="D970" s="8"/>
      <c r="E970" s="9"/>
      <c r="F970" s="8"/>
      <c r="G970" s="8"/>
      <c r="H970" s="8"/>
    </row>
    <row r="971" spans="1:8" ht="14.25" customHeight="1" x14ac:dyDescent="0.25">
      <c r="A971" s="8"/>
      <c r="B971" s="8"/>
      <c r="C971" s="8"/>
      <c r="D971" s="8"/>
      <c r="E971" s="9"/>
      <c r="F971" s="8"/>
      <c r="G971" s="8"/>
      <c r="H971" s="8"/>
    </row>
    <row r="972" spans="1:8" ht="14.25" customHeight="1" x14ac:dyDescent="0.25">
      <c r="A972" s="8"/>
      <c r="B972" s="8"/>
      <c r="C972" s="8"/>
      <c r="D972" s="8"/>
      <c r="E972" s="9"/>
      <c r="F972" s="8"/>
      <c r="G972" s="8"/>
      <c r="H972" s="8"/>
    </row>
    <row r="973" spans="1:8" ht="14.25" customHeight="1" x14ac:dyDescent="0.25">
      <c r="A973" s="8"/>
      <c r="B973" s="8"/>
      <c r="C973" s="8"/>
      <c r="D973" s="8"/>
      <c r="E973" s="9"/>
      <c r="F973" s="8"/>
      <c r="G973" s="8"/>
      <c r="H973" s="8"/>
    </row>
    <row r="974" spans="1:8" ht="14.25" customHeight="1" x14ac:dyDescent="0.25">
      <c r="A974" s="8"/>
      <c r="B974" s="8"/>
      <c r="C974" s="8"/>
      <c r="D974" s="8"/>
      <c r="E974" s="9"/>
      <c r="F974" s="8"/>
      <c r="G974" s="8"/>
      <c r="H974" s="8"/>
    </row>
    <row r="975" spans="1:8" ht="14.25" customHeight="1" x14ac:dyDescent="0.25">
      <c r="A975" s="8"/>
      <c r="B975" s="8"/>
      <c r="C975" s="8"/>
      <c r="D975" s="8"/>
      <c r="E975" s="9"/>
      <c r="F975" s="8"/>
      <c r="G975" s="8"/>
      <c r="H975" s="8"/>
    </row>
    <row r="976" spans="1:8" ht="14.25" customHeight="1" x14ac:dyDescent="0.25">
      <c r="A976" s="8"/>
      <c r="B976" s="8"/>
      <c r="C976" s="8"/>
      <c r="D976" s="8"/>
      <c r="E976" s="9"/>
      <c r="F976" s="8"/>
      <c r="G976" s="8"/>
      <c r="H976" s="8"/>
    </row>
    <row r="977" spans="1:8" ht="14.25" customHeight="1" x14ac:dyDescent="0.25">
      <c r="A977" s="8"/>
      <c r="B977" s="8"/>
      <c r="C977" s="8"/>
      <c r="D977" s="8"/>
      <c r="E977" s="9"/>
      <c r="F977" s="8"/>
      <c r="G977" s="8"/>
      <c r="H977" s="8"/>
    </row>
    <row r="978" spans="1:8" ht="14.25" customHeight="1" x14ac:dyDescent="0.25">
      <c r="A978" s="8"/>
      <c r="B978" s="8"/>
      <c r="C978" s="8"/>
      <c r="D978" s="8"/>
      <c r="E978" s="9"/>
      <c r="F978" s="8"/>
      <c r="G978" s="8"/>
      <c r="H978" s="8"/>
    </row>
    <row r="979" spans="1:8" ht="14.25" customHeight="1" x14ac:dyDescent="0.25">
      <c r="A979" s="8"/>
      <c r="B979" s="8"/>
      <c r="C979" s="8"/>
      <c r="D979" s="8"/>
      <c r="E979" s="9"/>
      <c r="F979" s="8"/>
      <c r="G979" s="8"/>
      <c r="H979" s="8"/>
    </row>
    <row r="980" spans="1:8" ht="14.25" customHeight="1" x14ac:dyDescent="0.25">
      <c r="A980" s="8"/>
      <c r="B980" s="8"/>
      <c r="C980" s="8"/>
      <c r="D980" s="8"/>
      <c r="E980" s="9"/>
      <c r="F980" s="8"/>
      <c r="G980" s="8"/>
      <c r="H980" s="8"/>
    </row>
    <row r="981" spans="1:8" ht="14.25" customHeight="1" x14ac:dyDescent="0.25">
      <c r="A981" s="8"/>
      <c r="B981" s="8"/>
      <c r="C981" s="8"/>
      <c r="D981" s="8"/>
      <c r="E981" s="9"/>
      <c r="F981" s="8"/>
      <c r="G981" s="8"/>
      <c r="H981" s="8"/>
    </row>
    <row r="982" spans="1:8" ht="14.25" customHeight="1" x14ac:dyDescent="0.25">
      <c r="A982" s="8"/>
      <c r="B982" s="8"/>
      <c r="C982" s="8"/>
      <c r="D982" s="8"/>
      <c r="E982" s="9"/>
      <c r="F982" s="8"/>
      <c r="G982" s="8"/>
      <c r="H982" s="8"/>
    </row>
    <row r="983" spans="1:8" ht="14.25" customHeight="1" x14ac:dyDescent="0.25">
      <c r="A983" s="8"/>
      <c r="B983" s="8"/>
      <c r="C983" s="8"/>
      <c r="D983" s="8"/>
      <c r="E983" s="9"/>
      <c r="F983" s="8"/>
      <c r="G983" s="8"/>
      <c r="H983" s="8"/>
    </row>
    <row r="984" spans="1:8" ht="14.25" customHeight="1" x14ac:dyDescent="0.25">
      <c r="A984" s="8"/>
      <c r="B984" s="8"/>
      <c r="C984" s="8"/>
      <c r="D984" s="8"/>
      <c r="E984" s="9"/>
      <c r="F984" s="8"/>
      <c r="G984" s="8"/>
      <c r="H984" s="8"/>
    </row>
    <row r="985" spans="1:8" ht="14.25" customHeight="1" x14ac:dyDescent="0.25">
      <c r="A985" s="8"/>
      <c r="B985" s="8"/>
      <c r="C985" s="8"/>
      <c r="D985" s="8"/>
      <c r="E985" s="9"/>
      <c r="F985" s="8"/>
      <c r="G985" s="8"/>
      <c r="H985" s="8"/>
    </row>
    <row r="986" spans="1:8" ht="14.25" customHeight="1" x14ac:dyDescent="0.25">
      <c r="A986" s="8"/>
      <c r="B986" s="8"/>
      <c r="C986" s="8"/>
      <c r="D986" s="8"/>
      <c r="E986" s="9"/>
      <c r="F986" s="8"/>
      <c r="G986" s="8"/>
      <c r="H986" s="8"/>
    </row>
    <row r="987" spans="1:8" ht="14.25" customHeight="1" x14ac:dyDescent="0.25">
      <c r="A987" s="8"/>
      <c r="B987" s="8"/>
      <c r="C987" s="8"/>
      <c r="D987" s="8"/>
      <c r="E987" s="9"/>
      <c r="F987" s="8"/>
      <c r="G987" s="8"/>
      <c r="H987" s="8"/>
    </row>
    <row r="988" spans="1:8" ht="14.25" customHeight="1" x14ac:dyDescent="0.25">
      <c r="A988" s="8"/>
      <c r="B988" s="8"/>
      <c r="C988" s="8"/>
      <c r="D988" s="8"/>
      <c r="E988" s="9"/>
      <c r="F988" s="8"/>
      <c r="G988" s="8"/>
      <c r="H988" s="8"/>
    </row>
    <row r="989" spans="1:8" ht="14.25" customHeight="1" x14ac:dyDescent="0.25">
      <c r="A989" s="8"/>
      <c r="B989" s="8"/>
      <c r="C989" s="8"/>
      <c r="D989" s="8"/>
      <c r="E989" s="9"/>
      <c r="F989" s="8"/>
      <c r="G989" s="8"/>
      <c r="H989" s="8"/>
    </row>
    <row r="990" spans="1:8" ht="14.25" customHeight="1" x14ac:dyDescent="0.25">
      <c r="A990" s="8"/>
      <c r="B990" s="8"/>
      <c r="C990" s="8"/>
      <c r="D990" s="8"/>
      <c r="E990" s="9"/>
      <c r="F990" s="8"/>
      <c r="G990" s="8"/>
      <c r="H990" s="8"/>
    </row>
    <row r="991" spans="1:8" ht="14.25" customHeight="1" x14ac:dyDescent="0.25">
      <c r="A991" s="8"/>
      <c r="B991" s="8"/>
      <c r="C991" s="8"/>
      <c r="D991" s="8"/>
      <c r="E991" s="9"/>
      <c r="F991" s="8"/>
      <c r="G991" s="8"/>
      <c r="H991" s="8"/>
    </row>
    <row r="992" spans="1:8" ht="14.25" customHeight="1" x14ac:dyDescent="0.25">
      <c r="A992" s="8"/>
      <c r="B992" s="8"/>
      <c r="C992" s="8"/>
      <c r="D992" s="8"/>
      <c r="E992" s="9"/>
      <c r="F992" s="8"/>
      <c r="G992" s="8"/>
      <c r="H992" s="8"/>
    </row>
    <row r="993" spans="1:8" ht="14.25" customHeight="1" x14ac:dyDescent="0.25">
      <c r="A993" s="8"/>
      <c r="B993" s="8"/>
      <c r="C993" s="8"/>
      <c r="D993" s="8"/>
      <c r="E993" s="9"/>
      <c r="F993" s="8"/>
      <c r="G993" s="8"/>
      <c r="H993" s="8"/>
    </row>
    <row r="994" spans="1:8" ht="14.25" customHeight="1" x14ac:dyDescent="0.25">
      <c r="A994" s="8"/>
      <c r="B994" s="8"/>
      <c r="C994" s="8"/>
      <c r="D994" s="8"/>
      <c r="E994" s="9"/>
      <c r="F994" s="8"/>
      <c r="G994" s="8"/>
      <c r="H994" s="8"/>
    </row>
    <row r="995" spans="1:8" ht="14.25" customHeight="1" x14ac:dyDescent="0.25">
      <c r="A995" s="8"/>
      <c r="B995" s="8"/>
      <c r="C995" s="8"/>
      <c r="D995" s="8"/>
      <c r="E995" s="9"/>
      <c r="F995" s="8"/>
      <c r="G995" s="8"/>
      <c r="H995" s="8"/>
    </row>
    <row r="996" spans="1:8" ht="14.25" customHeight="1" x14ac:dyDescent="0.25">
      <c r="A996" s="8"/>
      <c r="B996" s="8"/>
      <c r="C996" s="8"/>
      <c r="D996" s="8"/>
      <c r="E996" s="9"/>
      <c r="F996" s="8"/>
      <c r="G996" s="8"/>
      <c r="H996" s="8"/>
    </row>
    <row r="997" spans="1:8" ht="14.25" customHeight="1" x14ac:dyDescent="0.25">
      <c r="A997" s="8"/>
      <c r="B997" s="8"/>
      <c r="C997" s="8"/>
      <c r="D997" s="8"/>
      <c r="E997" s="9"/>
      <c r="F997" s="8"/>
      <c r="G997" s="8"/>
      <c r="H997" s="8"/>
    </row>
    <row r="998" spans="1:8" ht="14.25" customHeight="1" x14ac:dyDescent="0.25">
      <c r="A998" s="8"/>
      <c r="B998" s="8"/>
      <c r="C998" s="8"/>
      <c r="D998" s="8"/>
      <c r="E998" s="9"/>
      <c r="F998" s="8"/>
      <c r="G998" s="8"/>
      <c r="H998" s="8"/>
    </row>
    <row r="999" spans="1:8" ht="14.25" customHeight="1" x14ac:dyDescent="0.25">
      <c r="A999" s="8"/>
      <c r="B999" s="8"/>
      <c r="C999" s="8"/>
      <c r="D999" s="8"/>
      <c r="E999" s="9"/>
      <c r="F999" s="8"/>
      <c r="G999" s="8"/>
      <c r="H999" s="8"/>
    </row>
    <row r="1000" spans="1:8" ht="14.25" customHeight="1" x14ac:dyDescent="0.25">
      <c r="A1000" s="8"/>
      <c r="B1000" s="8"/>
      <c r="C1000" s="8"/>
      <c r="D1000" s="8"/>
      <c r="E1000" s="9"/>
      <c r="F1000" s="8"/>
      <c r="G1000" s="8"/>
      <c r="H1000" s="8"/>
    </row>
    <row r="1001" spans="1:8" ht="14.25" customHeight="1" x14ac:dyDescent="0.25">
      <c r="A1001" s="8"/>
      <c r="B1001" s="8"/>
      <c r="C1001" s="8"/>
      <c r="D1001" s="8"/>
      <c r="E1001" s="9"/>
      <c r="F1001" s="8"/>
      <c r="G1001" s="8"/>
      <c r="H1001" s="8"/>
    </row>
    <row r="1002" spans="1:8" ht="14.25" customHeight="1" x14ac:dyDescent="0.25">
      <c r="A1002" s="8"/>
      <c r="B1002" s="8"/>
      <c r="C1002" s="8"/>
      <c r="D1002" s="8"/>
      <c r="E1002" s="9"/>
      <c r="F1002" s="8"/>
      <c r="G1002" s="8"/>
      <c r="H1002" s="8"/>
    </row>
    <row r="1003" spans="1:8" ht="14.25" customHeight="1" x14ac:dyDescent="0.25">
      <c r="A1003" s="8"/>
      <c r="B1003" s="8"/>
      <c r="C1003" s="8"/>
      <c r="D1003" s="8"/>
      <c r="E1003" s="9"/>
      <c r="F1003" s="8"/>
      <c r="G1003" s="8"/>
      <c r="H1003" s="8"/>
    </row>
    <row r="1004" spans="1:8" ht="14.25" customHeight="1" x14ac:dyDescent="0.25">
      <c r="A1004" s="8"/>
      <c r="B1004" s="8"/>
      <c r="C1004" s="8"/>
      <c r="D1004" s="8"/>
      <c r="E1004" s="9"/>
      <c r="F1004" s="8"/>
      <c r="G1004" s="8"/>
      <c r="H1004" s="8"/>
    </row>
    <row r="1005" spans="1:8" ht="14.25" customHeight="1" x14ac:dyDescent="0.25">
      <c r="A1005" s="8"/>
      <c r="B1005" s="8"/>
      <c r="C1005" s="8"/>
      <c r="D1005" s="8"/>
      <c r="E1005" s="9"/>
      <c r="F1005" s="8"/>
      <c r="G1005" s="8"/>
      <c r="H1005" s="8"/>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52"/>
  <sheetViews>
    <sheetView workbookViewId="0"/>
  </sheetViews>
  <sheetFormatPr defaultColWidth="14.42578125" defaultRowHeight="15" x14ac:dyDescent="0.25"/>
  <cols>
    <col min="6" max="6" width="25.5703125" customWidth="1"/>
  </cols>
  <sheetData>
    <row r="1" spans="1:16" x14ac:dyDescent="0.25">
      <c r="A1" s="8" t="s">
        <v>51</v>
      </c>
      <c r="B1" s="8" t="s">
        <v>52</v>
      </c>
      <c r="C1" s="8" t="s">
        <v>54</v>
      </c>
      <c r="D1" s="8" t="s">
        <v>55</v>
      </c>
      <c r="E1" s="9" t="s">
        <v>16</v>
      </c>
      <c r="F1" s="2" t="s">
        <v>303</v>
      </c>
      <c r="G1" s="2" t="s">
        <v>363</v>
      </c>
      <c r="H1" s="2" t="s">
        <v>38</v>
      </c>
      <c r="I1" s="2" t="s">
        <v>39</v>
      </c>
      <c r="J1" s="2" t="s">
        <v>56</v>
      </c>
      <c r="K1" s="2" t="s">
        <v>3</v>
      </c>
      <c r="O1" s="2" t="s">
        <v>56</v>
      </c>
      <c r="P1" s="2">
        <f>AVERAGE(J2:J52)</f>
        <v>18.395945098039213</v>
      </c>
    </row>
    <row r="2" spans="1:16" x14ac:dyDescent="0.25">
      <c r="A2" s="8" t="s">
        <v>95</v>
      </c>
      <c r="B2" s="8">
        <v>2025</v>
      </c>
      <c r="C2" s="8" t="s">
        <v>96</v>
      </c>
      <c r="D2" s="8" t="s">
        <v>46</v>
      </c>
      <c r="E2" s="9" t="s">
        <v>305</v>
      </c>
      <c r="F2" s="2">
        <v>10.029999999999999</v>
      </c>
      <c r="G2" s="2" t="str">
        <f t="shared" ref="G2:G4" si="0">TEXT(LEFT(E2,FIND("-",E2)-1)/(F2),"0.0000") &amp; "-" &amp; TEXT(RIGHT(E2,LEN(E2)-FIND("-",E2))/(F2),"0.0000")</f>
        <v>0.3988-1.6949</v>
      </c>
      <c r="H2" s="2">
        <f t="shared" ref="H2:H52" si="1">IF(ISNUMBER(FIND("-", G2)), LEFT(G2, FIND("-", G2) - 1) * 1, G2 * 1)</f>
        <v>0.39879999999999999</v>
      </c>
      <c r="I2" s="2">
        <f t="shared" ref="I2:I52" si="2">IF(ISNUMBER(FIND("-", G2)), MID(G2, FIND("-", G2) + 1, LEN(G2)) * 1, G2 * 1)</f>
        <v>1.6949000000000001</v>
      </c>
      <c r="J2" s="2">
        <f t="shared" ref="J2:J52" si="3">(H2+I2)/2</f>
        <v>1.0468500000000001</v>
      </c>
      <c r="L2" s="2" t="s">
        <v>306</v>
      </c>
      <c r="O2" s="2" t="s">
        <v>364</v>
      </c>
      <c r="P2" s="2">
        <f>_xlfn.STDEV.P(J2:J52)</f>
        <v>36.635220028099745</v>
      </c>
    </row>
    <row r="3" spans="1:16" x14ac:dyDescent="0.25">
      <c r="A3" s="8" t="s">
        <v>95</v>
      </c>
      <c r="B3" s="8">
        <v>2025</v>
      </c>
      <c r="C3" s="8" t="s">
        <v>96</v>
      </c>
      <c r="D3" s="8" t="s">
        <v>47</v>
      </c>
      <c r="E3" s="9" t="s">
        <v>305</v>
      </c>
      <c r="F3" s="2">
        <v>10.029999999999999</v>
      </c>
      <c r="G3" s="2" t="str">
        <f t="shared" si="0"/>
        <v>0.3988-1.6949</v>
      </c>
      <c r="H3" s="2">
        <f t="shared" si="1"/>
        <v>0.39879999999999999</v>
      </c>
      <c r="I3" s="2">
        <f t="shared" si="2"/>
        <v>1.6949000000000001</v>
      </c>
      <c r="J3" s="2">
        <f t="shared" si="3"/>
        <v>1.0468500000000001</v>
      </c>
      <c r="L3" s="2" t="s">
        <v>306</v>
      </c>
      <c r="O3" s="2" t="s">
        <v>365</v>
      </c>
      <c r="P3" s="2">
        <f>P2/P1</f>
        <v>1.9914834401198891</v>
      </c>
    </row>
    <row r="4" spans="1:16" x14ac:dyDescent="0.25">
      <c r="A4" s="8" t="s">
        <v>95</v>
      </c>
      <c r="B4" s="8">
        <v>2025</v>
      </c>
      <c r="C4" s="8" t="s">
        <v>96</v>
      </c>
      <c r="D4" s="8" t="s">
        <v>48</v>
      </c>
      <c r="E4" s="9" t="s">
        <v>305</v>
      </c>
      <c r="F4" s="2">
        <v>10.029999999999999</v>
      </c>
      <c r="G4" s="2" t="str">
        <f t="shared" si="0"/>
        <v>0.3988-1.6949</v>
      </c>
      <c r="H4" s="2">
        <f t="shared" si="1"/>
        <v>0.39879999999999999</v>
      </c>
      <c r="I4" s="2">
        <f t="shared" si="2"/>
        <v>1.6949000000000001</v>
      </c>
      <c r="J4" s="2">
        <f t="shared" si="3"/>
        <v>1.0468500000000001</v>
      </c>
      <c r="L4" s="2" t="s">
        <v>306</v>
      </c>
    </row>
    <row r="5" spans="1:16" x14ac:dyDescent="0.25">
      <c r="A5" s="8" t="s">
        <v>98</v>
      </c>
      <c r="B5" s="8">
        <v>2025</v>
      </c>
      <c r="C5" s="8" t="s">
        <v>70</v>
      </c>
      <c r="D5" s="8" t="s">
        <v>48</v>
      </c>
      <c r="E5" s="9" t="s">
        <v>307</v>
      </c>
      <c r="F5" s="2">
        <v>9.6999999999999993</v>
      </c>
      <c r="G5" s="2" t="str">
        <f t="shared" ref="G5:G24" si="4">TEXT(E5/(F5),"0.0000")</f>
        <v>0.4124</v>
      </c>
      <c r="H5" s="2">
        <f t="shared" si="1"/>
        <v>0.41239999999999999</v>
      </c>
      <c r="I5" s="2">
        <f t="shared" si="2"/>
        <v>0.41239999999999999</v>
      </c>
      <c r="J5" s="2">
        <f t="shared" si="3"/>
        <v>0.41239999999999999</v>
      </c>
      <c r="L5" s="2" t="s">
        <v>308</v>
      </c>
    </row>
    <row r="6" spans="1:16" x14ac:dyDescent="0.25">
      <c r="A6" s="8" t="s">
        <v>98</v>
      </c>
      <c r="B6" s="8">
        <v>2025</v>
      </c>
      <c r="C6" s="8" t="s">
        <v>70</v>
      </c>
      <c r="D6" s="8" t="s">
        <v>48</v>
      </c>
      <c r="E6" s="9" t="s">
        <v>309</v>
      </c>
      <c r="F6" s="2">
        <v>9.6999999999999993</v>
      </c>
      <c r="G6" s="2" t="str">
        <f t="shared" si="4"/>
        <v>2.4742</v>
      </c>
      <c r="H6" s="2">
        <f t="shared" si="1"/>
        <v>2.4742000000000002</v>
      </c>
      <c r="I6" s="2">
        <f t="shared" si="2"/>
        <v>2.4742000000000002</v>
      </c>
      <c r="J6" s="2">
        <f t="shared" si="3"/>
        <v>2.4742000000000002</v>
      </c>
      <c r="K6" s="2"/>
    </row>
    <row r="7" spans="1:16" x14ac:dyDescent="0.25">
      <c r="A7" s="8" t="s">
        <v>98</v>
      </c>
      <c r="B7" s="8">
        <v>2025</v>
      </c>
      <c r="C7" s="8" t="s">
        <v>70</v>
      </c>
      <c r="D7" s="8" t="s">
        <v>48</v>
      </c>
      <c r="E7" s="9" t="s">
        <v>310</v>
      </c>
      <c r="F7" s="2">
        <v>9.6999999999999993</v>
      </c>
      <c r="G7" s="2" t="str">
        <f t="shared" si="4"/>
        <v>5.3608</v>
      </c>
      <c r="H7" s="2">
        <f t="shared" si="1"/>
        <v>5.3608000000000002</v>
      </c>
      <c r="I7" s="2">
        <f t="shared" si="2"/>
        <v>5.3608000000000002</v>
      </c>
      <c r="J7" s="2">
        <f t="shared" si="3"/>
        <v>5.3608000000000002</v>
      </c>
      <c r="K7" s="2"/>
    </row>
    <row r="8" spans="1:16" x14ac:dyDescent="0.25">
      <c r="A8" s="8" t="s">
        <v>186</v>
      </c>
      <c r="B8" s="8">
        <v>2024</v>
      </c>
      <c r="C8" s="8" t="s">
        <v>208</v>
      </c>
      <c r="D8" s="8" t="s">
        <v>46</v>
      </c>
      <c r="E8" s="9">
        <v>19</v>
      </c>
      <c r="F8" s="1">
        <v>4.5</v>
      </c>
      <c r="G8" s="1" t="str">
        <f t="shared" si="4"/>
        <v>4.2222</v>
      </c>
      <c r="H8" s="1">
        <f t="shared" si="1"/>
        <v>4.2222</v>
      </c>
      <c r="I8" s="1">
        <f t="shared" si="2"/>
        <v>4.2222</v>
      </c>
      <c r="J8" s="1">
        <f t="shared" si="3"/>
        <v>4.2222</v>
      </c>
      <c r="K8" s="2" t="s">
        <v>312</v>
      </c>
    </row>
    <row r="9" spans="1:16" x14ac:dyDescent="0.25">
      <c r="A9" s="8" t="s">
        <v>186</v>
      </c>
      <c r="B9" s="8">
        <v>2024</v>
      </c>
      <c r="C9" s="8" t="s">
        <v>208</v>
      </c>
      <c r="D9" s="8" t="s">
        <v>46</v>
      </c>
      <c r="E9" s="9">
        <v>23</v>
      </c>
      <c r="F9" s="1">
        <v>7</v>
      </c>
      <c r="G9" s="1" t="str">
        <f t="shared" si="4"/>
        <v>3.2857</v>
      </c>
      <c r="H9" s="1">
        <f t="shared" si="1"/>
        <v>3.2856999999999998</v>
      </c>
      <c r="I9" s="1">
        <f t="shared" si="2"/>
        <v>3.2856999999999998</v>
      </c>
      <c r="J9" s="1">
        <f t="shared" si="3"/>
        <v>3.2856999999999998</v>
      </c>
      <c r="K9" s="2" t="s">
        <v>313</v>
      </c>
    </row>
    <row r="10" spans="1:16" x14ac:dyDescent="0.25">
      <c r="A10" s="8" t="s">
        <v>186</v>
      </c>
      <c r="B10" s="8">
        <v>2024</v>
      </c>
      <c r="C10" s="8" t="s">
        <v>208</v>
      </c>
      <c r="D10" s="8" t="s">
        <v>46</v>
      </c>
      <c r="E10" s="9">
        <v>56</v>
      </c>
      <c r="F10" s="1">
        <v>4.5</v>
      </c>
      <c r="G10" s="1" t="str">
        <f t="shared" si="4"/>
        <v>12.4444</v>
      </c>
      <c r="H10" s="1">
        <f t="shared" si="1"/>
        <v>12.4444</v>
      </c>
      <c r="I10" s="1">
        <f t="shared" si="2"/>
        <v>12.4444</v>
      </c>
      <c r="J10" s="1">
        <f t="shared" si="3"/>
        <v>12.4444</v>
      </c>
      <c r="K10" s="2" t="s">
        <v>314</v>
      </c>
    </row>
    <row r="11" spans="1:16" x14ac:dyDescent="0.25">
      <c r="A11" s="8" t="s">
        <v>186</v>
      </c>
      <c r="B11" s="8">
        <v>2024</v>
      </c>
      <c r="C11" s="8" t="s">
        <v>208</v>
      </c>
      <c r="D11" s="8" t="s">
        <v>46</v>
      </c>
      <c r="E11" s="9">
        <v>61</v>
      </c>
      <c r="F11" s="1">
        <v>7</v>
      </c>
      <c r="G11" s="1" t="str">
        <f t="shared" si="4"/>
        <v>8.7143</v>
      </c>
      <c r="H11" s="1">
        <f t="shared" si="1"/>
        <v>8.7142999999999997</v>
      </c>
      <c r="I11" s="1">
        <f t="shared" si="2"/>
        <v>8.7142999999999997</v>
      </c>
      <c r="J11" s="1">
        <f t="shared" si="3"/>
        <v>8.7142999999999997</v>
      </c>
      <c r="K11" s="2" t="s">
        <v>314</v>
      </c>
    </row>
    <row r="12" spans="1:16" x14ac:dyDescent="0.25">
      <c r="A12" s="8" t="s">
        <v>186</v>
      </c>
      <c r="B12" s="8">
        <v>2024</v>
      </c>
      <c r="C12" s="8" t="s">
        <v>208</v>
      </c>
      <c r="D12" s="8" t="s">
        <v>47</v>
      </c>
      <c r="E12" s="9">
        <v>19</v>
      </c>
      <c r="F12" s="1">
        <v>4.5</v>
      </c>
      <c r="G12" s="1" t="str">
        <f t="shared" si="4"/>
        <v>4.2222</v>
      </c>
      <c r="H12" s="1">
        <f t="shared" si="1"/>
        <v>4.2222</v>
      </c>
      <c r="I12" s="1">
        <f t="shared" si="2"/>
        <v>4.2222</v>
      </c>
      <c r="J12" s="1">
        <f t="shared" si="3"/>
        <v>4.2222</v>
      </c>
      <c r="K12" s="2" t="s">
        <v>312</v>
      </c>
    </row>
    <row r="13" spans="1:16" x14ac:dyDescent="0.25">
      <c r="A13" s="8" t="s">
        <v>186</v>
      </c>
      <c r="B13" s="8">
        <v>2024</v>
      </c>
      <c r="C13" s="8" t="s">
        <v>208</v>
      </c>
      <c r="D13" s="8" t="s">
        <v>47</v>
      </c>
      <c r="E13" s="9">
        <v>23</v>
      </c>
      <c r="F13" s="1">
        <v>7</v>
      </c>
      <c r="G13" s="1" t="str">
        <f t="shared" si="4"/>
        <v>3.2857</v>
      </c>
      <c r="H13" s="1">
        <f t="shared" si="1"/>
        <v>3.2856999999999998</v>
      </c>
      <c r="I13" s="1">
        <f t="shared" si="2"/>
        <v>3.2856999999999998</v>
      </c>
      <c r="J13" s="1">
        <f t="shared" si="3"/>
        <v>3.2856999999999998</v>
      </c>
      <c r="K13" s="2" t="s">
        <v>312</v>
      </c>
    </row>
    <row r="14" spans="1:16" x14ac:dyDescent="0.25">
      <c r="A14" s="8" t="s">
        <v>186</v>
      </c>
      <c r="B14" s="8">
        <v>2024</v>
      </c>
      <c r="C14" s="8" t="s">
        <v>208</v>
      </c>
      <c r="D14" s="8" t="s">
        <v>47</v>
      </c>
      <c r="E14" s="9">
        <v>56</v>
      </c>
      <c r="F14" s="1">
        <v>4.5</v>
      </c>
      <c r="G14" s="1" t="str">
        <f t="shared" si="4"/>
        <v>12.4444</v>
      </c>
      <c r="H14" s="1">
        <f t="shared" si="1"/>
        <v>12.4444</v>
      </c>
      <c r="I14" s="1">
        <f t="shared" si="2"/>
        <v>12.4444</v>
      </c>
      <c r="J14" s="1">
        <f t="shared" si="3"/>
        <v>12.4444</v>
      </c>
      <c r="K14" s="2" t="s">
        <v>314</v>
      </c>
    </row>
    <row r="15" spans="1:16" x14ac:dyDescent="0.25">
      <c r="A15" s="8" t="s">
        <v>186</v>
      </c>
      <c r="B15" s="8">
        <v>2024</v>
      </c>
      <c r="C15" s="8" t="s">
        <v>208</v>
      </c>
      <c r="D15" s="8" t="s">
        <v>47</v>
      </c>
      <c r="E15" s="9">
        <v>61</v>
      </c>
      <c r="F15" s="1">
        <v>7</v>
      </c>
      <c r="G15" s="1" t="str">
        <f t="shared" si="4"/>
        <v>8.7143</v>
      </c>
      <c r="H15" s="1">
        <f t="shared" si="1"/>
        <v>8.7142999999999997</v>
      </c>
      <c r="I15" s="1">
        <f t="shared" si="2"/>
        <v>8.7142999999999997</v>
      </c>
      <c r="J15" s="1">
        <f t="shared" si="3"/>
        <v>8.7142999999999997</v>
      </c>
      <c r="K15" s="2" t="s">
        <v>314</v>
      </c>
    </row>
    <row r="16" spans="1:16" x14ac:dyDescent="0.25">
      <c r="A16" s="8" t="s">
        <v>315</v>
      </c>
      <c r="B16" s="8">
        <v>2024</v>
      </c>
      <c r="C16" s="8" t="s">
        <v>88</v>
      </c>
      <c r="D16" s="8" t="s">
        <v>48</v>
      </c>
      <c r="E16" s="9">
        <v>15</v>
      </c>
      <c r="F16" s="1">
        <v>33.43</v>
      </c>
      <c r="G16" s="1" t="str">
        <f t="shared" si="4"/>
        <v>0.4487</v>
      </c>
      <c r="H16" s="1">
        <f t="shared" si="1"/>
        <v>0.44869999999999999</v>
      </c>
      <c r="I16" s="1">
        <f t="shared" si="2"/>
        <v>0.44869999999999999</v>
      </c>
      <c r="J16" s="1">
        <f t="shared" si="3"/>
        <v>0.44869999999999999</v>
      </c>
      <c r="L16" s="2" t="s">
        <v>316</v>
      </c>
    </row>
    <row r="17" spans="1:12" x14ac:dyDescent="0.25">
      <c r="A17" s="8" t="s">
        <v>231</v>
      </c>
      <c r="B17" s="8">
        <v>2023</v>
      </c>
      <c r="C17" s="8" t="s">
        <v>70</v>
      </c>
      <c r="D17" s="8" t="s">
        <v>46</v>
      </c>
      <c r="E17" s="9">
        <v>9</v>
      </c>
      <c r="F17" s="1">
        <v>26.04</v>
      </c>
      <c r="G17" s="1" t="str">
        <f t="shared" si="4"/>
        <v>0.3456</v>
      </c>
      <c r="H17" s="1">
        <f t="shared" si="1"/>
        <v>0.34560000000000002</v>
      </c>
      <c r="I17" s="1">
        <f t="shared" si="2"/>
        <v>0.34560000000000002</v>
      </c>
      <c r="J17" s="1">
        <f t="shared" si="3"/>
        <v>0.34560000000000002</v>
      </c>
      <c r="L17" s="2" t="s">
        <v>317</v>
      </c>
    </row>
    <row r="18" spans="1:12" x14ac:dyDescent="0.25">
      <c r="A18" s="8" t="s">
        <v>231</v>
      </c>
      <c r="B18" s="8">
        <v>2023</v>
      </c>
      <c r="C18" s="8" t="s">
        <v>70</v>
      </c>
      <c r="D18" s="8" t="s">
        <v>47</v>
      </c>
      <c r="E18" s="9">
        <v>9</v>
      </c>
      <c r="F18" s="1">
        <v>26.04</v>
      </c>
      <c r="G18" s="1" t="str">
        <f t="shared" si="4"/>
        <v>0.3456</v>
      </c>
      <c r="H18" s="1">
        <f t="shared" si="1"/>
        <v>0.34560000000000002</v>
      </c>
      <c r="I18" s="1">
        <f t="shared" si="2"/>
        <v>0.34560000000000002</v>
      </c>
      <c r="J18" s="1">
        <f t="shared" si="3"/>
        <v>0.34560000000000002</v>
      </c>
      <c r="L18" s="2" t="s">
        <v>317</v>
      </c>
    </row>
    <row r="19" spans="1:12" x14ac:dyDescent="0.25">
      <c r="A19" s="8" t="s">
        <v>231</v>
      </c>
      <c r="B19" s="8">
        <v>2023</v>
      </c>
      <c r="C19" s="8" t="s">
        <v>70</v>
      </c>
      <c r="D19" s="8" t="s">
        <v>48</v>
      </c>
      <c r="E19" s="9">
        <v>9</v>
      </c>
      <c r="F19" s="1">
        <v>26.04</v>
      </c>
      <c r="G19" s="1" t="str">
        <f t="shared" si="4"/>
        <v>0.3456</v>
      </c>
      <c r="H19" s="1">
        <f t="shared" si="1"/>
        <v>0.34560000000000002</v>
      </c>
      <c r="I19" s="1">
        <f t="shared" si="2"/>
        <v>0.34560000000000002</v>
      </c>
      <c r="J19" s="1">
        <f t="shared" si="3"/>
        <v>0.34560000000000002</v>
      </c>
      <c r="L19" s="2" t="s">
        <v>317</v>
      </c>
    </row>
    <row r="20" spans="1:12" x14ac:dyDescent="0.25">
      <c r="A20" s="8" t="s">
        <v>235</v>
      </c>
      <c r="B20" s="8">
        <v>2023</v>
      </c>
      <c r="C20" s="8" t="s">
        <v>142</v>
      </c>
      <c r="D20" s="8" t="s">
        <v>46</v>
      </c>
      <c r="E20" s="9">
        <v>100</v>
      </c>
      <c r="F20" s="1">
        <v>11.3</v>
      </c>
      <c r="G20" s="1" t="str">
        <f t="shared" si="4"/>
        <v>8.8496</v>
      </c>
      <c r="H20" s="1">
        <f t="shared" si="1"/>
        <v>8.8496000000000006</v>
      </c>
      <c r="I20" s="1">
        <f t="shared" si="2"/>
        <v>8.8496000000000006</v>
      </c>
      <c r="J20" s="1">
        <f t="shared" si="3"/>
        <v>8.8496000000000006</v>
      </c>
      <c r="L20" s="2" t="s">
        <v>318</v>
      </c>
    </row>
    <row r="21" spans="1:12" x14ac:dyDescent="0.25">
      <c r="A21" s="8" t="s">
        <v>186</v>
      </c>
      <c r="B21" s="8">
        <v>2022</v>
      </c>
      <c r="C21" s="8" t="s">
        <v>208</v>
      </c>
      <c r="D21" s="8" t="s">
        <v>46</v>
      </c>
      <c r="E21" s="9">
        <v>19</v>
      </c>
      <c r="F21" s="1">
        <v>4.5</v>
      </c>
      <c r="G21" s="1" t="str">
        <f t="shared" si="4"/>
        <v>4.2222</v>
      </c>
      <c r="H21" s="1">
        <f t="shared" si="1"/>
        <v>4.2222</v>
      </c>
      <c r="I21" s="1">
        <f t="shared" si="2"/>
        <v>4.2222</v>
      </c>
      <c r="J21" s="1">
        <f t="shared" si="3"/>
        <v>4.2222</v>
      </c>
      <c r="K21" s="2" t="s">
        <v>211</v>
      </c>
    </row>
    <row r="22" spans="1:12" x14ac:dyDescent="0.25">
      <c r="A22" s="8" t="s">
        <v>186</v>
      </c>
      <c r="B22" s="8">
        <v>2022</v>
      </c>
      <c r="C22" s="8" t="s">
        <v>208</v>
      </c>
      <c r="D22" s="8" t="s">
        <v>46</v>
      </c>
      <c r="E22" s="9">
        <v>23</v>
      </c>
      <c r="F22" s="1">
        <v>7</v>
      </c>
      <c r="G22" s="1" t="str">
        <f t="shared" si="4"/>
        <v>3.2857</v>
      </c>
      <c r="H22" s="1">
        <f t="shared" si="1"/>
        <v>3.2856999999999998</v>
      </c>
      <c r="I22" s="1">
        <f t="shared" si="2"/>
        <v>3.2856999999999998</v>
      </c>
      <c r="J22" s="1">
        <f t="shared" si="3"/>
        <v>3.2856999999999998</v>
      </c>
      <c r="K22" s="2" t="s">
        <v>211</v>
      </c>
    </row>
    <row r="23" spans="1:12" x14ac:dyDescent="0.25">
      <c r="A23" s="8" t="s">
        <v>186</v>
      </c>
      <c r="B23" s="8">
        <v>2022</v>
      </c>
      <c r="C23" s="8" t="s">
        <v>208</v>
      </c>
      <c r="D23" s="8" t="s">
        <v>46</v>
      </c>
      <c r="E23" s="9">
        <v>56</v>
      </c>
      <c r="F23" s="1">
        <v>4.5</v>
      </c>
      <c r="G23" s="1" t="str">
        <f t="shared" si="4"/>
        <v>12.4444</v>
      </c>
      <c r="H23" s="1">
        <f t="shared" si="1"/>
        <v>12.4444</v>
      </c>
      <c r="I23" s="1">
        <f t="shared" si="2"/>
        <v>12.4444</v>
      </c>
      <c r="J23" s="1">
        <f t="shared" si="3"/>
        <v>12.4444</v>
      </c>
      <c r="K23" s="2" t="s">
        <v>213</v>
      </c>
    </row>
    <row r="24" spans="1:12" x14ac:dyDescent="0.25">
      <c r="A24" s="8" t="s">
        <v>186</v>
      </c>
      <c r="B24" s="8">
        <v>2022</v>
      </c>
      <c r="C24" s="8" t="s">
        <v>208</v>
      </c>
      <c r="D24" s="8" t="s">
        <v>46</v>
      </c>
      <c r="E24" s="9">
        <v>61</v>
      </c>
      <c r="F24" s="1">
        <v>7</v>
      </c>
      <c r="G24" s="1" t="str">
        <f t="shared" si="4"/>
        <v>8.7143</v>
      </c>
      <c r="H24" s="1">
        <f t="shared" si="1"/>
        <v>8.7142999999999997</v>
      </c>
      <c r="I24" s="1">
        <f t="shared" si="2"/>
        <v>8.7142999999999997</v>
      </c>
      <c r="J24" s="1">
        <f t="shared" si="3"/>
        <v>8.7142999999999997</v>
      </c>
      <c r="K24" s="2" t="s">
        <v>213</v>
      </c>
    </row>
    <row r="25" spans="1:12" x14ac:dyDescent="0.25">
      <c r="A25" s="8" t="s">
        <v>319</v>
      </c>
      <c r="B25" s="8">
        <v>2022</v>
      </c>
      <c r="C25" s="8" t="s">
        <v>70</v>
      </c>
      <c r="D25" s="8" t="s">
        <v>46</v>
      </c>
      <c r="E25" s="9">
        <v>12</v>
      </c>
      <c r="F25" s="1">
        <v>25</v>
      </c>
      <c r="G25" s="1">
        <f t="shared" ref="G25:G26" si="5">E25/(F25)</f>
        <v>0.48</v>
      </c>
      <c r="H25" s="1">
        <f t="shared" si="1"/>
        <v>0.48</v>
      </c>
      <c r="I25" s="1">
        <f t="shared" si="2"/>
        <v>0.48</v>
      </c>
      <c r="J25" s="1">
        <f t="shared" si="3"/>
        <v>0.48</v>
      </c>
      <c r="L25" s="2" t="s">
        <v>317</v>
      </c>
    </row>
    <row r="26" spans="1:12" x14ac:dyDescent="0.25">
      <c r="A26" s="8" t="s">
        <v>319</v>
      </c>
      <c r="B26" s="8">
        <v>2022</v>
      </c>
      <c r="C26" s="8" t="s">
        <v>70</v>
      </c>
      <c r="D26" s="8" t="s">
        <v>48</v>
      </c>
      <c r="E26" s="9">
        <v>12</v>
      </c>
      <c r="F26" s="1">
        <v>25</v>
      </c>
      <c r="G26" s="1">
        <f t="shared" si="5"/>
        <v>0.48</v>
      </c>
      <c r="H26" s="1">
        <f t="shared" si="1"/>
        <v>0.48</v>
      </c>
      <c r="I26" s="1">
        <f t="shared" si="2"/>
        <v>0.48</v>
      </c>
      <c r="J26" s="1">
        <f t="shared" si="3"/>
        <v>0.48</v>
      </c>
      <c r="L26" s="2" t="s">
        <v>317</v>
      </c>
    </row>
    <row r="27" spans="1:12" x14ac:dyDescent="0.25">
      <c r="A27" s="8" t="s">
        <v>236</v>
      </c>
      <c r="B27" s="8">
        <v>2022</v>
      </c>
      <c r="C27" s="8" t="s">
        <v>75</v>
      </c>
      <c r="D27" s="8" t="s">
        <v>46</v>
      </c>
      <c r="E27" s="9">
        <v>20</v>
      </c>
      <c r="F27" s="1">
        <v>6.41</v>
      </c>
      <c r="G27" s="1" t="str">
        <f t="shared" ref="G27:G28" si="6">TEXT(E27/(F27),"0.0000")</f>
        <v>3.1201</v>
      </c>
      <c r="H27" s="1">
        <f t="shared" si="1"/>
        <v>3.1200999999999999</v>
      </c>
      <c r="I27" s="1">
        <f t="shared" si="2"/>
        <v>3.1200999999999999</v>
      </c>
      <c r="J27" s="1">
        <f t="shared" si="3"/>
        <v>3.1200999999999999</v>
      </c>
      <c r="L27" s="2" t="s">
        <v>366</v>
      </c>
    </row>
    <row r="28" spans="1:12" x14ac:dyDescent="0.25">
      <c r="A28" s="8" t="s">
        <v>236</v>
      </c>
      <c r="B28" s="8">
        <v>2022</v>
      </c>
      <c r="C28" s="8" t="s">
        <v>75</v>
      </c>
      <c r="D28" s="8" t="s">
        <v>46</v>
      </c>
      <c r="E28" s="9">
        <v>30</v>
      </c>
      <c r="F28" s="1">
        <v>9.6199999999999992</v>
      </c>
      <c r="G28" s="1" t="str">
        <f t="shared" si="6"/>
        <v>3.1185</v>
      </c>
      <c r="H28" s="1">
        <f t="shared" si="1"/>
        <v>3.1185</v>
      </c>
      <c r="I28" s="1">
        <f t="shared" si="2"/>
        <v>3.1185</v>
      </c>
      <c r="J28" s="1">
        <f t="shared" si="3"/>
        <v>3.1185</v>
      </c>
      <c r="L28" s="2" t="s">
        <v>367</v>
      </c>
    </row>
    <row r="29" spans="1:12" x14ac:dyDescent="0.25">
      <c r="A29" s="8" t="s">
        <v>322</v>
      </c>
      <c r="B29" s="8">
        <v>2021</v>
      </c>
      <c r="C29" s="8" t="s">
        <v>75</v>
      </c>
      <c r="D29" s="8" t="s">
        <v>47</v>
      </c>
      <c r="E29" s="9" t="s">
        <v>323</v>
      </c>
      <c r="F29" s="1">
        <v>7.76</v>
      </c>
      <c r="G29" s="1" t="str">
        <f>TEXT(LEFT(E29,FIND("-",E29)-1)/(F29),"0.0000") &amp; "-" &amp; TEXT(RIGHT(E29,LEN(E29)-FIND("-",E29))/(F29),"0.0000")</f>
        <v>0.0000-7.7320</v>
      </c>
      <c r="H29" s="1">
        <f t="shared" si="1"/>
        <v>0</v>
      </c>
      <c r="I29" s="1">
        <f t="shared" si="2"/>
        <v>7.7320000000000002</v>
      </c>
      <c r="J29" s="1">
        <f t="shared" si="3"/>
        <v>3.8660000000000001</v>
      </c>
      <c r="L29" s="2" t="s">
        <v>368</v>
      </c>
    </row>
    <row r="30" spans="1:12" x14ac:dyDescent="0.25">
      <c r="A30" s="8" t="s">
        <v>254</v>
      </c>
      <c r="B30" s="8">
        <v>2021</v>
      </c>
      <c r="C30" s="8" t="s">
        <v>142</v>
      </c>
      <c r="D30" s="8" t="s">
        <v>47</v>
      </c>
      <c r="E30" s="9">
        <v>74</v>
      </c>
      <c r="F30" s="1">
        <v>4.82</v>
      </c>
      <c r="G30" s="1" t="str">
        <f>TEXT(E30/(F30),"0.0000")</f>
        <v>15.3527</v>
      </c>
      <c r="H30" s="1">
        <f t="shared" si="1"/>
        <v>15.3527</v>
      </c>
      <c r="I30" s="1">
        <f t="shared" si="2"/>
        <v>15.3527</v>
      </c>
      <c r="J30" s="1">
        <f t="shared" si="3"/>
        <v>15.3527</v>
      </c>
      <c r="L30" s="2" t="s">
        <v>325</v>
      </c>
    </row>
    <row r="31" spans="1:12" x14ac:dyDescent="0.25">
      <c r="A31" s="8" t="s">
        <v>326</v>
      </c>
      <c r="B31" s="8">
        <v>2021</v>
      </c>
      <c r="C31" s="8" t="s">
        <v>75</v>
      </c>
      <c r="D31" s="8" t="s">
        <v>71</v>
      </c>
      <c r="E31" s="9" t="s">
        <v>67</v>
      </c>
      <c r="F31" s="1">
        <v>8.8000000000000007</v>
      </c>
      <c r="G31" s="1" t="str">
        <f t="shared" ref="G31:G44" si="7">TEXT(LEFT(E31,FIND("-",E31)-1)/(F31),"0.0000") &amp; "-" &amp; TEXT(RIGHT(E31,LEN(E31)-FIND("-",E31))/(F31),"0.0000")</f>
        <v>0.5682-2.2727</v>
      </c>
      <c r="H31" s="1">
        <f t="shared" si="1"/>
        <v>0.56820000000000004</v>
      </c>
      <c r="I31" s="1">
        <f t="shared" si="2"/>
        <v>2.2726999999999999</v>
      </c>
      <c r="J31" s="1">
        <f t="shared" si="3"/>
        <v>1.42045</v>
      </c>
      <c r="L31" s="2" t="s">
        <v>327</v>
      </c>
    </row>
    <row r="32" spans="1:12" x14ac:dyDescent="0.25">
      <c r="A32" s="8" t="s">
        <v>257</v>
      </c>
      <c r="B32" s="8">
        <v>2021</v>
      </c>
      <c r="C32" s="8" t="s">
        <v>75</v>
      </c>
      <c r="D32" s="8" t="s">
        <v>47</v>
      </c>
      <c r="E32" s="9" t="s">
        <v>346</v>
      </c>
      <c r="F32" s="1">
        <v>11.7</v>
      </c>
      <c r="G32" s="1" t="str">
        <f t="shared" si="7"/>
        <v>4.2735-34.1880</v>
      </c>
      <c r="H32" s="1">
        <f t="shared" si="1"/>
        <v>4.2735000000000003</v>
      </c>
      <c r="I32" s="1">
        <f t="shared" si="2"/>
        <v>34.188000000000002</v>
      </c>
      <c r="J32" s="1">
        <f t="shared" si="3"/>
        <v>19.23075</v>
      </c>
      <c r="L32" s="2" t="s">
        <v>347</v>
      </c>
    </row>
    <row r="33" spans="1:12" x14ac:dyDescent="0.25">
      <c r="A33" s="8" t="s">
        <v>261</v>
      </c>
      <c r="B33" s="8">
        <v>2021</v>
      </c>
      <c r="C33" s="8" t="s">
        <v>75</v>
      </c>
      <c r="D33" s="8" t="s">
        <v>48</v>
      </c>
      <c r="E33" s="9" t="s">
        <v>348</v>
      </c>
      <c r="F33" s="1">
        <v>6.82</v>
      </c>
      <c r="G33" s="1" t="str">
        <f t="shared" si="7"/>
        <v>7.3314-14.6628</v>
      </c>
      <c r="H33" s="1">
        <f t="shared" si="1"/>
        <v>7.3314000000000004</v>
      </c>
      <c r="I33" s="1">
        <f t="shared" si="2"/>
        <v>14.662800000000001</v>
      </c>
      <c r="J33" s="1">
        <f t="shared" si="3"/>
        <v>10.9971</v>
      </c>
      <c r="L33" s="2" t="s">
        <v>349</v>
      </c>
    </row>
    <row r="34" spans="1:12" x14ac:dyDescent="0.25">
      <c r="A34" s="8" t="s">
        <v>264</v>
      </c>
      <c r="B34" s="8">
        <v>2021</v>
      </c>
      <c r="C34" s="8" t="s">
        <v>75</v>
      </c>
      <c r="D34" s="8" t="s">
        <v>48</v>
      </c>
      <c r="E34" s="9" t="s">
        <v>348</v>
      </c>
      <c r="F34" s="1">
        <v>3.9</v>
      </c>
      <c r="G34" s="1" t="str">
        <f t="shared" si="7"/>
        <v>12.8205-25.6410</v>
      </c>
      <c r="H34" s="1">
        <f t="shared" si="1"/>
        <v>12.820499999999999</v>
      </c>
      <c r="I34" s="1">
        <f t="shared" si="2"/>
        <v>25.640999999999998</v>
      </c>
      <c r="J34" s="1">
        <f t="shared" si="3"/>
        <v>19.23075</v>
      </c>
      <c r="L34" s="2" t="s">
        <v>350</v>
      </c>
    </row>
    <row r="35" spans="1:12" x14ac:dyDescent="0.25">
      <c r="A35" s="8" t="s">
        <v>133</v>
      </c>
      <c r="B35" s="8">
        <v>2021</v>
      </c>
      <c r="C35" s="8" t="s">
        <v>351</v>
      </c>
      <c r="D35" s="8" t="s">
        <v>47</v>
      </c>
      <c r="E35" s="9" t="s">
        <v>352</v>
      </c>
      <c r="F35" s="1">
        <v>4.4000000000000004</v>
      </c>
      <c r="G35" s="1" t="str">
        <f t="shared" si="7"/>
        <v>0.9091-29.5455</v>
      </c>
      <c r="H35" s="1">
        <f t="shared" si="1"/>
        <v>0.90910000000000002</v>
      </c>
      <c r="I35" s="1">
        <f t="shared" si="2"/>
        <v>29.545500000000001</v>
      </c>
      <c r="J35" s="1">
        <f t="shared" si="3"/>
        <v>15.2273</v>
      </c>
      <c r="L35" s="2" t="s">
        <v>353</v>
      </c>
    </row>
    <row r="36" spans="1:12" x14ac:dyDescent="0.25">
      <c r="A36" s="8" t="s">
        <v>133</v>
      </c>
      <c r="B36" s="8">
        <v>2021</v>
      </c>
      <c r="C36" s="8" t="s">
        <v>351</v>
      </c>
      <c r="D36" s="8" t="s">
        <v>47</v>
      </c>
      <c r="E36" s="9" t="s">
        <v>352</v>
      </c>
      <c r="F36" s="1">
        <v>11.8</v>
      </c>
      <c r="G36" s="1" t="str">
        <f t="shared" si="7"/>
        <v>0.3390-11.0169</v>
      </c>
      <c r="H36" s="1">
        <f t="shared" si="1"/>
        <v>0.33900000000000002</v>
      </c>
      <c r="I36" s="1">
        <f t="shared" si="2"/>
        <v>11.0169</v>
      </c>
      <c r="J36" s="1">
        <f t="shared" si="3"/>
        <v>5.6779500000000001</v>
      </c>
      <c r="L36" s="2" t="s">
        <v>354</v>
      </c>
    </row>
    <row r="37" spans="1:12" x14ac:dyDescent="0.25">
      <c r="A37" s="8" t="s">
        <v>133</v>
      </c>
      <c r="B37" s="8">
        <v>2021</v>
      </c>
      <c r="C37" s="8" t="s">
        <v>351</v>
      </c>
      <c r="D37" s="8" t="s">
        <v>47</v>
      </c>
      <c r="E37" s="9" t="s">
        <v>352</v>
      </c>
      <c r="F37" s="1">
        <v>7.9</v>
      </c>
      <c r="G37" s="1" t="str">
        <f t="shared" si="7"/>
        <v>0.5063-16.4557</v>
      </c>
      <c r="H37" s="1">
        <f t="shared" si="1"/>
        <v>0.50629999999999997</v>
      </c>
      <c r="I37" s="1">
        <f t="shared" si="2"/>
        <v>16.4557</v>
      </c>
      <c r="J37" s="1">
        <f t="shared" si="3"/>
        <v>8.4809999999999999</v>
      </c>
      <c r="L37" s="2" t="s">
        <v>324</v>
      </c>
    </row>
    <row r="38" spans="1:12" x14ac:dyDescent="0.25">
      <c r="A38" s="8" t="s">
        <v>141</v>
      </c>
      <c r="B38" s="8">
        <v>2020</v>
      </c>
      <c r="C38" s="8" t="s">
        <v>142</v>
      </c>
      <c r="D38" s="8" t="s">
        <v>71</v>
      </c>
      <c r="E38" s="9" t="s">
        <v>355</v>
      </c>
      <c r="F38" s="1">
        <v>4.82</v>
      </c>
      <c r="G38" s="1" t="str">
        <f t="shared" si="7"/>
        <v>2.0747-20.7469</v>
      </c>
      <c r="H38" s="1">
        <f t="shared" si="1"/>
        <v>2.0747</v>
      </c>
      <c r="I38" s="1">
        <f t="shared" si="2"/>
        <v>20.7469</v>
      </c>
      <c r="J38" s="1">
        <f t="shared" si="3"/>
        <v>11.4108</v>
      </c>
      <c r="L38" s="2" t="s">
        <v>325</v>
      </c>
    </row>
    <row r="39" spans="1:12" x14ac:dyDescent="0.25">
      <c r="A39" s="8" t="s">
        <v>143</v>
      </c>
      <c r="B39" s="8">
        <v>2020</v>
      </c>
      <c r="C39" s="8" t="s">
        <v>142</v>
      </c>
      <c r="D39" s="8" t="s">
        <v>46</v>
      </c>
      <c r="E39" s="9" t="s">
        <v>356</v>
      </c>
      <c r="F39" s="1">
        <v>4.5</v>
      </c>
      <c r="G39" s="1" t="str">
        <f t="shared" si="7"/>
        <v>5.3333-28.8889</v>
      </c>
      <c r="H39" s="1">
        <f t="shared" si="1"/>
        <v>5.3333000000000004</v>
      </c>
      <c r="I39" s="1">
        <f t="shared" si="2"/>
        <v>28.8889</v>
      </c>
      <c r="J39" s="1">
        <f t="shared" si="3"/>
        <v>17.1111</v>
      </c>
      <c r="L39" s="2" t="s">
        <v>357</v>
      </c>
    </row>
    <row r="40" spans="1:12" x14ac:dyDescent="0.25">
      <c r="A40" s="8" t="s">
        <v>143</v>
      </c>
      <c r="B40" s="8">
        <v>2020</v>
      </c>
      <c r="C40" s="8" t="s">
        <v>142</v>
      </c>
      <c r="D40" s="8" t="s">
        <v>47</v>
      </c>
      <c r="E40" s="9" t="s">
        <v>356</v>
      </c>
      <c r="F40" s="1">
        <v>4.5</v>
      </c>
      <c r="G40" s="1" t="str">
        <f t="shared" si="7"/>
        <v>5.3333-28.8889</v>
      </c>
      <c r="H40" s="1">
        <f t="shared" si="1"/>
        <v>5.3333000000000004</v>
      </c>
      <c r="I40" s="1">
        <f t="shared" si="2"/>
        <v>28.8889</v>
      </c>
      <c r="J40" s="1">
        <f t="shared" si="3"/>
        <v>17.1111</v>
      </c>
      <c r="L40" s="2" t="s">
        <v>357</v>
      </c>
    </row>
    <row r="41" spans="1:12" x14ac:dyDescent="0.25">
      <c r="A41" s="8" t="s">
        <v>143</v>
      </c>
      <c r="B41" s="8">
        <v>2020</v>
      </c>
      <c r="C41" s="8" t="s">
        <v>142</v>
      </c>
      <c r="D41" s="8" t="s">
        <v>48</v>
      </c>
      <c r="E41" s="9" t="s">
        <v>356</v>
      </c>
      <c r="F41" s="1">
        <v>4.5</v>
      </c>
      <c r="G41" s="1" t="str">
        <f t="shared" si="7"/>
        <v>5.3333-28.8889</v>
      </c>
      <c r="H41" s="1">
        <f t="shared" si="1"/>
        <v>5.3333000000000004</v>
      </c>
      <c r="I41" s="1">
        <f t="shared" si="2"/>
        <v>28.8889</v>
      </c>
      <c r="J41" s="1">
        <f t="shared" si="3"/>
        <v>17.1111</v>
      </c>
      <c r="L41" s="2" t="s">
        <v>357</v>
      </c>
    </row>
    <row r="42" spans="1:12" x14ac:dyDescent="0.25">
      <c r="A42" s="8" t="s">
        <v>144</v>
      </c>
      <c r="B42" s="8">
        <v>2020</v>
      </c>
      <c r="C42" s="8" t="s">
        <v>142</v>
      </c>
      <c r="D42" s="8" t="s">
        <v>46</v>
      </c>
      <c r="E42" s="9" t="s">
        <v>356</v>
      </c>
      <c r="F42" s="1">
        <v>4.5</v>
      </c>
      <c r="G42" s="1" t="str">
        <f t="shared" si="7"/>
        <v>5.3333-28.8889</v>
      </c>
      <c r="H42" s="1">
        <f t="shared" si="1"/>
        <v>5.3333000000000004</v>
      </c>
      <c r="I42" s="1">
        <f t="shared" si="2"/>
        <v>28.8889</v>
      </c>
      <c r="J42" s="1">
        <f t="shared" si="3"/>
        <v>17.1111</v>
      </c>
      <c r="L42" s="2" t="s">
        <v>357</v>
      </c>
    </row>
    <row r="43" spans="1:12" x14ac:dyDescent="0.25">
      <c r="A43" s="8" t="s">
        <v>144</v>
      </c>
      <c r="B43" s="8">
        <v>2020</v>
      </c>
      <c r="C43" s="8" t="s">
        <v>142</v>
      </c>
      <c r="D43" s="8" t="s">
        <v>47</v>
      </c>
      <c r="E43" s="9" t="s">
        <v>356</v>
      </c>
      <c r="F43" s="1">
        <v>4.5</v>
      </c>
      <c r="G43" s="1" t="str">
        <f t="shared" si="7"/>
        <v>5.3333-28.8889</v>
      </c>
      <c r="H43" s="1">
        <f t="shared" si="1"/>
        <v>5.3333000000000004</v>
      </c>
      <c r="I43" s="1">
        <f t="shared" si="2"/>
        <v>28.8889</v>
      </c>
      <c r="J43" s="1">
        <f t="shared" si="3"/>
        <v>17.1111</v>
      </c>
      <c r="L43" s="2" t="s">
        <v>357</v>
      </c>
    </row>
    <row r="44" spans="1:12" x14ac:dyDescent="0.25">
      <c r="A44" s="8" t="s">
        <v>144</v>
      </c>
      <c r="B44" s="8">
        <v>2020</v>
      </c>
      <c r="C44" s="8" t="s">
        <v>142</v>
      </c>
      <c r="D44" s="8" t="s">
        <v>48</v>
      </c>
      <c r="E44" s="9" t="s">
        <v>356</v>
      </c>
      <c r="F44" s="1">
        <v>4.5</v>
      </c>
      <c r="G44" s="1" t="str">
        <f t="shared" si="7"/>
        <v>5.3333-28.8889</v>
      </c>
      <c r="H44" s="1">
        <f t="shared" si="1"/>
        <v>5.3333000000000004</v>
      </c>
      <c r="I44" s="1">
        <f t="shared" si="2"/>
        <v>28.8889</v>
      </c>
      <c r="J44" s="1">
        <f t="shared" si="3"/>
        <v>17.1111</v>
      </c>
      <c r="L44" s="2" t="s">
        <v>357</v>
      </c>
    </row>
    <row r="45" spans="1:12" x14ac:dyDescent="0.25">
      <c r="A45" s="8" t="s">
        <v>278</v>
      </c>
      <c r="B45" s="8">
        <v>2019</v>
      </c>
      <c r="C45" s="8" t="s">
        <v>146</v>
      </c>
      <c r="D45" s="8" t="s">
        <v>46</v>
      </c>
      <c r="E45" s="9" t="s">
        <v>132</v>
      </c>
      <c r="F45" s="1">
        <v>8</v>
      </c>
      <c r="G45" s="1">
        <f t="shared" ref="G45:G47" si="8">E45/(F45)</f>
        <v>1.25</v>
      </c>
      <c r="H45" s="1">
        <f t="shared" si="1"/>
        <v>1.25</v>
      </c>
      <c r="I45" s="1">
        <f t="shared" si="2"/>
        <v>1.25</v>
      </c>
      <c r="J45" s="1">
        <f t="shared" si="3"/>
        <v>1.25</v>
      </c>
      <c r="L45" s="2" t="s">
        <v>358</v>
      </c>
    </row>
    <row r="46" spans="1:12" x14ac:dyDescent="0.25">
      <c r="A46" s="8" t="s">
        <v>278</v>
      </c>
      <c r="B46" s="8">
        <v>2019</v>
      </c>
      <c r="C46" s="8" t="s">
        <v>146</v>
      </c>
      <c r="D46" s="8" t="s">
        <v>47</v>
      </c>
      <c r="E46" s="9" t="s">
        <v>132</v>
      </c>
      <c r="F46" s="1">
        <v>8</v>
      </c>
      <c r="G46" s="1">
        <f t="shared" si="8"/>
        <v>1.25</v>
      </c>
      <c r="H46" s="1">
        <f t="shared" si="1"/>
        <v>1.25</v>
      </c>
      <c r="I46" s="1">
        <f t="shared" si="2"/>
        <v>1.25</v>
      </c>
      <c r="J46" s="1">
        <f t="shared" si="3"/>
        <v>1.25</v>
      </c>
      <c r="L46" s="2" t="s">
        <v>358</v>
      </c>
    </row>
    <row r="47" spans="1:12" x14ac:dyDescent="0.25">
      <c r="A47" s="8" t="s">
        <v>278</v>
      </c>
      <c r="B47" s="8">
        <v>2019</v>
      </c>
      <c r="C47" s="8" t="s">
        <v>146</v>
      </c>
      <c r="D47" s="8" t="s">
        <v>48</v>
      </c>
      <c r="E47" s="9" t="s">
        <v>132</v>
      </c>
      <c r="F47" s="1">
        <v>8</v>
      </c>
      <c r="G47" s="1">
        <f t="shared" si="8"/>
        <v>1.25</v>
      </c>
      <c r="H47" s="1">
        <f t="shared" si="1"/>
        <v>1.25</v>
      </c>
      <c r="I47" s="1">
        <f t="shared" si="2"/>
        <v>1.25</v>
      </c>
      <c r="J47" s="1">
        <f t="shared" si="3"/>
        <v>1.25</v>
      </c>
      <c r="L47" s="2" t="s">
        <v>358</v>
      </c>
    </row>
    <row r="48" spans="1:12" x14ac:dyDescent="0.25">
      <c r="A48" s="8" t="s">
        <v>133</v>
      </c>
      <c r="B48" s="8">
        <v>2018</v>
      </c>
      <c r="C48" s="8" t="s">
        <v>75</v>
      </c>
      <c r="D48" s="8" t="s">
        <v>46</v>
      </c>
      <c r="E48" s="9" t="s">
        <v>108</v>
      </c>
      <c r="F48" s="1">
        <v>0.17</v>
      </c>
      <c r="G48" s="1" t="str">
        <f t="shared" ref="G48:G52" si="9">TEXT(LEFT(E48,FIND("-",E48)-1)/(F48),"0.0000") &amp; "-" &amp; TEXT(RIGHT(E48,LEN(E48)-FIND("-",E48))/(F48),"0.0000")</f>
        <v>23.5294-58.8235</v>
      </c>
      <c r="H48" s="1">
        <f t="shared" si="1"/>
        <v>23.529399999999999</v>
      </c>
      <c r="I48" s="1">
        <f t="shared" si="2"/>
        <v>58.823500000000003</v>
      </c>
      <c r="J48" s="1">
        <f t="shared" si="3"/>
        <v>41.176450000000003</v>
      </c>
      <c r="L48" s="2" t="s">
        <v>359</v>
      </c>
    </row>
    <row r="49" spans="1:12" x14ac:dyDescent="0.25">
      <c r="A49" s="8" t="s">
        <v>295</v>
      </c>
      <c r="B49" s="8">
        <v>2017</v>
      </c>
      <c r="C49" s="8" t="s">
        <v>75</v>
      </c>
      <c r="D49" s="8" t="s">
        <v>47</v>
      </c>
      <c r="E49" s="9" t="s">
        <v>360</v>
      </c>
      <c r="F49" s="1">
        <v>4.2</v>
      </c>
      <c r="G49" s="1" t="str">
        <f t="shared" si="9"/>
        <v>47.6190-238.0952</v>
      </c>
      <c r="H49" s="1">
        <f t="shared" si="1"/>
        <v>47.619</v>
      </c>
      <c r="I49" s="1">
        <f t="shared" si="2"/>
        <v>238.09520000000001</v>
      </c>
      <c r="J49" s="1">
        <f t="shared" si="3"/>
        <v>142.8571</v>
      </c>
      <c r="L49" s="2" t="s">
        <v>361</v>
      </c>
    </row>
    <row r="50" spans="1:12" x14ac:dyDescent="0.25">
      <c r="A50" s="8" t="s">
        <v>295</v>
      </c>
      <c r="B50" s="8">
        <v>2017</v>
      </c>
      <c r="C50" s="8" t="s">
        <v>75</v>
      </c>
      <c r="D50" s="8" t="s">
        <v>47</v>
      </c>
      <c r="E50" s="9" t="s">
        <v>360</v>
      </c>
      <c r="F50" s="1">
        <v>4.3</v>
      </c>
      <c r="G50" s="1" t="str">
        <f t="shared" si="9"/>
        <v>46.5116-232.5581</v>
      </c>
      <c r="H50" s="1">
        <f t="shared" si="1"/>
        <v>46.511600000000001</v>
      </c>
      <c r="I50" s="1">
        <f t="shared" si="2"/>
        <v>232.5581</v>
      </c>
      <c r="J50" s="1">
        <f t="shared" si="3"/>
        <v>139.53485000000001</v>
      </c>
      <c r="L50" s="2" t="s">
        <v>362</v>
      </c>
    </row>
    <row r="51" spans="1:12" x14ac:dyDescent="0.25">
      <c r="A51" s="8" t="s">
        <v>298</v>
      </c>
      <c r="B51" s="8">
        <v>2017</v>
      </c>
      <c r="C51" s="8" t="s">
        <v>75</v>
      </c>
      <c r="D51" s="8" t="s">
        <v>47</v>
      </c>
      <c r="E51" s="9" t="s">
        <v>360</v>
      </c>
      <c r="F51" s="1">
        <v>4.2</v>
      </c>
      <c r="G51" s="1" t="str">
        <f t="shared" si="9"/>
        <v>47.6190-238.0952</v>
      </c>
      <c r="H51" s="1">
        <f t="shared" si="1"/>
        <v>47.619</v>
      </c>
      <c r="I51" s="1">
        <f t="shared" si="2"/>
        <v>238.09520000000001</v>
      </c>
      <c r="J51" s="1">
        <f t="shared" si="3"/>
        <v>142.8571</v>
      </c>
      <c r="L51" s="2" t="s">
        <v>361</v>
      </c>
    </row>
    <row r="52" spans="1:12" x14ac:dyDescent="0.25">
      <c r="A52" s="8" t="s">
        <v>298</v>
      </c>
      <c r="B52" s="8">
        <v>2017</v>
      </c>
      <c r="C52" s="8" t="s">
        <v>75</v>
      </c>
      <c r="D52" s="8" t="s">
        <v>47</v>
      </c>
      <c r="E52" s="9" t="s">
        <v>360</v>
      </c>
      <c r="F52" s="1">
        <v>4.3</v>
      </c>
      <c r="G52" s="1" t="str">
        <f t="shared" si="9"/>
        <v>46.5116-232.5581</v>
      </c>
      <c r="H52" s="1">
        <f t="shared" si="1"/>
        <v>46.511600000000001</v>
      </c>
      <c r="I52" s="1">
        <f t="shared" si="2"/>
        <v>232.5581</v>
      </c>
      <c r="J52" s="1">
        <f t="shared" si="3"/>
        <v>139.53485000000001</v>
      </c>
      <c r="L52" s="2" t="s">
        <v>362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44"/>
  <sheetViews>
    <sheetView workbookViewId="0"/>
  </sheetViews>
  <sheetFormatPr defaultColWidth="14.42578125" defaultRowHeight="15" x14ac:dyDescent="0.25"/>
  <sheetData>
    <row r="1" spans="1:14" x14ac:dyDescent="0.25">
      <c r="A1" s="8" t="s">
        <v>51</v>
      </c>
      <c r="B1" s="8" t="s">
        <v>52</v>
      </c>
      <c r="C1" s="8" t="s">
        <v>54</v>
      </c>
      <c r="D1" s="8" t="s">
        <v>55</v>
      </c>
      <c r="E1" s="9" t="s">
        <v>16</v>
      </c>
      <c r="F1" s="2" t="s">
        <v>304</v>
      </c>
      <c r="G1" s="2" t="s">
        <v>369</v>
      </c>
      <c r="H1" s="2" t="s">
        <v>38</v>
      </c>
      <c r="I1" s="2" t="s">
        <v>39</v>
      </c>
      <c r="J1" s="2" t="s">
        <v>56</v>
      </c>
      <c r="K1" s="2" t="s">
        <v>3</v>
      </c>
      <c r="M1" s="2" t="s">
        <v>56</v>
      </c>
      <c r="N1" s="12">
        <f>AVERAGE(J2:J44)</f>
        <v>9.819767441860465E-3</v>
      </c>
    </row>
    <row r="2" spans="1:14" x14ac:dyDescent="0.25">
      <c r="A2" s="8" t="s">
        <v>95</v>
      </c>
      <c r="B2" s="8">
        <v>2025</v>
      </c>
      <c r="C2" s="8" t="s">
        <v>96</v>
      </c>
      <c r="D2" s="8" t="s">
        <v>46</v>
      </c>
      <c r="E2" s="9" t="s">
        <v>305</v>
      </c>
      <c r="F2" s="2">
        <v>23844</v>
      </c>
      <c r="G2" s="2" t="str">
        <f t="shared" ref="G2:G4" si="0">TEXT(LEFT(E2,FIND("-",E2)-1)/(F2),"0.0000") &amp; "-" &amp; TEXT(RIGHT(E2,LEN(E2)-FIND("-",E2))/(F2),"0.0000")</f>
        <v>0.0002-0.0007</v>
      </c>
      <c r="H2" s="12">
        <f t="shared" ref="H2:H44" si="1">IF(ISNUMBER(FIND("-", G2)), LEFT(G2, FIND("-", G2) - 1) * 1, G2 * 1)</f>
        <v>2.0000000000000001E-4</v>
      </c>
      <c r="I2" s="12">
        <f t="shared" ref="I2:I44" si="2">IF(ISNUMBER(FIND("-", G2)), MID(G2, FIND("-", G2) + 1, LEN(G2)) * 1, G2 * 1)</f>
        <v>6.9999999999999999E-4</v>
      </c>
      <c r="J2" s="12">
        <f t="shared" ref="J2:J44" si="3">(H2+I2)/2</f>
        <v>4.4999999999999999E-4</v>
      </c>
      <c r="K2" s="2" t="s">
        <v>306</v>
      </c>
      <c r="M2" s="2" t="s">
        <v>364</v>
      </c>
      <c r="N2" s="2">
        <f>_xlfn.STDEV.P(J2:J44)</f>
        <v>1.6209544057454794E-2</v>
      </c>
    </row>
    <row r="3" spans="1:14" x14ac:dyDescent="0.25">
      <c r="A3" s="8" t="s">
        <v>95</v>
      </c>
      <c r="B3" s="8">
        <v>2025</v>
      </c>
      <c r="C3" s="8" t="s">
        <v>96</v>
      </c>
      <c r="D3" s="8" t="s">
        <v>47</v>
      </c>
      <c r="E3" s="9" t="s">
        <v>305</v>
      </c>
      <c r="F3" s="2">
        <v>23844</v>
      </c>
      <c r="G3" s="2" t="str">
        <f t="shared" si="0"/>
        <v>0.0002-0.0007</v>
      </c>
      <c r="H3" s="12">
        <f t="shared" si="1"/>
        <v>2.0000000000000001E-4</v>
      </c>
      <c r="I3" s="12">
        <f t="shared" si="2"/>
        <v>6.9999999999999999E-4</v>
      </c>
      <c r="J3" s="12">
        <f t="shared" si="3"/>
        <v>4.4999999999999999E-4</v>
      </c>
      <c r="K3" s="2" t="s">
        <v>306</v>
      </c>
      <c r="M3" s="2" t="s">
        <v>365</v>
      </c>
      <c r="N3" s="2">
        <f>N2/N1</f>
        <v>1.6507054931215066</v>
      </c>
    </row>
    <row r="4" spans="1:14" x14ac:dyDescent="0.25">
      <c r="A4" s="8" t="s">
        <v>95</v>
      </c>
      <c r="B4" s="8">
        <v>2025</v>
      </c>
      <c r="C4" s="8" t="s">
        <v>96</v>
      </c>
      <c r="D4" s="8" t="s">
        <v>48</v>
      </c>
      <c r="E4" s="9" t="s">
        <v>305</v>
      </c>
      <c r="F4" s="2">
        <v>23844</v>
      </c>
      <c r="G4" s="2" t="str">
        <f t="shared" si="0"/>
        <v>0.0002-0.0007</v>
      </c>
      <c r="H4" s="12">
        <f t="shared" si="1"/>
        <v>2.0000000000000001E-4</v>
      </c>
      <c r="I4" s="12">
        <f t="shared" si="2"/>
        <v>6.9999999999999999E-4</v>
      </c>
      <c r="J4" s="12">
        <f t="shared" si="3"/>
        <v>4.4999999999999999E-4</v>
      </c>
      <c r="K4" s="2" t="s">
        <v>306</v>
      </c>
    </row>
    <row r="5" spans="1:14" x14ac:dyDescent="0.25">
      <c r="A5" s="8" t="s">
        <v>98</v>
      </c>
      <c r="B5" s="8">
        <v>2025</v>
      </c>
      <c r="C5" s="8" t="s">
        <v>70</v>
      </c>
      <c r="D5" s="8" t="s">
        <v>48</v>
      </c>
      <c r="E5" s="9" t="s">
        <v>307</v>
      </c>
      <c r="F5" s="2">
        <v>605.21</v>
      </c>
      <c r="G5" s="2" t="str">
        <f t="shared" ref="G5:G7" si="4">TEXT(E5/F5,"0.0000")</f>
        <v>0.0066</v>
      </c>
      <c r="H5" s="12">
        <f t="shared" si="1"/>
        <v>6.6E-3</v>
      </c>
      <c r="I5" s="12">
        <f t="shared" si="2"/>
        <v>6.6E-3</v>
      </c>
      <c r="J5" s="12">
        <f t="shared" si="3"/>
        <v>6.6E-3</v>
      </c>
      <c r="K5" s="2" t="s">
        <v>308</v>
      </c>
    </row>
    <row r="6" spans="1:14" x14ac:dyDescent="0.25">
      <c r="A6" s="8" t="s">
        <v>98</v>
      </c>
      <c r="B6" s="8">
        <v>2025</v>
      </c>
      <c r="C6" s="8" t="s">
        <v>70</v>
      </c>
      <c r="D6" s="8" t="s">
        <v>48</v>
      </c>
      <c r="E6" s="9" t="s">
        <v>309</v>
      </c>
      <c r="F6" s="2">
        <v>605.21</v>
      </c>
      <c r="G6" s="2" t="str">
        <f t="shared" si="4"/>
        <v>0.0397</v>
      </c>
      <c r="H6" s="12">
        <f t="shared" si="1"/>
        <v>3.9699999999999999E-2</v>
      </c>
      <c r="I6" s="12">
        <f t="shared" si="2"/>
        <v>3.9699999999999999E-2</v>
      </c>
      <c r="J6" s="12">
        <f t="shared" si="3"/>
        <v>3.9699999999999999E-2</v>
      </c>
      <c r="K6" s="2" t="s">
        <v>308</v>
      </c>
    </row>
    <row r="7" spans="1:14" x14ac:dyDescent="0.25">
      <c r="A7" s="8" t="s">
        <v>98</v>
      </c>
      <c r="B7" s="8">
        <v>2025</v>
      </c>
      <c r="C7" s="8" t="s">
        <v>70</v>
      </c>
      <c r="D7" s="8" t="s">
        <v>48</v>
      </c>
      <c r="E7" s="9" t="s">
        <v>310</v>
      </c>
      <c r="F7" s="2">
        <v>605.21</v>
      </c>
      <c r="G7" s="2" t="str">
        <f t="shared" si="4"/>
        <v>0.0859</v>
      </c>
      <c r="H7" s="12">
        <f t="shared" si="1"/>
        <v>8.5900000000000004E-2</v>
      </c>
      <c r="I7" s="12">
        <f t="shared" si="2"/>
        <v>8.5900000000000004E-2</v>
      </c>
      <c r="J7" s="12">
        <f t="shared" si="3"/>
        <v>8.5900000000000004E-2</v>
      </c>
      <c r="K7" s="2" t="s">
        <v>308</v>
      </c>
    </row>
    <row r="8" spans="1:14" x14ac:dyDescent="0.25">
      <c r="A8" s="8" t="s">
        <v>200</v>
      </c>
      <c r="B8" s="8">
        <v>2024</v>
      </c>
      <c r="C8" s="8" t="s">
        <v>201</v>
      </c>
      <c r="D8" s="9" t="s">
        <v>46</v>
      </c>
      <c r="E8" s="2" t="s">
        <v>311</v>
      </c>
      <c r="F8" s="8" t="s">
        <v>311</v>
      </c>
      <c r="G8" s="2" t="s">
        <v>370</v>
      </c>
      <c r="H8" s="12">
        <f t="shared" si="1"/>
        <v>0.01</v>
      </c>
      <c r="I8" s="12">
        <f t="shared" si="2"/>
        <v>0.04</v>
      </c>
      <c r="J8" s="12">
        <f t="shared" si="3"/>
        <v>2.5000000000000001E-2</v>
      </c>
      <c r="K8" s="2"/>
    </row>
    <row r="9" spans="1:14" x14ac:dyDescent="0.25">
      <c r="A9" s="8" t="s">
        <v>315</v>
      </c>
      <c r="B9" s="8">
        <v>2024</v>
      </c>
      <c r="C9" s="8" t="s">
        <v>88</v>
      </c>
      <c r="D9" s="8" t="s">
        <v>48</v>
      </c>
      <c r="E9" s="9">
        <v>15</v>
      </c>
      <c r="F9" s="2">
        <v>6392</v>
      </c>
      <c r="G9" s="2" t="str">
        <f t="shared" ref="G9:G17" si="5">TEXT(E9/F9,"0.0000")</f>
        <v>0.0023</v>
      </c>
      <c r="H9" s="12">
        <f t="shared" si="1"/>
        <v>2.3E-3</v>
      </c>
      <c r="I9" s="12">
        <f t="shared" si="2"/>
        <v>2.3E-3</v>
      </c>
      <c r="J9" s="12">
        <f t="shared" si="3"/>
        <v>2.3E-3</v>
      </c>
      <c r="K9" s="2" t="s">
        <v>316</v>
      </c>
    </row>
    <row r="10" spans="1:14" x14ac:dyDescent="0.25">
      <c r="A10" s="8" t="s">
        <v>231</v>
      </c>
      <c r="B10" s="8">
        <v>2023</v>
      </c>
      <c r="C10" s="8" t="s">
        <v>70</v>
      </c>
      <c r="D10" s="8" t="s">
        <v>46</v>
      </c>
      <c r="E10" s="9">
        <v>9</v>
      </c>
      <c r="F10" s="2">
        <v>12658</v>
      </c>
      <c r="G10" s="2" t="str">
        <f t="shared" si="5"/>
        <v>0.0007</v>
      </c>
      <c r="H10" s="12">
        <f t="shared" si="1"/>
        <v>6.9999999999999999E-4</v>
      </c>
      <c r="I10" s="12">
        <f t="shared" si="2"/>
        <v>6.9999999999999999E-4</v>
      </c>
      <c r="J10" s="12">
        <f t="shared" si="3"/>
        <v>6.9999999999999999E-4</v>
      </c>
      <c r="K10" s="2" t="s">
        <v>317</v>
      </c>
    </row>
    <row r="11" spans="1:14" x14ac:dyDescent="0.25">
      <c r="A11" s="8" t="s">
        <v>231</v>
      </c>
      <c r="B11" s="8">
        <v>2023</v>
      </c>
      <c r="C11" s="8" t="s">
        <v>70</v>
      </c>
      <c r="D11" s="8" t="s">
        <v>47</v>
      </c>
      <c r="E11" s="9">
        <v>9</v>
      </c>
      <c r="F11" s="2">
        <v>12658</v>
      </c>
      <c r="G11" s="2" t="str">
        <f t="shared" si="5"/>
        <v>0.0007</v>
      </c>
      <c r="H11" s="12">
        <f t="shared" si="1"/>
        <v>6.9999999999999999E-4</v>
      </c>
      <c r="I11" s="12">
        <f t="shared" si="2"/>
        <v>6.9999999999999999E-4</v>
      </c>
      <c r="J11" s="12">
        <f t="shared" si="3"/>
        <v>6.9999999999999999E-4</v>
      </c>
      <c r="K11" s="2" t="s">
        <v>317</v>
      </c>
    </row>
    <row r="12" spans="1:14" x14ac:dyDescent="0.25">
      <c r="A12" s="8" t="s">
        <v>231</v>
      </c>
      <c r="B12" s="8">
        <v>2023</v>
      </c>
      <c r="C12" s="8" t="s">
        <v>70</v>
      </c>
      <c r="D12" s="8" t="s">
        <v>48</v>
      </c>
      <c r="E12" s="9">
        <v>9</v>
      </c>
      <c r="F12" s="2">
        <v>12658</v>
      </c>
      <c r="G12" s="2" t="str">
        <f t="shared" si="5"/>
        <v>0.0007</v>
      </c>
      <c r="H12" s="12">
        <f t="shared" si="1"/>
        <v>6.9999999999999999E-4</v>
      </c>
      <c r="I12" s="12">
        <f t="shared" si="2"/>
        <v>6.9999999999999999E-4</v>
      </c>
      <c r="J12" s="12">
        <f t="shared" si="3"/>
        <v>6.9999999999999999E-4</v>
      </c>
      <c r="K12" s="2" t="s">
        <v>317</v>
      </c>
    </row>
    <row r="13" spans="1:14" x14ac:dyDescent="0.25">
      <c r="A13" s="8" t="s">
        <v>235</v>
      </c>
      <c r="B13" s="8">
        <v>2023</v>
      </c>
      <c r="C13" s="8" t="s">
        <v>142</v>
      </c>
      <c r="D13" s="8" t="s">
        <v>46</v>
      </c>
      <c r="E13" s="9">
        <v>100</v>
      </c>
      <c r="F13" s="2">
        <v>7110</v>
      </c>
      <c r="G13" s="2" t="str">
        <f t="shared" si="5"/>
        <v>0.0141</v>
      </c>
      <c r="H13" s="12">
        <f t="shared" si="1"/>
        <v>1.41E-2</v>
      </c>
      <c r="I13" s="12">
        <f t="shared" si="2"/>
        <v>1.41E-2</v>
      </c>
      <c r="J13" s="12">
        <f t="shared" si="3"/>
        <v>1.41E-2</v>
      </c>
      <c r="K13" s="2" t="s">
        <v>318</v>
      </c>
    </row>
    <row r="14" spans="1:14" x14ac:dyDescent="0.25">
      <c r="A14" s="8" t="s">
        <v>319</v>
      </c>
      <c r="B14" s="8">
        <v>2022</v>
      </c>
      <c r="C14" s="8" t="s">
        <v>70</v>
      </c>
      <c r="D14" s="8" t="s">
        <v>46</v>
      </c>
      <c r="E14" s="9">
        <v>12</v>
      </c>
      <c r="F14" s="2">
        <v>12658</v>
      </c>
      <c r="G14" s="2" t="str">
        <f t="shared" si="5"/>
        <v>0.0009</v>
      </c>
      <c r="H14" s="12">
        <f t="shared" si="1"/>
        <v>8.9999999999999998E-4</v>
      </c>
      <c r="I14" s="12">
        <f t="shared" si="2"/>
        <v>8.9999999999999998E-4</v>
      </c>
      <c r="J14" s="12">
        <f t="shared" si="3"/>
        <v>8.9999999999999998E-4</v>
      </c>
      <c r="K14" s="2" t="s">
        <v>317</v>
      </c>
    </row>
    <row r="15" spans="1:14" x14ac:dyDescent="0.25">
      <c r="A15" s="8" t="s">
        <v>319</v>
      </c>
      <c r="B15" s="8">
        <v>2022</v>
      </c>
      <c r="C15" s="8" t="s">
        <v>70</v>
      </c>
      <c r="D15" s="8" t="s">
        <v>48</v>
      </c>
      <c r="E15" s="9">
        <v>12</v>
      </c>
      <c r="F15" s="2">
        <v>12658</v>
      </c>
      <c r="G15" s="2" t="str">
        <f t="shared" si="5"/>
        <v>0.0009</v>
      </c>
      <c r="H15" s="12">
        <f t="shared" si="1"/>
        <v>8.9999999999999998E-4</v>
      </c>
      <c r="I15" s="12">
        <f t="shared" si="2"/>
        <v>8.9999999999999998E-4</v>
      </c>
      <c r="J15" s="12">
        <f t="shared" si="3"/>
        <v>8.9999999999999998E-4</v>
      </c>
      <c r="K15" s="2" t="s">
        <v>317</v>
      </c>
    </row>
    <row r="16" spans="1:14" x14ac:dyDescent="0.25">
      <c r="A16" s="8" t="s">
        <v>236</v>
      </c>
      <c r="B16" s="8">
        <v>2022</v>
      </c>
      <c r="C16" s="8" t="s">
        <v>75</v>
      </c>
      <c r="D16" s="8" t="s">
        <v>46</v>
      </c>
      <c r="E16" s="9">
        <v>20</v>
      </c>
      <c r="F16" s="2">
        <v>21690</v>
      </c>
      <c r="G16" s="2" t="str">
        <f t="shared" si="5"/>
        <v>0.0009</v>
      </c>
      <c r="H16" s="12">
        <f t="shared" si="1"/>
        <v>8.9999999999999998E-4</v>
      </c>
      <c r="I16" s="12">
        <f t="shared" si="2"/>
        <v>8.9999999999999998E-4</v>
      </c>
      <c r="J16" s="12">
        <f t="shared" si="3"/>
        <v>8.9999999999999998E-4</v>
      </c>
      <c r="K16" s="2" t="s">
        <v>320</v>
      </c>
    </row>
    <row r="17" spans="1:11" x14ac:dyDescent="0.25">
      <c r="A17" s="8" t="s">
        <v>236</v>
      </c>
      <c r="B17" s="8">
        <v>2022</v>
      </c>
      <c r="C17" s="8" t="s">
        <v>75</v>
      </c>
      <c r="D17" s="8" t="s">
        <v>46</v>
      </c>
      <c r="E17" s="9">
        <v>30</v>
      </c>
      <c r="F17" s="2">
        <v>17930</v>
      </c>
      <c r="G17" s="2" t="str">
        <f t="shared" si="5"/>
        <v>0.0017</v>
      </c>
      <c r="H17" s="12">
        <f t="shared" si="1"/>
        <v>1.6999999999999999E-3</v>
      </c>
      <c r="I17" s="12">
        <f t="shared" si="2"/>
        <v>1.6999999999999999E-3</v>
      </c>
      <c r="J17" s="12">
        <f t="shared" si="3"/>
        <v>1.6999999999999999E-3</v>
      </c>
      <c r="K17" s="2" t="s">
        <v>321</v>
      </c>
    </row>
    <row r="18" spans="1:11" x14ac:dyDescent="0.25">
      <c r="A18" s="8" t="s">
        <v>244</v>
      </c>
      <c r="B18" s="8">
        <v>2021</v>
      </c>
      <c r="C18" s="8" t="s">
        <v>201</v>
      </c>
      <c r="D18" s="8" t="s">
        <v>46</v>
      </c>
      <c r="E18" s="2" t="s">
        <v>311</v>
      </c>
      <c r="F18" s="8" t="s">
        <v>311</v>
      </c>
      <c r="G18" s="2">
        <v>3.3E-3</v>
      </c>
      <c r="H18" s="12">
        <f t="shared" si="1"/>
        <v>3.3E-3</v>
      </c>
      <c r="I18" s="12">
        <f t="shared" si="2"/>
        <v>3.3E-3</v>
      </c>
      <c r="J18" s="12">
        <f t="shared" si="3"/>
        <v>3.3E-3</v>
      </c>
      <c r="K18" s="2" t="s">
        <v>371</v>
      </c>
    </row>
    <row r="19" spans="1:11" x14ac:dyDescent="0.25">
      <c r="A19" s="8" t="s">
        <v>244</v>
      </c>
      <c r="B19" s="8">
        <v>2021</v>
      </c>
      <c r="C19" s="8" t="s">
        <v>201</v>
      </c>
      <c r="D19" s="8" t="s">
        <v>46</v>
      </c>
      <c r="E19" s="2" t="s">
        <v>311</v>
      </c>
      <c r="F19" s="8" t="s">
        <v>311</v>
      </c>
      <c r="G19" s="2">
        <v>8.3000000000000001E-3</v>
      </c>
      <c r="H19" s="12">
        <f t="shared" si="1"/>
        <v>8.3000000000000001E-3</v>
      </c>
      <c r="I19" s="12">
        <f t="shared" si="2"/>
        <v>8.3000000000000001E-3</v>
      </c>
      <c r="J19" s="12">
        <f t="shared" si="3"/>
        <v>8.3000000000000001E-3</v>
      </c>
      <c r="K19" s="2" t="s">
        <v>372</v>
      </c>
    </row>
    <row r="20" spans="1:11" x14ac:dyDescent="0.25">
      <c r="A20" s="8" t="s">
        <v>322</v>
      </c>
      <c r="B20" s="8">
        <v>2021</v>
      </c>
      <c r="C20" s="8" t="s">
        <v>75</v>
      </c>
      <c r="D20" s="8" t="s">
        <v>47</v>
      </c>
      <c r="E20" s="9" t="s">
        <v>323</v>
      </c>
      <c r="F20" s="2">
        <v>18040</v>
      </c>
      <c r="G20" s="2" t="str">
        <f>TEXT(LEFT(E20,FIND("-",E20)-1)/(F20),"0.0000") &amp; "-" &amp; TEXT(RIGHT(E20,LEN(E20)-FIND("-",E20))/(F20),"0.0000")</f>
        <v>0.0000-0.0033</v>
      </c>
      <c r="H20" s="12">
        <f t="shared" si="1"/>
        <v>0</v>
      </c>
      <c r="I20" s="12">
        <f t="shared" si="2"/>
        <v>3.3E-3</v>
      </c>
      <c r="J20" s="12">
        <f t="shared" si="3"/>
        <v>1.65E-3</v>
      </c>
      <c r="K20" s="2" t="s">
        <v>324</v>
      </c>
    </row>
    <row r="21" spans="1:11" x14ac:dyDescent="0.25">
      <c r="A21" s="8" t="s">
        <v>254</v>
      </c>
      <c r="B21" s="8">
        <v>2021</v>
      </c>
      <c r="C21" s="8" t="s">
        <v>142</v>
      </c>
      <c r="D21" s="8" t="s">
        <v>47</v>
      </c>
      <c r="E21" s="9">
        <v>74</v>
      </c>
      <c r="F21" s="2">
        <v>17529.41</v>
      </c>
      <c r="G21" s="2" t="str">
        <f>TEXT(E21/F21,"0.0000")</f>
        <v>0.0042</v>
      </c>
      <c r="H21" s="12">
        <f t="shared" si="1"/>
        <v>4.1999999999999997E-3</v>
      </c>
      <c r="I21" s="12">
        <f t="shared" si="2"/>
        <v>4.1999999999999997E-3</v>
      </c>
      <c r="J21" s="12">
        <f t="shared" si="3"/>
        <v>4.1999999999999997E-3</v>
      </c>
      <c r="K21" s="2" t="s">
        <v>325</v>
      </c>
    </row>
    <row r="22" spans="1:11" x14ac:dyDescent="0.25">
      <c r="A22" s="8" t="s">
        <v>326</v>
      </c>
      <c r="B22" s="8">
        <v>2021</v>
      </c>
      <c r="C22" s="8" t="s">
        <v>75</v>
      </c>
      <c r="D22" s="8" t="s">
        <v>71</v>
      </c>
      <c r="E22" s="9" t="s">
        <v>67</v>
      </c>
      <c r="F22" s="2">
        <v>1223.5899999999999</v>
      </c>
      <c r="G22" s="2" t="str">
        <f t="shared" ref="G22:G32" si="6">TEXT(LEFT(E22,FIND("-",E22)-1)/(F22),"0.0000") &amp; "-" &amp; TEXT(RIGHT(E22,LEN(E22)-FIND("-",E22))/(F22),"0.0000")</f>
        <v>0.0041-0.0163</v>
      </c>
      <c r="H22" s="12">
        <f t="shared" si="1"/>
        <v>4.1000000000000003E-3</v>
      </c>
      <c r="I22" s="12">
        <f t="shared" si="2"/>
        <v>1.6299999999999999E-2</v>
      </c>
      <c r="J22" s="12">
        <f t="shared" si="3"/>
        <v>1.0199999999999999E-2</v>
      </c>
      <c r="K22" s="2" t="s">
        <v>327</v>
      </c>
    </row>
    <row r="23" spans="1:11" x14ac:dyDescent="0.25">
      <c r="A23" s="8" t="s">
        <v>257</v>
      </c>
      <c r="B23" s="8">
        <v>2021</v>
      </c>
      <c r="C23" s="8" t="s">
        <v>75</v>
      </c>
      <c r="D23" s="8" t="s">
        <v>47</v>
      </c>
      <c r="E23" s="9" t="s">
        <v>346</v>
      </c>
      <c r="F23" s="2">
        <v>48902</v>
      </c>
      <c r="G23" s="2" t="str">
        <f t="shared" si="6"/>
        <v>0.0010-0.0082</v>
      </c>
      <c r="H23" s="12">
        <f t="shared" si="1"/>
        <v>1E-3</v>
      </c>
      <c r="I23" s="12">
        <f t="shared" si="2"/>
        <v>8.2000000000000007E-3</v>
      </c>
      <c r="J23" s="12">
        <f t="shared" si="3"/>
        <v>4.5999999999999999E-3</v>
      </c>
      <c r="K23" s="2" t="s">
        <v>347</v>
      </c>
    </row>
    <row r="24" spans="1:11" x14ac:dyDescent="0.25">
      <c r="A24" s="8" t="s">
        <v>261</v>
      </c>
      <c r="B24" s="8">
        <v>2021</v>
      </c>
      <c r="C24" s="8" t="s">
        <v>75</v>
      </c>
      <c r="D24" s="8" t="s">
        <v>48</v>
      </c>
      <c r="E24" s="9" t="s">
        <v>348</v>
      </c>
      <c r="F24" s="2">
        <v>22466</v>
      </c>
      <c r="G24" s="2" t="str">
        <f t="shared" si="6"/>
        <v>0.0022-0.0045</v>
      </c>
      <c r="H24" s="12">
        <f t="shared" si="1"/>
        <v>2.2000000000000001E-3</v>
      </c>
      <c r="I24" s="12">
        <f t="shared" si="2"/>
        <v>4.4999999999999997E-3</v>
      </c>
      <c r="J24" s="12">
        <f t="shared" si="3"/>
        <v>3.3499999999999997E-3</v>
      </c>
      <c r="K24" s="2" t="s">
        <v>349</v>
      </c>
    </row>
    <row r="25" spans="1:11" x14ac:dyDescent="0.25">
      <c r="A25" s="8" t="s">
        <v>264</v>
      </c>
      <c r="B25" s="8">
        <v>2021</v>
      </c>
      <c r="C25" s="8" t="s">
        <v>75</v>
      </c>
      <c r="D25" s="8" t="s">
        <v>48</v>
      </c>
      <c r="E25" s="9" t="s">
        <v>348</v>
      </c>
      <c r="F25" s="2">
        <v>1290.5999999999999</v>
      </c>
      <c r="G25" s="2" t="str">
        <f t="shared" si="6"/>
        <v>0.0387-0.0775</v>
      </c>
      <c r="H25" s="12">
        <f t="shared" si="1"/>
        <v>3.8699999999999998E-2</v>
      </c>
      <c r="I25" s="12">
        <f t="shared" si="2"/>
        <v>7.7499999999999999E-2</v>
      </c>
      <c r="J25" s="12">
        <f t="shared" si="3"/>
        <v>5.8099999999999999E-2</v>
      </c>
      <c r="K25" s="2" t="s">
        <v>350</v>
      </c>
    </row>
    <row r="26" spans="1:11" x14ac:dyDescent="0.25">
      <c r="A26" s="8" t="s">
        <v>133</v>
      </c>
      <c r="B26" s="8">
        <v>2021</v>
      </c>
      <c r="C26" s="8" t="s">
        <v>351</v>
      </c>
      <c r="D26" s="8" t="s">
        <v>47</v>
      </c>
      <c r="E26" s="9" t="s">
        <v>352</v>
      </c>
      <c r="F26" s="1">
        <v>14882</v>
      </c>
      <c r="G26" s="2" t="str">
        <f t="shared" si="6"/>
        <v>0.0003-0.0087</v>
      </c>
      <c r="H26" s="12">
        <f t="shared" si="1"/>
        <v>2.9999999999999997E-4</v>
      </c>
      <c r="I26" s="12">
        <f t="shared" si="2"/>
        <v>8.6999999999999994E-3</v>
      </c>
      <c r="J26" s="12">
        <f t="shared" si="3"/>
        <v>4.4999999999999997E-3</v>
      </c>
      <c r="K26" s="2" t="s">
        <v>353</v>
      </c>
    </row>
    <row r="27" spans="1:11" x14ac:dyDescent="0.25">
      <c r="A27" s="8" t="s">
        <v>133</v>
      </c>
      <c r="B27" s="8">
        <v>2021</v>
      </c>
      <c r="C27" s="8" t="s">
        <v>351</v>
      </c>
      <c r="D27" s="8" t="s">
        <v>47</v>
      </c>
      <c r="E27" s="9" t="s">
        <v>352</v>
      </c>
      <c r="F27" s="1">
        <v>12070</v>
      </c>
      <c r="G27" s="2" t="str">
        <f t="shared" si="6"/>
        <v>0.0003-0.0108</v>
      </c>
      <c r="H27" s="12">
        <f t="shared" si="1"/>
        <v>2.9999999999999997E-4</v>
      </c>
      <c r="I27" s="12">
        <f t="shared" si="2"/>
        <v>1.0800000000000001E-2</v>
      </c>
      <c r="J27" s="12">
        <f t="shared" si="3"/>
        <v>5.5500000000000002E-3</v>
      </c>
      <c r="K27" s="2" t="s">
        <v>354</v>
      </c>
    </row>
    <row r="28" spans="1:11" x14ac:dyDescent="0.25">
      <c r="A28" s="8" t="s">
        <v>133</v>
      </c>
      <c r="B28" s="8">
        <v>2021</v>
      </c>
      <c r="C28" s="8" t="s">
        <v>351</v>
      </c>
      <c r="D28" s="8" t="s">
        <v>47</v>
      </c>
      <c r="E28" s="9" t="s">
        <v>352</v>
      </c>
      <c r="F28" s="1">
        <v>20724</v>
      </c>
      <c r="G28" s="2" t="str">
        <f t="shared" si="6"/>
        <v>0.0002-0.0063</v>
      </c>
      <c r="H28" s="12">
        <f t="shared" si="1"/>
        <v>2.0000000000000001E-4</v>
      </c>
      <c r="I28" s="12">
        <f t="shared" si="2"/>
        <v>6.3E-3</v>
      </c>
      <c r="J28" s="12">
        <f t="shared" si="3"/>
        <v>3.2499999999999999E-3</v>
      </c>
      <c r="K28" s="2" t="s">
        <v>324</v>
      </c>
    </row>
    <row r="29" spans="1:11" x14ac:dyDescent="0.25">
      <c r="A29" s="8" t="s">
        <v>141</v>
      </c>
      <c r="B29" s="8">
        <v>2020</v>
      </c>
      <c r="C29" s="8" t="s">
        <v>142</v>
      </c>
      <c r="D29" s="8" t="s">
        <v>71</v>
      </c>
      <c r="E29" s="9" t="s">
        <v>355</v>
      </c>
      <c r="F29" s="2">
        <v>17529.41</v>
      </c>
      <c r="G29" s="2" t="str">
        <f t="shared" si="6"/>
        <v>0.0006-0.0057</v>
      </c>
      <c r="H29" s="12">
        <f t="shared" si="1"/>
        <v>5.9999999999999995E-4</v>
      </c>
      <c r="I29" s="12">
        <f t="shared" si="2"/>
        <v>5.7000000000000002E-3</v>
      </c>
      <c r="J29" s="12">
        <f t="shared" si="3"/>
        <v>3.15E-3</v>
      </c>
      <c r="K29" s="2" t="s">
        <v>325</v>
      </c>
    </row>
    <row r="30" spans="1:11" x14ac:dyDescent="0.25">
      <c r="A30" s="8" t="s">
        <v>143</v>
      </c>
      <c r="B30" s="8">
        <v>2020</v>
      </c>
      <c r="C30" s="8" t="s">
        <v>142</v>
      </c>
      <c r="D30" s="8" t="s">
        <v>46</v>
      </c>
      <c r="E30" s="9" t="s">
        <v>356</v>
      </c>
      <c r="F30" s="2">
        <v>14882</v>
      </c>
      <c r="G30" s="2" t="str">
        <f t="shared" si="6"/>
        <v>0.0016-0.0087</v>
      </c>
      <c r="H30" s="12">
        <f t="shared" si="1"/>
        <v>1.6000000000000001E-3</v>
      </c>
      <c r="I30" s="12">
        <f t="shared" si="2"/>
        <v>8.6999999999999994E-3</v>
      </c>
      <c r="J30" s="12">
        <f t="shared" si="3"/>
        <v>5.1500000000000001E-3</v>
      </c>
      <c r="K30" s="2" t="s">
        <v>357</v>
      </c>
    </row>
    <row r="31" spans="1:11" x14ac:dyDescent="0.25">
      <c r="A31" s="8" t="s">
        <v>143</v>
      </c>
      <c r="B31" s="8">
        <v>2020</v>
      </c>
      <c r="C31" s="8" t="s">
        <v>142</v>
      </c>
      <c r="D31" s="8" t="s">
        <v>47</v>
      </c>
      <c r="E31" s="9" t="s">
        <v>356</v>
      </c>
      <c r="F31" s="2">
        <v>14882</v>
      </c>
      <c r="G31" s="2" t="str">
        <f t="shared" si="6"/>
        <v>0.0016-0.0087</v>
      </c>
      <c r="H31" s="12">
        <f t="shared" si="1"/>
        <v>1.6000000000000001E-3</v>
      </c>
      <c r="I31" s="12">
        <f t="shared" si="2"/>
        <v>8.6999999999999994E-3</v>
      </c>
      <c r="J31" s="12">
        <f t="shared" si="3"/>
        <v>5.1500000000000001E-3</v>
      </c>
      <c r="K31" s="2" t="s">
        <v>357</v>
      </c>
    </row>
    <row r="32" spans="1:11" x14ac:dyDescent="0.25">
      <c r="A32" s="8" t="s">
        <v>143</v>
      </c>
      <c r="B32" s="8">
        <v>2020</v>
      </c>
      <c r="C32" s="8" t="s">
        <v>142</v>
      </c>
      <c r="D32" s="8" t="s">
        <v>48</v>
      </c>
      <c r="E32" s="9" t="s">
        <v>356</v>
      </c>
      <c r="F32" s="2">
        <v>14882</v>
      </c>
      <c r="G32" s="2" t="str">
        <f t="shared" si="6"/>
        <v>0.0016-0.0087</v>
      </c>
      <c r="H32" s="12">
        <f t="shared" si="1"/>
        <v>1.6000000000000001E-3</v>
      </c>
      <c r="I32" s="12">
        <f t="shared" si="2"/>
        <v>8.6999999999999994E-3</v>
      </c>
      <c r="J32" s="12">
        <f t="shared" si="3"/>
        <v>5.1500000000000001E-3</v>
      </c>
      <c r="K32" s="2" t="s">
        <v>357</v>
      </c>
    </row>
    <row r="33" spans="1:11" x14ac:dyDescent="0.25">
      <c r="A33" s="8" t="s">
        <v>276</v>
      </c>
      <c r="B33" s="8">
        <v>2020</v>
      </c>
      <c r="C33" s="8" t="s">
        <v>201</v>
      </c>
      <c r="D33" s="8" t="s">
        <v>46</v>
      </c>
      <c r="E33" s="2" t="s">
        <v>311</v>
      </c>
      <c r="F33" s="8" t="s">
        <v>311</v>
      </c>
      <c r="G33" s="2" t="s">
        <v>373</v>
      </c>
      <c r="H33" s="12">
        <f t="shared" si="1"/>
        <v>2.2000000000000001E-3</v>
      </c>
      <c r="I33" s="12">
        <f t="shared" si="2"/>
        <v>6.7000000000000002E-3</v>
      </c>
      <c r="J33" s="12">
        <f t="shared" si="3"/>
        <v>4.45E-3</v>
      </c>
      <c r="K33" s="2"/>
    </row>
    <row r="34" spans="1:11" x14ac:dyDescent="0.25">
      <c r="A34" s="8" t="s">
        <v>144</v>
      </c>
      <c r="B34" s="8">
        <v>2020</v>
      </c>
      <c r="C34" s="8" t="s">
        <v>142</v>
      </c>
      <c r="D34" s="8" t="s">
        <v>46</v>
      </c>
      <c r="E34" s="9" t="s">
        <v>356</v>
      </c>
      <c r="F34" s="2">
        <v>14882</v>
      </c>
      <c r="G34" s="2" t="str">
        <f t="shared" ref="G34:G36" si="7">TEXT(LEFT(E34,FIND("-",E34)-1)/(F34),"0.0000") &amp; "-" &amp; TEXT(RIGHT(E34,LEN(E34)-FIND("-",E34))/(F34),"0.0000")</f>
        <v>0.0016-0.0087</v>
      </c>
      <c r="H34" s="12">
        <f t="shared" si="1"/>
        <v>1.6000000000000001E-3</v>
      </c>
      <c r="I34" s="12">
        <f t="shared" si="2"/>
        <v>8.6999999999999994E-3</v>
      </c>
      <c r="J34" s="12">
        <f t="shared" si="3"/>
        <v>5.1500000000000001E-3</v>
      </c>
      <c r="K34" s="2" t="s">
        <v>357</v>
      </c>
    </row>
    <row r="35" spans="1:11" x14ac:dyDescent="0.25">
      <c r="A35" s="8" t="s">
        <v>144</v>
      </c>
      <c r="B35" s="8">
        <v>2020</v>
      </c>
      <c r="C35" s="8" t="s">
        <v>142</v>
      </c>
      <c r="D35" s="8" t="s">
        <v>47</v>
      </c>
      <c r="E35" s="9" t="s">
        <v>356</v>
      </c>
      <c r="F35" s="2">
        <v>14882</v>
      </c>
      <c r="G35" s="2" t="str">
        <f t="shared" si="7"/>
        <v>0.0016-0.0087</v>
      </c>
      <c r="H35" s="12">
        <f t="shared" si="1"/>
        <v>1.6000000000000001E-3</v>
      </c>
      <c r="I35" s="12">
        <f t="shared" si="2"/>
        <v>8.6999999999999994E-3</v>
      </c>
      <c r="J35" s="12">
        <f t="shared" si="3"/>
        <v>5.1500000000000001E-3</v>
      </c>
      <c r="K35" s="2" t="s">
        <v>357</v>
      </c>
    </row>
    <row r="36" spans="1:11" x14ac:dyDescent="0.25">
      <c r="A36" s="8" t="s">
        <v>144</v>
      </c>
      <c r="B36" s="8">
        <v>2020</v>
      </c>
      <c r="C36" s="8" t="s">
        <v>142</v>
      </c>
      <c r="D36" s="8" t="s">
        <v>48</v>
      </c>
      <c r="E36" s="9" t="s">
        <v>356</v>
      </c>
      <c r="F36" s="2">
        <v>14882</v>
      </c>
      <c r="G36" s="2" t="str">
        <f t="shared" si="7"/>
        <v>0.0016-0.0087</v>
      </c>
      <c r="H36" s="12">
        <f t="shared" si="1"/>
        <v>1.6000000000000001E-3</v>
      </c>
      <c r="I36" s="12">
        <f t="shared" si="2"/>
        <v>8.6999999999999994E-3</v>
      </c>
      <c r="J36" s="12">
        <f t="shared" si="3"/>
        <v>5.1500000000000001E-3</v>
      </c>
      <c r="K36" s="2" t="s">
        <v>357</v>
      </c>
    </row>
    <row r="37" spans="1:11" x14ac:dyDescent="0.25">
      <c r="A37" s="8" t="s">
        <v>278</v>
      </c>
      <c r="B37" s="8">
        <v>2019</v>
      </c>
      <c r="C37" s="8" t="s">
        <v>146</v>
      </c>
      <c r="D37" s="8" t="s">
        <v>46</v>
      </c>
      <c r="E37" s="9" t="s">
        <v>132</v>
      </c>
      <c r="F37" s="2">
        <v>2103</v>
      </c>
      <c r="G37" s="2" t="str">
        <f t="shared" ref="G37:G39" si="8">TEXT(E37/F37,"0.0000")</f>
        <v>0.0048</v>
      </c>
      <c r="H37" s="12">
        <f t="shared" si="1"/>
        <v>4.7999999999999996E-3</v>
      </c>
      <c r="I37" s="12">
        <f t="shared" si="2"/>
        <v>4.7999999999999996E-3</v>
      </c>
      <c r="J37" s="12">
        <f t="shared" si="3"/>
        <v>4.7999999999999996E-3</v>
      </c>
      <c r="K37" s="2" t="s">
        <v>358</v>
      </c>
    </row>
    <row r="38" spans="1:11" x14ac:dyDescent="0.25">
      <c r="A38" s="8" t="s">
        <v>278</v>
      </c>
      <c r="B38" s="8">
        <v>2019</v>
      </c>
      <c r="C38" s="8" t="s">
        <v>146</v>
      </c>
      <c r="D38" s="8" t="s">
        <v>47</v>
      </c>
      <c r="E38" s="9" t="s">
        <v>132</v>
      </c>
      <c r="F38" s="2">
        <v>2103</v>
      </c>
      <c r="G38" s="2" t="str">
        <f t="shared" si="8"/>
        <v>0.0048</v>
      </c>
      <c r="H38" s="12">
        <f t="shared" si="1"/>
        <v>4.7999999999999996E-3</v>
      </c>
      <c r="I38" s="12">
        <f t="shared" si="2"/>
        <v>4.7999999999999996E-3</v>
      </c>
      <c r="J38" s="12">
        <f t="shared" si="3"/>
        <v>4.7999999999999996E-3</v>
      </c>
      <c r="K38" s="2" t="s">
        <v>358</v>
      </c>
    </row>
    <row r="39" spans="1:11" x14ac:dyDescent="0.25">
      <c r="A39" s="8" t="s">
        <v>278</v>
      </c>
      <c r="B39" s="8">
        <v>2019</v>
      </c>
      <c r="C39" s="8" t="s">
        <v>146</v>
      </c>
      <c r="D39" s="8" t="s">
        <v>48</v>
      </c>
      <c r="E39" s="9" t="s">
        <v>132</v>
      </c>
      <c r="F39" s="2">
        <v>2103</v>
      </c>
      <c r="G39" s="2" t="str">
        <f t="shared" si="8"/>
        <v>0.0048</v>
      </c>
      <c r="H39" s="12">
        <f t="shared" si="1"/>
        <v>4.7999999999999996E-3</v>
      </c>
      <c r="I39" s="12">
        <f t="shared" si="2"/>
        <v>4.7999999999999996E-3</v>
      </c>
      <c r="J39" s="12">
        <f t="shared" si="3"/>
        <v>4.7999999999999996E-3</v>
      </c>
      <c r="K39" s="2" t="s">
        <v>358</v>
      </c>
    </row>
    <row r="40" spans="1:11" x14ac:dyDescent="0.25">
      <c r="A40" s="8" t="s">
        <v>133</v>
      </c>
      <c r="B40" s="8">
        <v>2018</v>
      </c>
      <c r="C40" s="8" t="s">
        <v>75</v>
      </c>
      <c r="D40" s="8" t="s">
        <v>46</v>
      </c>
      <c r="E40" s="9" t="s">
        <v>108</v>
      </c>
      <c r="F40" s="2">
        <v>210.27</v>
      </c>
      <c r="G40" s="2" t="str">
        <f t="shared" ref="G40:G44" si="9">TEXT(LEFT(E40,FIND("-",E40)-1)/(F40),"0.0000") &amp; "-" &amp; TEXT(RIGHT(E40,LEN(E40)-FIND("-",E40))/(F40),"0.0000")</f>
        <v>0.0190-0.0476</v>
      </c>
      <c r="H40" s="12">
        <f t="shared" si="1"/>
        <v>1.9E-2</v>
      </c>
      <c r="I40" s="12">
        <f t="shared" si="2"/>
        <v>4.7600000000000003E-2</v>
      </c>
      <c r="J40" s="12">
        <f t="shared" si="3"/>
        <v>3.3300000000000003E-2</v>
      </c>
      <c r="K40" s="2" t="s">
        <v>359</v>
      </c>
    </row>
    <row r="41" spans="1:11" x14ac:dyDescent="0.25">
      <c r="A41" s="8" t="s">
        <v>295</v>
      </c>
      <c r="B41" s="8">
        <v>2017</v>
      </c>
      <c r="C41" s="8" t="s">
        <v>75</v>
      </c>
      <c r="D41" s="8" t="s">
        <v>47</v>
      </c>
      <c r="E41" s="9" t="s">
        <v>360</v>
      </c>
      <c r="F41" s="1">
        <v>54128</v>
      </c>
      <c r="G41" s="2" t="str">
        <f t="shared" si="9"/>
        <v>0.0037-0.0185</v>
      </c>
      <c r="H41" s="12">
        <f t="shared" si="1"/>
        <v>3.7000000000000002E-3</v>
      </c>
      <c r="I41" s="12">
        <f t="shared" si="2"/>
        <v>1.8499999999999999E-2</v>
      </c>
      <c r="J41" s="12">
        <f t="shared" si="3"/>
        <v>1.1099999999999999E-2</v>
      </c>
      <c r="K41" s="2" t="s">
        <v>361</v>
      </c>
    </row>
    <row r="42" spans="1:11" x14ac:dyDescent="0.25">
      <c r="A42" s="8" t="s">
        <v>295</v>
      </c>
      <c r="B42" s="8">
        <v>2017</v>
      </c>
      <c r="C42" s="8" t="s">
        <v>75</v>
      </c>
      <c r="D42" s="8" t="s">
        <v>47</v>
      </c>
      <c r="E42" s="9" t="s">
        <v>360</v>
      </c>
      <c r="F42" s="1">
        <v>47120</v>
      </c>
      <c r="G42" s="2" t="str">
        <f t="shared" si="9"/>
        <v>0.0042-0.0212</v>
      </c>
      <c r="H42" s="12">
        <f t="shared" si="1"/>
        <v>4.1999999999999997E-3</v>
      </c>
      <c r="I42" s="12">
        <f t="shared" si="2"/>
        <v>2.12E-2</v>
      </c>
      <c r="J42" s="12">
        <f t="shared" si="3"/>
        <v>1.2699999999999999E-2</v>
      </c>
      <c r="K42" s="2" t="s">
        <v>362</v>
      </c>
    </row>
    <row r="43" spans="1:11" x14ac:dyDescent="0.25">
      <c r="A43" s="8" t="s">
        <v>298</v>
      </c>
      <c r="B43" s="8">
        <v>2017</v>
      </c>
      <c r="C43" s="8" t="s">
        <v>75</v>
      </c>
      <c r="D43" s="8" t="s">
        <v>47</v>
      </c>
      <c r="E43" s="9" t="s">
        <v>360</v>
      </c>
      <c r="F43" s="1">
        <v>54128</v>
      </c>
      <c r="G43" s="2" t="str">
        <f t="shared" si="9"/>
        <v>0.0037-0.0185</v>
      </c>
      <c r="H43" s="12">
        <f t="shared" si="1"/>
        <v>3.7000000000000002E-3</v>
      </c>
      <c r="I43" s="12">
        <f t="shared" si="2"/>
        <v>1.8499999999999999E-2</v>
      </c>
      <c r="J43" s="12">
        <f t="shared" si="3"/>
        <v>1.1099999999999999E-2</v>
      </c>
      <c r="K43" s="2" t="s">
        <v>361</v>
      </c>
    </row>
    <row r="44" spans="1:11" x14ac:dyDescent="0.25">
      <c r="A44" s="8" t="s">
        <v>298</v>
      </c>
      <c r="B44" s="8">
        <v>2017</v>
      </c>
      <c r="C44" s="8" t="s">
        <v>75</v>
      </c>
      <c r="D44" s="8" t="s">
        <v>47</v>
      </c>
      <c r="E44" s="9" t="s">
        <v>360</v>
      </c>
      <c r="F44" s="1">
        <v>47120</v>
      </c>
      <c r="G44" s="2" t="str">
        <f t="shared" si="9"/>
        <v>0.0042-0.0212</v>
      </c>
      <c r="H44" s="12">
        <f t="shared" si="1"/>
        <v>4.1999999999999997E-3</v>
      </c>
      <c r="I44" s="12">
        <f t="shared" si="2"/>
        <v>2.12E-2</v>
      </c>
      <c r="J44" s="12">
        <f t="shared" si="3"/>
        <v>1.2699999999999999E-2</v>
      </c>
      <c r="K44" s="2" t="s">
        <v>362</v>
      </c>
    </row>
  </sheetData>
  <phoneticPr fontId="1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029"/>
  <sheetViews>
    <sheetView workbookViewId="0"/>
  </sheetViews>
  <sheetFormatPr defaultColWidth="14.42578125" defaultRowHeight="15" x14ac:dyDescent="0.25"/>
  <cols>
    <col min="1" max="1" width="15.7109375" customWidth="1"/>
    <col min="2" max="4" width="8.7109375" customWidth="1"/>
    <col min="5" max="5" width="9" style="19" customWidth="1"/>
    <col min="6" max="29" width="8.7109375" customWidth="1"/>
  </cols>
  <sheetData>
    <row r="1" spans="1:9" ht="14.25" customHeight="1" x14ac:dyDescent="0.25">
      <c r="A1" s="3" t="s">
        <v>51</v>
      </c>
      <c r="B1" s="3" t="s">
        <v>52</v>
      </c>
      <c r="C1" s="3" t="s">
        <v>54</v>
      </c>
      <c r="D1" s="3" t="s">
        <v>55</v>
      </c>
      <c r="E1" s="18" t="s">
        <v>374</v>
      </c>
      <c r="F1" s="3" t="s">
        <v>60</v>
      </c>
      <c r="G1" s="3" t="s">
        <v>61</v>
      </c>
      <c r="H1" s="3" t="s">
        <v>56</v>
      </c>
      <c r="I1" s="3" t="s">
        <v>3</v>
      </c>
    </row>
    <row r="2" spans="1:9" ht="14.25" customHeight="1" x14ac:dyDescent="0.25">
      <c r="A2" s="6" t="s">
        <v>69</v>
      </c>
      <c r="B2" s="3">
        <v>2026</v>
      </c>
      <c r="C2" s="3" t="s">
        <v>70</v>
      </c>
      <c r="D2" s="3" t="s">
        <v>71</v>
      </c>
      <c r="E2" s="19" t="s">
        <v>375</v>
      </c>
      <c r="F2" s="3">
        <v>3</v>
      </c>
      <c r="G2" s="3">
        <v>7</v>
      </c>
      <c r="H2" s="3">
        <f>IF(ISNUMBER(FIND("-",E2)),(LEFT(E2,FIND("-",E2)-1) + MID(E2,FIND("-",E2)+1,LEN(E2))) / 2,E2*1)</f>
        <v>5</v>
      </c>
      <c r="I2" s="3" t="s">
        <v>376</v>
      </c>
    </row>
    <row r="3" spans="1:9" ht="14.25" customHeight="1" x14ac:dyDescent="0.25">
      <c r="A3" s="6" t="s">
        <v>169</v>
      </c>
      <c r="B3" s="3">
        <v>2026</v>
      </c>
      <c r="C3" s="3" t="s">
        <v>66</v>
      </c>
      <c r="D3" s="3" t="s">
        <v>46</v>
      </c>
      <c r="E3" s="19">
        <v>0</v>
      </c>
      <c r="F3" s="3">
        <v>0</v>
      </c>
      <c r="G3" s="3">
        <v>0</v>
      </c>
      <c r="H3" s="3">
        <v>0</v>
      </c>
      <c r="I3" s="3" t="s">
        <v>376</v>
      </c>
    </row>
    <row r="4" spans="1:9" ht="14.25" customHeight="1" x14ac:dyDescent="0.25">
      <c r="A4" s="6" t="s">
        <v>169</v>
      </c>
      <c r="B4" s="3">
        <v>2026</v>
      </c>
      <c r="C4" s="3" t="s">
        <v>66</v>
      </c>
      <c r="D4" s="3" t="s">
        <v>48</v>
      </c>
      <c r="E4" s="19">
        <v>10</v>
      </c>
      <c r="F4" s="3">
        <v>10</v>
      </c>
      <c r="G4" s="3">
        <v>10</v>
      </c>
      <c r="H4" s="3">
        <v>10</v>
      </c>
      <c r="I4" s="3" t="s">
        <v>376</v>
      </c>
    </row>
    <row r="5" spans="1:9" ht="14.25" customHeight="1" x14ac:dyDescent="0.25">
      <c r="A5" s="6" t="s">
        <v>172</v>
      </c>
      <c r="B5" s="3">
        <v>2026</v>
      </c>
      <c r="C5" s="3" t="s">
        <v>173</v>
      </c>
      <c r="D5" s="3" t="s">
        <v>48</v>
      </c>
      <c r="E5" s="19">
        <v>10</v>
      </c>
      <c r="F5" s="3">
        <v>10</v>
      </c>
      <c r="G5" s="3">
        <v>10</v>
      </c>
      <c r="H5" s="3">
        <f t="shared" ref="H5:H10" si="0">IF(ISNUMBER(FIND("-",E5)),(LEFT(E5,FIND("-",E5)-1) + MID(E5,FIND("-",E5)+1,LEN(E5))) / 2,E5*1)</f>
        <v>10</v>
      </c>
      <c r="I5" s="3" t="s">
        <v>377</v>
      </c>
    </row>
    <row r="6" spans="1:9" ht="14.25" customHeight="1" x14ac:dyDescent="0.25">
      <c r="A6" s="6" t="s">
        <v>81</v>
      </c>
      <c r="B6" s="3">
        <v>2026</v>
      </c>
      <c r="C6" s="3" t="s">
        <v>65</v>
      </c>
      <c r="D6" s="3" t="s">
        <v>46</v>
      </c>
      <c r="E6" s="18" t="s">
        <v>82</v>
      </c>
      <c r="F6" s="3">
        <v>5</v>
      </c>
      <c r="G6" s="3">
        <v>15</v>
      </c>
      <c r="H6" s="3">
        <f t="shared" si="0"/>
        <v>10</v>
      </c>
      <c r="I6" s="3" t="s">
        <v>376</v>
      </c>
    </row>
    <row r="7" spans="1:9" ht="14.25" customHeight="1" x14ac:dyDescent="0.25">
      <c r="A7" s="6" t="s">
        <v>81</v>
      </c>
      <c r="B7" s="3">
        <v>2026</v>
      </c>
      <c r="C7" s="3" t="s">
        <v>65</v>
      </c>
      <c r="D7" s="3" t="s">
        <v>47</v>
      </c>
      <c r="E7" s="18" t="s">
        <v>82</v>
      </c>
      <c r="F7" s="3">
        <v>5</v>
      </c>
      <c r="G7" s="3">
        <v>25</v>
      </c>
      <c r="H7" s="3">
        <f t="shared" si="0"/>
        <v>10</v>
      </c>
      <c r="I7" s="3" t="s">
        <v>376</v>
      </c>
    </row>
    <row r="8" spans="1:9" ht="14.25" customHeight="1" x14ac:dyDescent="0.25">
      <c r="A8" s="6" t="s">
        <v>84</v>
      </c>
      <c r="B8" s="3">
        <v>2026</v>
      </c>
      <c r="C8" s="3" t="s">
        <v>65</v>
      </c>
      <c r="D8" s="3" t="s">
        <v>46</v>
      </c>
      <c r="E8" s="18" t="s">
        <v>85</v>
      </c>
      <c r="F8" s="3">
        <v>10</v>
      </c>
      <c r="G8" s="3">
        <v>25</v>
      </c>
      <c r="H8" s="3">
        <f t="shared" si="0"/>
        <v>17.5</v>
      </c>
      <c r="I8" s="3" t="s">
        <v>86</v>
      </c>
    </row>
    <row r="9" spans="1:9" ht="14.25" customHeight="1" x14ac:dyDescent="0.25">
      <c r="A9" s="3" t="s">
        <v>180</v>
      </c>
      <c r="B9" s="3">
        <v>2025</v>
      </c>
      <c r="C9" s="3" t="s">
        <v>142</v>
      </c>
      <c r="D9" s="3" t="s">
        <v>48</v>
      </c>
      <c r="E9" s="18">
        <v>5</v>
      </c>
      <c r="F9" s="3">
        <f t="shared" ref="F9:F10" si="1">IF(ISNUMBER(FIND("-", E9)), LEFT(E9, FIND("-", E9) - 1) * 1, E9 * 1)</f>
        <v>5</v>
      </c>
      <c r="G9" s="3">
        <f t="shared" ref="G9:G10" si="2">IF(ISNUMBER(FIND("-", E9)), MID(E9, FIND("-", E9) + 1, LEN(E9)) * 1, E9 * 1)</f>
        <v>5</v>
      </c>
      <c r="H9" s="3">
        <f t="shared" si="0"/>
        <v>5</v>
      </c>
      <c r="I9" s="3" t="s">
        <v>378</v>
      </c>
    </row>
    <row r="10" spans="1:9" ht="14.25" customHeight="1" x14ac:dyDescent="0.25">
      <c r="A10" s="3" t="s">
        <v>87</v>
      </c>
      <c r="B10" s="3">
        <v>2025</v>
      </c>
      <c r="C10" s="3" t="s">
        <v>88</v>
      </c>
      <c r="D10" s="3" t="s">
        <v>48</v>
      </c>
      <c r="E10" s="18" t="s">
        <v>82</v>
      </c>
      <c r="F10" s="3">
        <f t="shared" si="1"/>
        <v>5</v>
      </c>
      <c r="G10" s="3">
        <f t="shared" si="2"/>
        <v>15</v>
      </c>
      <c r="H10" s="3">
        <f t="shared" si="0"/>
        <v>10</v>
      </c>
      <c r="I10" s="3" t="s">
        <v>376</v>
      </c>
    </row>
    <row r="11" spans="1:9" ht="14.25" customHeight="1" x14ac:dyDescent="0.25">
      <c r="A11" s="3" t="s">
        <v>90</v>
      </c>
      <c r="B11" s="3">
        <v>2025</v>
      </c>
      <c r="C11" s="3" t="s">
        <v>75</v>
      </c>
      <c r="D11" s="3" t="s">
        <v>47</v>
      </c>
      <c r="E11" s="18" t="s">
        <v>92</v>
      </c>
      <c r="F11" s="3">
        <v>15</v>
      </c>
      <c r="G11" s="3">
        <v>15</v>
      </c>
      <c r="H11" s="3">
        <v>15</v>
      </c>
      <c r="I11" s="3" t="s">
        <v>379</v>
      </c>
    </row>
    <row r="12" spans="1:9" ht="14.25" customHeight="1" x14ac:dyDescent="0.25">
      <c r="A12" s="3" t="s">
        <v>182</v>
      </c>
      <c r="B12" s="3">
        <v>2025</v>
      </c>
      <c r="C12" s="3" t="s">
        <v>65</v>
      </c>
      <c r="D12" s="3" t="s">
        <v>46</v>
      </c>
      <c r="E12" s="18" t="s">
        <v>77</v>
      </c>
      <c r="F12" s="3">
        <f t="shared" ref="F12:F18" si="3">IF(ISNUMBER(FIND("-", E12)), LEFT(E12, FIND("-", E12) - 1) * 1, E12 * 1)</f>
        <v>5</v>
      </c>
      <c r="G12" s="3">
        <f t="shared" ref="G12:G18" si="4">IF(ISNUMBER(FIND("-", E12)), MID(E12, FIND("-", E12) + 1, LEN(E12)) * 1, E12 * 1)</f>
        <v>5</v>
      </c>
      <c r="H12" s="3">
        <f t="shared" ref="H12:H18" si="5">IF(ISNUMBER(FIND("-",E12)),(LEFT(E12,FIND("-",E12)-1) + MID(E12,FIND("-",E12)+1,LEN(E12))) / 2,E12*1)</f>
        <v>5</v>
      </c>
      <c r="I12" s="3" t="s">
        <v>380</v>
      </c>
    </row>
    <row r="13" spans="1:9" ht="14.25" customHeight="1" x14ac:dyDescent="0.25">
      <c r="A13" s="3" t="s">
        <v>186</v>
      </c>
      <c r="B13" s="3">
        <v>2025</v>
      </c>
      <c r="C13" s="3" t="s">
        <v>65</v>
      </c>
      <c r="D13" s="3" t="s">
        <v>71</v>
      </c>
      <c r="E13" s="18" t="s">
        <v>381</v>
      </c>
      <c r="F13" s="3">
        <f t="shared" si="3"/>
        <v>1</v>
      </c>
      <c r="G13" s="3">
        <f t="shared" si="4"/>
        <v>11</v>
      </c>
      <c r="H13" s="3">
        <f t="shared" si="5"/>
        <v>6</v>
      </c>
      <c r="I13" s="3" t="s">
        <v>376</v>
      </c>
    </row>
    <row r="14" spans="1:9" ht="14.25" customHeight="1" x14ac:dyDescent="0.25">
      <c r="A14" s="3" t="s">
        <v>95</v>
      </c>
      <c r="B14" s="3">
        <v>2025</v>
      </c>
      <c r="C14" s="3" t="s">
        <v>96</v>
      </c>
      <c r="D14" s="3" t="s">
        <v>46</v>
      </c>
      <c r="E14" s="18" t="s">
        <v>82</v>
      </c>
      <c r="F14" s="3">
        <f t="shared" si="3"/>
        <v>5</v>
      </c>
      <c r="G14" s="3">
        <f t="shared" si="4"/>
        <v>15</v>
      </c>
      <c r="H14" s="3">
        <f t="shared" si="5"/>
        <v>10</v>
      </c>
      <c r="I14" s="3" t="s">
        <v>382</v>
      </c>
    </row>
    <row r="15" spans="1:9" ht="14.25" customHeight="1" x14ac:dyDescent="0.25">
      <c r="A15" s="3" t="s">
        <v>95</v>
      </c>
      <c r="B15" s="3">
        <v>2025</v>
      </c>
      <c r="C15" s="3" t="s">
        <v>96</v>
      </c>
      <c r="D15" s="3" t="s">
        <v>47</v>
      </c>
      <c r="E15" s="18" t="s">
        <v>82</v>
      </c>
      <c r="F15" s="3">
        <f t="shared" si="3"/>
        <v>5</v>
      </c>
      <c r="G15" s="3">
        <f t="shared" si="4"/>
        <v>15</v>
      </c>
      <c r="H15" s="3">
        <f t="shared" si="5"/>
        <v>10</v>
      </c>
      <c r="I15" s="3" t="s">
        <v>382</v>
      </c>
    </row>
    <row r="16" spans="1:9" ht="14.25" customHeight="1" x14ac:dyDescent="0.25">
      <c r="A16" s="3" t="s">
        <v>95</v>
      </c>
      <c r="B16" s="3">
        <v>2025</v>
      </c>
      <c r="C16" s="3" t="s">
        <v>96</v>
      </c>
      <c r="D16" s="3" t="s">
        <v>48</v>
      </c>
      <c r="E16" s="18" t="s">
        <v>82</v>
      </c>
      <c r="F16" s="3">
        <f t="shared" si="3"/>
        <v>5</v>
      </c>
      <c r="G16" s="3">
        <f t="shared" si="4"/>
        <v>15</v>
      </c>
      <c r="H16" s="3">
        <f t="shared" si="5"/>
        <v>10</v>
      </c>
      <c r="I16" s="3" t="s">
        <v>382</v>
      </c>
    </row>
    <row r="17" spans="1:11" ht="14.25" customHeight="1" x14ac:dyDescent="0.25">
      <c r="A17" s="3" t="s">
        <v>98</v>
      </c>
      <c r="B17" s="3">
        <v>2025</v>
      </c>
      <c r="C17" s="3" t="s">
        <v>70</v>
      </c>
      <c r="D17" s="3" t="s">
        <v>48</v>
      </c>
      <c r="E17" s="18" t="s">
        <v>307</v>
      </c>
      <c r="F17" s="3">
        <f t="shared" si="3"/>
        <v>4</v>
      </c>
      <c r="G17" s="3">
        <f t="shared" si="4"/>
        <v>4</v>
      </c>
      <c r="H17" s="3">
        <f t="shared" si="5"/>
        <v>4</v>
      </c>
      <c r="I17" s="3" t="s">
        <v>380</v>
      </c>
    </row>
    <row r="18" spans="1:11" ht="14.25" customHeight="1" x14ac:dyDescent="0.25">
      <c r="A18" s="3" t="s">
        <v>383</v>
      </c>
      <c r="B18" s="4" t="s">
        <v>91</v>
      </c>
      <c r="C18" s="3" t="s">
        <v>88</v>
      </c>
      <c r="D18" s="3" t="s">
        <v>48</v>
      </c>
      <c r="E18" s="18" t="s">
        <v>82</v>
      </c>
      <c r="F18" s="3">
        <f t="shared" si="3"/>
        <v>5</v>
      </c>
      <c r="G18" s="3">
        <f t="shared" si="4"/>
        <v>15</v>
      </c>
      <c r="H18" s="3">
        <f t="shared" si="5"/>
        <v>10</v>
      </c>
      <c r="I18" s="3" t="s">
        <v>376</v>
      </c>
      <c r="K18" s="2"/>
    </row>
    <row r="19" spans="1:11" ht="14.25" customHeight="1" x14ac:dyDescent="0.25">
      <c r="A19" s="6" t="s">
        <v>111</v>
      </c>
      <c r="B19" s="3">
        <v>2025</v>
      </c>
      <c r="C19" s="3" t="s">
        <v>75</v>
      </c>
      <c r="D19" s="3" t="s">
        <v>48</v>
      </c>
      <c r="E19" s="19" t="s">
        <v>82</v>
      </c>
      <c r="F19" s="3">
        <v>5</v>
      </c>
      <c r="G19" s="3">
        <v>15</v>
      </c>
      <c r="H19" s="3">
        <v>10</v>
      </c>
      <c r="I19" s="3" t="s">
        <v>376</v>
      </c>
      <c r="K19" s="2"/>
    </row>
    <row r="20" spans="1:11" ht="14.25" customHeight="1" x14ac:dyDescent="0.25">
      <c r="A20" s="3" t="s">
        <v>198</v>
      </c>
      <c r="B20" s="4" t="s">
        <v>91</v>
      </c>
      <c r="C20" s="3" t="s">
        <v>65</v>
      </c>
      <c r="D20" s="3" t="s">
        <v>46</v>
      </c>
      <c r="E20" s="18" t="s">
        <v>101</v>
      </c>
      <c r="F20" s="3">
        <f t="shared" ref="F20:F77" si="6">IF(ISNUMBER(FIND("-", E20)), LEFT(E20, FIND("-", E20) - 1) * 1, E20 * 1)</f>
        <v>2</v>
      </c>
      <c r="G20" s="3">
        <f t="shared" ref="G20:G77" si="7">IF(ISNUMBER(FIND("-", E20)), MID(E20, FIND("-", E20) + 1, LEN(E20)) * 1, E20 * 1)</f>
        <v>6</v>
      </c>
      <c r="H20" s="3">
        <f t="shared" ref="H20:H77" si="8">IF(ISNUMBER(FIND("-",E20)),(LEFT(E20,FIND("-",E20)-1) + MID(E20,FIND("-",E20)+1,LEN(E20))) / 2,E20*1)</f>
        <v>4</v>
      </c>
      <c r="I20" s="3" t="s">
        <v>150</v>
      </c>
      <c r="K20" s="2" t="s">
        <v>384</v>
      </c>
    </row>
    <row r="21" spans="1:11" ht="14.25" customHeight="1" x14ac:dyDescent="0.25">
      <c r="A21" s="3" t="s">
        <v>198</v>
      </c>
      <c r="B21" s="4" t="s">
        <v>91</v>
      </c>
      <c r="C21" s="3" t="s">
        <v>65</v>
      </c>
      <c r="D21" s="3" t="s">
        <v>46</v>
      </c>
      <c r="E21" s="18" t="s">
        <v>105</v>
      </c>
      <c r="F21" s="3">
        <f t="shared" si="6"/>
        <v>6</v>
      </c>
      <c r="G21" s="3">
        <f t="shared" si="7"/>
        <v>14</v>
      </c>
      <c r="H21" s="3">
        <f t="shared" si="8"/>
        <v>10</v>
      </c>
      <c r="I21" s="3" t="s">
        <v>150</v>
      </c>
      <c r="K21" s="2" t="s">
        <v>385</v>
      </c>
    </row>
    <row r="22" spans="1:11" ht="14.25" customHeight="1" x14ac:dyDescent="0.25">
      <c r="A22" s="3" t="s">
        <v>198</v>
      </c>
      <c r="B22" s="4" t="s">
        <v>91</v>
      </c>
      <c r="C22" s="3" t="s">
        <v>65</v>
      </c>
      <c r="D22" s="3" t="s">
        <v>46</v>
      </c>
      <c r="E22" s="18" t="s">
        <v>108</v>
      </c>
      <c r="F22" s="3">
        <f t="shared" si="6"/>
        <v>4</v>
      </c>
      <c r="G22" s="3">
        <f t="shared" si="7"/>
        <v>10</v>
      </c>
      <c r="H22" s="3">
        <f t="shared" si="8"/>
        <v>7</v>
      </c>
      <c r="I22" s="3" t="s">
        <v>150</v>
      </c>
      <c r="K22" s="2" t="s">
        <v>386</v>
      </c>
    </row>
    <row r="23" spans="1:11" ht="14.25" customHeight="1" x14ac:dyDescent="0.25">
      <c r="A23" s="3" t="s">
        <v>199</v>
      </c>
      <c r="B23" s="4" t="s">
        <v>91</v>
      </c>
      <c r="C23" s="3" t="s">
        <v>65</v>
      </c>
      <c r="D23" s="3" t="s">
        <v>46</v>
      </c>
      <c r="E23" s="18" t="s">
        <v>101</v>
      </c>
      <c r="F23" s="3">
        <f t="shared" si="6"/>
        <v>2</v>
      </c>
      <c r="G23" s="3">
        <f t="shared" si="7"/>
        <v>6</v>
      </c>
      <c r="H23" s="3">
        <f t="shared" si="8"/>
        <v>4</v>
      </c>
      <c r="I23" s="3" t="s">
        <v>150</v>
      </c>
      <c r="K23" s="2" t="s">
        <v>384</v>
      </c>
    </row>
    <row r="24" spans="1:11" ht="14.25" customHeight="1" x14ac:dyDescent="0.25">
      <c r="A24" s="3" t="s">
        <v>199</v>
      </c>
      <c r="B24" s="4" t="s">
        <v>91</v>
      </c>
      <c r="C24" s="3" t="s">
        <v>65</v>
      </c>
      <c r="D24" s="3" t="s">
        <v>46</v>
      </c>
      <c r="E24" s="18" t="s">
        <v>105</v>
      </c>
      <c r="F24" s="3">
        <f t="shared" si="6"/>
        <v>6</v>
      </c>
      <c r="G24" s="3">
        <f t="shared" si="7"/>
        <v>14</v>
      </c>
      <c r="H24" s="3">
        <f t="shared" si="8"/>
        <v>10</v>
      </c>
      <c r="I24" s="3" t="s">
        <v>150</v>
      </c>
      <c r="K24" s="2" t="s">
        <v>385</v>
      </c>
    </row>
    <row r="25" spans="1:11" ht="14.25" customHeight="1" x14ac:dyDescent="0.25">
      <c r="A25" s="3" t="s">
        <v>199</v>
      </c>
      <c r="B25" s="4" t="s">
        <v>91</v>
      </c>
      <c r="C25" s="3" t="s">
        <v>65</v>
      </c>
      <c r="D25" s="3" t="s">
        <v>46</v>
      </c>
      <c r="E25" s="18" t="s">
        <v>108</v>
      </c>
      <c r="F25" s="3">
        <f t="shared" si="6"/>
        <v>4</v>
      </c>
      <c r="G25" s="3">
        <f t="shared" si="7"/>
        <v>10</v>
      </c>
      <c r="H25" s="3">
        <f t="shared" si="8"/>
        <v>7</v>
      </c>
      <c r="I25" s="3" t="s">
        <v>150</v>
      </c>
      <c r="K25" s="2" t="s">
        <v>386</v>
      </c>
    </row>
    <row r="26" spans="1:11" ht="14.25" customHeight="1" x14ac:dyDescent="0.25">
      <c r="A26" s="3" t="s">
        <v>387</v>
      </c>
      <c r="B26" s="3">
        <v>2024</v>
      </c>
      <c r="C26" s="3" t="s">
        <v>201</v>
      </c>
      <c r="D26" s="3" t="s">
        <v>46</v>
      </c>
      <c r="E26" s="18" t="s">
        <v>388</v>
      </c>
      <c r="F26" s="3">
        <f t="shared" si="6"/>
        <v>3</v>
      </c>
      <c r="G26" s="3">
        <f t="shared" si="7"/>
        <v>3</v>
      </c>
      <c r="H26" s="3">
        <f t="shared" si="8"/>
        <v>3</v>
      </c>
      <c r="I26" s="3" t="s">
        <v>380</v>
      </c>
    </row>
    <row r="27" spans="1:11" ht="14.25" customHeight="1" x14ac:dyDescent="0.25">
      <c r="A27" s="3" t="s">
        <v>205</v>
      </c>
      <c r="B27" s="3">
        <v>2024</v>
      </c>
      <c r="C27" s="3" t="s">
        <v>70</v>
      </c>
      <c r="D27" s="3" t="s">
        <v>46</v>
      </c>
      <c r="E27" s="18" t="s">
        <v>389</v>
      </c>
      <c r="F27" s="3">
        <f t="shared" si="6"/>
        <v>0</v>
      </c>
      <c r="G27" s="3">
        <f t="shared" si="7"/>
        <v>15</v>
      </c>
      <c r="H27" s="3">
        <f t="shared" si="8"/>
        <v>7.5</v>
      </c>
      <c r="I27" s="3" t="s">
        <v>378</v>
      </c>
    </row>
    <row r="28" spans="1:11" ht="14.25" customHeight="1" x14ac:dyDescent="0.25">
      <c r="A28" s="3" t="s">
        <v>205</v>
      </c>
      <c r="B28" s="3">
        <v>2024</v>
      </c>
      <c r="C28" s="3" t="s">
        <v>70</v>
      </c>
      <c r="D28" s="3" t="s">
        <v>48</v>
      </c>
      <c r="E28" s="18" t="s">
        <v>389</v>
      </c>
      <c r="F28" s="3">
        <f t="shared" si="6"/>
        <v>0</v>
      </c>
      <c r="G28" s="3">
        <f t="shared" si="7"/>
        <v>15</v>
      </c>
      <c r="H28" s="3">
        <f t="shared" si="8"/>
        <v>7.5</v>
      </c>
      <c r="I28" s="3" t="s">
        <v>378</v>
      </c>
    </row>
    <row r="29" spans="1:11" ht="14.25" customHeight="1" x14ac:dyDescent="0.25">
      <c r="A29" s="3" t="s">
        <v>186</v>
      </c>
      <c r="B29" s="3">
        <v>2024</v>
      </c>
      <c r="C29" s="3" t="s">
        <v>208</v>
      </c>
      <c r="D29" s="3" t="s">
        <v>46</v>
      </c>
      <c r="E29" s="18" t="s">
        <v>390</v>
      </c>
      <c r="F29" s="3">
        <f t="shared" si="6"/>
        <v>2.5</v>
      </c>
      <c r="G29" s="3">
        <f t="shared" si="7"/>
        <v>2.5</v>
      </c>
      <c r="H29" s="3">
        <f t="shared" si="8"/>
        <v>2.5</v>
      </c>
      <c r="I29" s="3" t="s">
        <v>376</v>
      </c>
    </row>
    <row r="30" spans="1:11" ht="14.25" customHeight="1" x14ac:dyDescent="0.25">
      <c r="A30" s="3" t="s">
        <v>186</v>
      </c>
      <c r="B30" s="3">
        <v>2024</v>
      </c>
      <c r="C30" s="3" t="s">
        <v>208</v>
      </c>
      <c r="D30" s="3" t="s">
        <v>47</v>
      </c>
      <c r="E30" s="18" t="s">
        <v>390</v>
      </c>
      <c r="F30" s="3">
        <f t="shared" si="6"/>
        <v>2.5</v>
      </c>
      <c r="G30" s="3">
        <f t="shared" si="7"/>
        <v>2.5</v>
      </c>
      <c r="H30" s="3">
        <f t="shared" si="8"/>
        <v>2.5</v>
      </c>
      <c r="I30" s="3" t="s">
        <v>376</v>
      </c>
    </row>
    <row r="31" spans="1:11" ht="14.25" customHeight="1" x14ac:dyDescent="0.25">
      <c r="A31" s="3" t="s">
        <v>115</v>
      </c>
      <c r="B31" s="3">
        <v>2024</v>
      </c>
      <c r="C31" s="3" t="s">
        <v>96</v>
      </c>
      <c r="D31" s="3" t="s">
        <v>47</v>
      </c>
      <c r="E31" s="18" t="s">
        <v>82</v>
      </c>
      <c r="F31" s="3">
        <f t="shared" si="6"/>
        <v>5</v>
      </c>
      <c r="G31" s="3">
        <f t="shared" si="7"/>
        <v>15</v>
      </c>
      <c r="H31" s="3">
        <f t="shared" si="8"/>
        <v>10</v>
      </c>
      <c r="I31" s="3" t="s">
        <v>382</v>
      </c>
    </row>
    <row r="32" spans="1:11" ht="14.25" customHeight="1" x14ac:dyDescent="0.25">
      <c r="A32" s="3" t="s">
        <v>115</v>
      </c>
      <c r="B32" s="3">
        <v>2024</v>
      </c>
      <c r="C32" s="3" t="s">
        <v>96</v>
      </c>
      <c r="D32" s="3" t="s">
        <v>48</v>
      </c>
      <c r="E32" s="18" t="s">
        <v>82</v>
      </c>
      <c r="F32" s="3">
        <f t="shared" si="6"/>
        <v>5</v>
      </c>
      <c r="G32" s="3">
        <f t="shared" si="7"/>
        <v>15</v>
      </c>
      <c r="H32" s="3">
        <f t="shared" si="8"/>
        <v>10</v>
      </c>
      <c r="I32" s="3" t="s">
        <v>382</v>
      </c>
    </row>
    <row r="33" spans="1:9" ht="14.25" customHeight="1" x14ac:dyDescent="0.25">
      <c r="A33" s="3" t="s">
        <v>116</v>
      </c>
      <c r="B33" s="3">
        <v>2024</v>
      </c>
      <c r="C33" s="3" t="s">
        <v>96</v>
      </c>
      <c r="D33" s="3" t="s">
        <v>48</v>
      </c>
      <c r="E33" s="18" t="s">
        <v>82</v>
      </c>
      <c r="F33" s="3">
        <f t="shared" si="6"/>
        <v>5</v>
      </c>
      <c r="G33" s="3">
        <f t="shared" si="7"/>
        <v>15</v>
      </c>
      <c r="H33" s="3">
        <f t="shared" si="8"/>
        <v>10</v>
      </c>
      <c r="I33" s="3" t="s">
        <v>382</v>
      </c>
    </row>
    <row r="34" spans="1:9" ht="14.25" customHeight="1" x14ac:dyDescent="0.25">
      <c r="A34" s="3" t="s">
        <v>391</v>
      </c>
      <c r="B34" s="3">
        <v>2024</v>
      </c>
      <c r="C34" s="3" t="s">
        <v>65</v>
      </c>
      <c r="D34" s="3" t="s">
        <v>46</v>
      </c>
      <c r="E34" s="18" t="s">
        <v>392</v>
      </c>
      <c r="F34" s="3">
        <f t="shared" si="6"/>
        <v>1</v>
      </c>
      <c r="G34" s="3">
        <f t="shared" si="7"/>
        <v>1</v>
      </c>
      <c r="H34" s="3">
        <f t="shared" si="8"/>
        <v>1</v>
      </c>
      <c r="I34" s="3" t="s">
        <v>393</v>
      </c>
    </row>
    <row r="35" spans="1:9" ht="14.25" customHeight="1" x14ac:dyDescent="0.25">
      <c r="A35" s="3" t="s">
        <v>119</v>
      </c>
      <c r="B35" s="3">
        <v>2024</v>
      </c>
      <c r="C35" s="3" t="s">
        <v>118</v>
      </c>
      <c r="D35" s="3" t="s">
        <v>47</v>
      </c>
      <c r="E35" s="18" t="s">
        <v>120</v>
      </c>
      <c r="F35" s="3">
        <f t="shared" si="6"/>
        <v>5</v>
      </c>
      <c r="G35" s="3">
        <f t="shared" si="7"/>
        <v>10</v>
      </c>
      <c r="H35" s="3">
        <f t="shared" si="8"/>
        <v>7.5</v>
      </c>
      <c r="I35" s="3" t="s">
        <v>104</v>
      </c>
    </row>
    <row r="36" spans="1:9" ht="14.25" customHeight="1" x14ac:dyDescent="0.25">
      <c r="A36" s="3" t="s">
        <v>119</v>
      </c>
      <c r="B36" s="3">
        <v>2024</v>
      </c>
      <c r="C36" s="3" t="s">
        <v>118</v>
      </c>
      <c r="D36" s="3" t="s">
        <v>48</v>
      </c>
      <c r="E36" s="18" t="s">
        <v>120</v>
      </c>
      <c r="F36" s="3">
        <f t="shared" si="6"/>
        <v>5</v>
      </c>
      <c r="G36" s="3">
        <f t="shared" si="7"/>
        <v>10</v>
      </c>
      <c r="H36" s="3">
        <f t="shared" si="8"/>
        <v>7.5</v>
      </c>
      <c r="I36" s="3" t="s">
        <v>104</v>
      </c>
    </row>
    <row r="37" spans="1:9" ht="14.25" customHeight="1" x14ac:dyDescent="0.25">
      <c r="A37" s="3" t="s">
        <v>394</v>
      </c>
      <c r="B37" s="3">
        <v>2023</v>
      </c>
      <c r="C37" s="3" t="s">
        <v>70</v>
      </c>
      <c r="D37" s="3" t="s">
        <v>46</v>
      </c>
      <c r="E37" s="18" t="s">
        <v>395</v>
      </c>
      <c r="F37" s="3">
        <f t="shared" si="6"/>
        <v>0</v>
      </c>
      <c r="G37" s="3">
        <f t="shared" si="7"/>
        <v>7</v>
      </c>
      <c r="H37" s="3">
        <f t="shared" si="8"/>
        <v>3.5</v>
      </c>
      <c r="I37" s="3" t="s">
        <v>376</v>
      </c>
    </row>
    <row r="38" spans="1:9" ht="14.25" customHeight="1" x14ac:dyDescent="0.25">
      <c r="A38" s="3" t="s">
        <v>394</v>
      </c>
      <c r="B38" s="3">
        <v>2023</v>
      </c>
      <c r="C38" s="3" t="s">
        <v>70</v>
      </c>
      <c r="D38" s="3" t="s">
        <v>46</v>
      </c>
      <c r="E38" s="18" t="s">
        <v>395</v>
      </c>
      <c r="F38" s="3">
        <f t="shared" si="6"/>
        <v>0</v>
      </c>
      <c r="G38" s="3">
        <f t="shared" si="7"/>
        <v>7</v>
      </c>
      <c r="H38" s="3">
        <f t="shared" si="8"/>
        <v>3.5</v>
      </c>
      <c r="I38" s="3" t="s">
        <v>376</v>
      </c>
    </row>
    <row r="39" spans="1:9" ht="14.25" customHeight="1" x14ac:dyDescent="0.25">
      <c r="A39" s="3" t="s">
        <v>394</v>
      </c>
      <c r="B39" s="3">
        <v>2023</v>
      </c>
      <c r="C39" s="3" t="s">
        <v>70</v>
      </c>
      <c r="D39" s="3" t="s">
        <v>47</v>
      </c>
      <c r="E39" s="18" t="s">
        <v>395</v>
      </c>
      <c r="F39" s="3">
        <f t="shared" si="6"/>
        <v>0</v>
      </c>
      <c r="G39" s="3">
        <f t="shared" si="7"/>
        <v>7</v>
      </c>
      <c r="H39" s="3">
        <f t="shared" si="8"/>
        <v>3.5</v>
      </c>
      <c r="I39" s="3" t="s">
        <v>376</v>
      </c>
    </row>
    <row r="40" spans="1:9" ht="14.25" customHeight="1" x14ac:dyDescent="0.25">
      <c r="A40" s="3" t="s">
        <v>231</v>
      </c>
      <c r="B40" s="3">
        <v>2023</v>
      </c>
      <c r="C40" s="3" t="s">
        <v>70</v>
      </c>
      <c r="D40" s="3" t="s">
        <v>46</v>
      </c>
      <c r="E40" s="18" t="s">
        <v>132</v>
      </c>
      <c r="F40" s="3">
        <f t="shared" si="6"/>
        <v>10</v>
      </c>
      <c r="G40" s="3">
        <f t="shared" si="7"/>
        <v>10</v>
      </c>
      <c r="H40" s="3">
        <f t="shared" si="8"/>
        <v>10</v>
      </c>
      <c r="I40" s="3" t="s">
        <v>378</v>
      </c>
    </row>
    <row r="41" spans="1:9" ht="14.25" customHeight="1" x14ac:dyDescent="0.25">
      <c r="A41" s="3" t="s">
        <v>231</v>
      </c>
      <c r="B41" s="3">
        <v>2023</v>
      </c>
      <c r="C41" s="3" t="s">
        <v>70</v>
      </c>
      <c r="D41" s="3" t="s">
        <v>47</v>
      </c>
      <c r="E41" s="18" t="s">
        <v>132</v>
      </c>
      <c r="F41" s="3">
        <f t="shared" si="6"/>
        <v>10</v>
      </c>
      <c r="G41" s="3">
        <f t="shared" si="7"/>
        <v>10</v>
      </c>
      <c r="H41" s="3">
        <f t="shared" si="8"/>
        <v>10</v>
      </c>
      <c r="I41" s="3" t="s">
        <v>378</v>
      </c>
    </row>
    <row r="42" spans="1:9" ht="14.25" customHeight="1" x14ac:dyDescent="0.25">
      <c r="A42" s="3" t="s">
        <v>231</v>
      </c>
      <c r="B42" s="3">
        <v>2023</v>
      </c>
      <c r="C42" s="3" t="s">
        <v>70</v>
      </c>
      <c r="D42" s="3" t="s">
        <v>48</v>
      </c>
      <c r="E42" s="18" t="s">
        <v>132</v>
      </c>
      <c r="F42" s="3">
        <f t="shared" si="6"/>
        <v>10</v>
      </c>
      <c r="G42" s="3">
        <f t="shared" si="7"/>
        <v>10</v>
      </c>
      <c r="H42" s="3">
        <f t="shared" si="8"/>
        <v>10</v>
      </c>
      <c r="I42" s="3" t="s">
        <v>378</v>
      </c>
    </row>
    <row r="43" spans="1:9" ht="13.5" customHeight="1" x14ac:dyDescent="0.25">
      <c r="A43" s="3" t="s">
        <v>186</v>
      </c>
      <c r="B43" s="3">
        <v>2022</v>
      </c>
      <c r="C43" s="3" t="s">
        <v>75</v>
      </c>
      <c r="D43" s="3" t="s">
        <v>46</v>
      </c>
      <c r="E43" s="18" t="s">
        <v>390</v>
      </c>
      <c r="F43" s="3">
        <f t="shared" si="6"/>
        <v>2.5</v>
      </c>
      <c r="G43" s="3">
        <f t="shared" si="7"/>
        <v>2.5</v>
      </c>
      <c r="H43" s="3">
        <f t="shared" si="8"/>
        <v>2.5</v>
      </c>
      <c r="I43" s="3" t="s">
        <v>376</v>
      </c>
    </row>
    <row r="44" spans="1:9" ht="14.25" customHeight="1" x14ac:dyDescent="0.25">
      <c r="A44" s="3" t="s">
        <v>133</v>
      </c>
      <c r="B44" s="3">
        <v>2022</v>
      </c>
      <c r="C44" s="3" t="s">
        <v>131</v>
      </c>
      <c r="D44" s="3" t="s">
        <v>47</v>
      </c>
      <c r="E44" s="18" t="s">
        <v>396</v>
      </c>
      <c r="F44" s="3">
        <f t="shared" si="6"/>
        <v>6</v>
      </c>
      <c r="G44" s="3">
        <f t="shared" si="7"/>
        <v>12</v>
      </c>
      <c r="H44" s="3">
        <f t="shared" si="8"/>
        <v>9</v>
      </c>
      <c r="I44" s="3" t="s">
        <v>397</v>
      </c>
    </row>
    <row r="45" spans="1:9" ht="14.25" customHeight="1" x14ac:dyDescent="0.25">
      <c r="A45" s="3" t="s">
        <v>133</v>
      </c>
      <c r="B45" s="3">
        <v>2022</v>
      </c>
      <c r="C45" s="3" t="s">
        <v>131</v>
      </c>
      <c r="D45" s="3" t="s">
        <v>48</v>
      </c>
      <c r="E45" s="18" t="s">
        <v>396</v>
      </c>
      <c r="F45" s="3">
        <f t="shared" si="6"/>
        <v>6</v>
      </c>
      <c r="G45" s="3">
        <f t="shared" si="7"/>
        <v>12</v>
      </c>
      <c r="H45" s="3">
        <f t="shared" si="8"/>
        <v>9</v>
      </c>
      <c r="I45" s="3" t="s">
        <v>397</v>
      </c>
    </row>
    <row r="46" spans="1:9" ht="14.25" customHeight="1" x14ac:dyDescent="0.25">
      <c r="A46" s="3" t="s">
        <v>244</v>
      </c>
      <c r="B46" s="3">
        <v>2021</v>
      </c>
      <c r="C46" s="3" t="s">
        <v>201</v>
      </c>
      <c r="D46" s="3" t="s">
        <v>46</v>
      </c>
      <c r="E46" s="18" t="s">
        <v>398</v>
      </c>
      <c r="F46" s="3">
        <f t="shared" si="6"/>
        <v>7</v>
      </c>
      <c r="G46" s="3">
        <f t="shared" si="7"/>
        <v>7</v>
      </c>
      <c r="H46" s="3">
        <f t="shared" si="8"/>
        <v>7</v>
      </c>
      <c r="I46" s="3" t="s">
        <v>399</v>
      </c>
    </row>
    <row r="47" spans="1:9" ht="14.25" customHeight="1" x14ac:dyDescent="0.25">
      <c r="A47" s="3" t="s">
        <v>322</v>
      </c>
      <c r="B47" s="3">
        <v>2021</v>
      </c>
      <c r="C47" s="3" t="s">
        <v>75</v>
      </c>
      <c r="D47" s="3" t="s">
        <v>47</v>
      </c>
      <c r="E47" s="18" t="s">
        <v>82</v>
      </c>
      <c r="F47" s="3">
        <f t="shared" si="6"/>
        <v>5</v>
      </c>
      <c r="G47" s="3">
        <f t="shared" si="7"/>
        <v>15</v>
      </c>
      <c r="H47" s="3">
        <f t="shared" si="8"/>
        <v>10</v>
      </c>
      <c r="I47" s="3" t="s">
        <v>380</v>
      </c>
    </row>
    <row r="48" spans="1:9" ht="14.25" customHeight="1" x14ac:dyDescent="0.25">
      <c r="A48" s="3" t="s">
        <v>246</v>
      </c>
      <c r="B48" s="3">
        <v>2021</v>
      </c>
      <c r="C48" s="3" t="s">
        <v>75</v>
      </c>
      <c r="D48" s="3" t="s">
        <v>46</v>
      </c>
      <c r="E48" s="18" t="s">
        <v>400</v>
      </c>
      <c r="F48" s="3">
        <f t="shared" si="6"/>
        <v>5</v>
      </c>
      <c r="G48" s="3">
        <f t="shared" si="7"/>
        <v>8</v>
      </c>
      <c r="H48" s="3">
        <f t="shared" si="8"/>
        <v>6.5</v>
      </c>
      <c r="I48" s="3" t="s">
        <v>399</v>
      </c>
    </row>
    <row r="49" spans="1:9" ht="14.25" customHeight="1" x14ac:dyDescent="0.25">
      <c r="A49" s="3" t="s">
        <v>246</v>
      </c>
      <c r="B49" s="3">
        <v>2021</v>
      </c>
      <c r="C49" s="3" t="s">
        <v>75</v>
      </c>
      <c r="D49" s="3" t="s">
        <v>48</v>
      </c>
      <c r="E49" s="18" t="s">
        <v>400</v>
      </c>
      <c r="F49" s="3">
        <f t="shared" si="6"/>
        <v>5</v>
      </c>
      <c r="G49" s="3">
        <f t="shared" si="7"/>
        <v>8</v>
      </c>
      <c r="H49" s="3">
        <f t="shared" si="8"/>
        <v>6.5</v>
      </c>
      <c r="I49" s="3" t="s">
        <v>399</v>
      </c>
    </row>
    <row r="50" spans="1:9" ht="14.25" customHeight="1" x14ac:dyDescent="0.25">
      <c r="A50" s="3" t="s">
        <v>135</v>
      </c>
      <c r="B50" s="3">
        <v>2021</v>
      </c>
      <c r="C50" s="3" t="s">
        <v>75</v>
      </c>
      <c r="D50" s="3" t="s">
        <v>46</v>
      </c>
      <c r="E50" s="18" t="s">
        <v>307</v>
      </c>
      <c r="F50" s="3">
        <f t="shared" si="6"/>
        <v>4</v>
      </c>
      <c r="G50" s="3">
        <f t="shared" si="7"/>
        <v>4</v>
      </c>
      <c r="H50" s="3">
        <f t="shared" si="8"/>
        <v>4</v>
      </c>
      <c r="I50" s="3" t="s">
        <v>376</v>
      </c>
    </row>
    <row r="51" spans="1:9" x14ac:dyDescent="0.25">
      <c r="A51" s="3" t="s">
        <v>254</v>
      </c>
      <c r="B51" s="3">
        <v>2021</v>
      </c>
      <c r="C51" s="3" t="s">
        <v>142</v>
      </c>
      <c r="D51" s="3" t="s">
        <v>47</v>
      </c>
      <c r="E51" s="18" t="s">
        <v>401</v>
      </c>
      <c r="F51" s="3">
        <f t="shared" si="6"/>
        <v>10</v>
      </c>
      <c r="G51" s="3">
        <f t="shared" si="7"/>
        <v>60</v>
      </c>
      <c r="H51" s="3">
        <f t="shared" si="8"/>
        <v>35</v>
      </c>
      <c r="I51" s="3" t="s">
        <v>393</v>
      </c>
    </row>
    <row r="52" spans="1:9" ht="14.25" customHeight="1" x14ac:dyDescent="0.25">
      <c r="A52" s="3" t="s">
        <v>257</v>
      </c>
      <c r="B52" s="3">
        <v>2021</v>
      </c>
      <c r="C52" s="3" t="s">
        <v>75</v>
      </c>
      <c r="D52" s="3" t="s">
        <v>47</v>
      </c>
      <c r="E52" s="18" t="s">
        <v>114</v>
      </c>
      <c r="F52" s="3">
        <f t="shared" si="6"/>
        <v>10</v>
      </c>
      <c r="G52" s="3">
        <f t="shared" si="7"/>
        <v>20</v>
      </c>
      <c r="H52" s="3">
        <f t="shared" si="8"/>
        <v>15</v>
      </c>
      <c r="I52" s="3" t="s">
        <v>402</v>
      </c>
    </row>
    <row r="53" spans="1:9" ht="14.25" customHeight="1" x14ac:dyDescent="0.25">
      <c r="A53" s="3" t="s">
        <v>261</v>
      </c>
      <c r="B53" s="3">
        <v>2021</v>
      </c>
      <c r="C53" s="3" t="s">
        <v>75</v>
      </c>
      <c r="D53" s="3" t="s">
        <v>48</v>
      </c>
      <c r="E53" s="18" t="s">
        <v>132</v>
      </c>
      <c r="F53" s="3">
        <f t="shared" si="6"/>
        <v>10</v>
      </c>
      <c r="G53" s="3">
        <f t="shared" si="7"/>
        <v>10</v>
      </c>
      <c r="H53" s="3">
        <f t="shared" si="8"/>
        <v>10</v>
      </c>
      <c r="I53" s="3" t="s">
        <v>403</v>
      </c>
    </row>
    <row r="54" spans="1:9" ht="14.25" customHeight="1" x14ac:dyDescent="0.25">
      <c r="A54" s="3" t="s">
        <v>264</v>
      </c>
      <c r="B54" s="3">
        <v>2021</v>
      </c>
      <c r="C54" s="3" t="s">
        <v>75</v>
      </c>
      <c r="D54" s="3" t="s">
        <v>48</v>
      </c>
      <c r="E54" s="18" t="s">
        <v>132</v>
      </c>
      <c r="F54" s="3">
        <f t="shared" si="6"/>
        <v>10</v>
      </c>
      <c r="G54" s="3">
        <f t="shared" si="7"/>
        <v>10</v>
      </c>
      <c r="H54" s="3">
        <f t="shared" si="8"/>
        <v>10</v>
      </c>
      <c r="I54" s="3" t="s">
        <v>403</v>
      </c>
    </row>
    <row r="55" spans="1:9" ht="14.25" customHeight="1" x14ac:dyDescent="0.25">
      <c r="A55" s="3" t="s">
        <v>133</v>
      </c>
      <c r="B55" s="3">
        <v>2021</v>
      </c>
      <c r="C55" s="3" t="s">
        <v>142</v>
      </c>
      <c r="D55" s="3" t="s">
        <v>47</v>
      </c>
      <c r="E55" s="18" t="s">
        <v>404</v>
      </c>
      <c r="F55" s="3">
        <f t="shared" si="6"/>
        <v>0</v>
      </c>
      <c r="G55" s="3">
        <f t="shared" si="7"/>
        <v>30</v>
      </c>
      <c r="H55" s="3">
        <f t="shared" si="8"/>
        <v>15</v>
      </c>
      <c r="I55" s="3" t="s">
        <v>86</v>
      </c>
    </row>
    <row r="56" spans="1:9" ht="14.25" customHeight="1" x14ac:dyDescent="0.25">
      <c r="A56" s="3" t="s">
        <v>270</v>
      </c>
      <c r="B56" s="3">
        <v>2021</v>
      </c>
      <c r="C56" s="3" t="s">
        <v>75</v>
      </c>
      <c r="D56" s="3" t="s">
        <v>46</v>
      </c>
      <c r="E56" s="18" t="s">
        <v>67</v>
      </c>
      <c r="F56" s="3">
        <f t="shared" si="6"/>
        <v>5</v>
      </c>
      <c r="G56" s="3">
        <f t="shared" si="7"/>
        <v>20</v>
      </c>
      <c r="H56" s="3">
        <f t="shared" si="8"/>
        <v>12.5</v>
      </c>
      <c r="I56" s="3" t="s">
        <v>397</v>
      </c>
    </row>
    <row r="57" spans="1:9" ht="14.25" customHeight="1" x14ac:dyDescent="0.25">
      <c r="A57" s="3" t="s">
        <v>405</v>
      </c>
      <c r="B57" s="3">
        <v>2020</v>
      </c>
      <c r="C57" s="3" t="s">
        <v>97</v>
      </c>
      <c r="D57" s="3" t="s">
        <v>46</v>
      </c>
      <c r="E57" s="18" t="s">
        <v>77</v>
      </c>
      <c r="F57" s="3">
        <f t="shared" si="6"/>
        <v>5</v>
      </c>
      <c r="G57" s="3">
        <f t="shared" si="7"/>
        <v>5</v>
      </c>
      <c r="H57" s="3">
        <f t="shared" si="8"/>
        <v>5</v>
      </c>
      <c r="I57" s="3" t="s">
        <v>399</v>
      </c>
    </row>
    <row r="58" spans="1:9" ht="14.25" customHeight="1" x14ac:dyDescent="0.25">
      <c r="A58" s="3" t="s">
        <v>405</v>
      </c>
      <c r="B58" s="3">
        <v>2020</v>
      </c>
      <c r="C58" s="3" t="s">
        <v>97</v>
      </c>
      <c r="D58" s="3" t="s">
        <v>48</v>
      </c>
      <c r="E58" s="18" t="s">
        <v>77</v>
      </c>
      <c r="F58" s="3">
        <f t="shared" si="6"/>
        <v>5</v>
      </c>
      <c r="G58" s="3">
        <f t="shared" si="7"/>
        <v>5</v>
      </c>
      <c r="H58" s="3">
        <f t="shared" si="8"/>
        <v>5</v>
      </c>
      <c r="I58" s="3" t="s">
        <v>399</v>
      </c>
    </row>
    <row r="59" spans="1:9" ht="14.25" customHeight="1" x14ac:dyDescent="0.25">
      <c r="A59" s="3" t="s">
        <v>141</v>
      </c>
      <c r="B59" s="3">
        <v>2020</v>
      </c>
      <c r="C59" s="3" t="s">
        <v>142</v>
      </c>
      <c r="D59" s="3" t="s">
        <v>71</v>
      </c>
      <c r="E59" s="18" t="s">
        <v>112</v>
      </c>
      <c r="F59" s="3">
        <f t="shared" si="6"/>
        <v>10</v>
      </c>
      <c r="G59" s="3">
        <f t="shared" si="7"/>
        <v>30</v>
      </c>
      <c r="H59" s="3">
        <f t="shared" si="8"/>
        <v>20</v>
      </c>
      <c r="I59" s="3" t="s">
        <v>86</v>
      </c>
    </row>
    <row r="60" spans="1:9" ht="14.25" customHeight="1" x14ac:dyDescent="0.25">
      <c r="A60" s="3" t="s">
        <v>143</v>
      </c>
      <c r="B60" s="3">
        <v>2020</v>
      </c>
      <c r="C60" s="3" t="s">
        <v>142</v>
      </c>
      <c r="D60" s="3" t="s">
        <v>46</v>
      </c>
      <c r="E60" s="18" t="s">
        <v>112</v>
      </c>
      <c r="F60" s="3">
        <f t="shared" si="6"/>
        <v>10</v>
      </c>
      <c r="G60" s="3">
        <f t="shared" si="7"/>
        <v>30</v>
      </c>
      <c r="H60" s="3">
        <f t="shared" si="8"/>
        <v>20</v>
      </c>
      <c r="I60" s="3" t="s">
        <v>86</v>
      </c>
    </row>
    <row r="61" spans="1:9" ht="14.25" customHeight="1" x14ac:dyDescent="0.25">
      <c r="A61" s="3" t="s">
        <v>143</v>
      </c>
      <c r="B61" s="3">
        <v>2020</v>
      </c>
      <c r="C61" s="3" t="s">
        <v>142</v>
      </c>
      <c r="D61" s="3" t="s">
        <v>47</v>
      </c>
      <c r="E61" s="18" t="s">
        <v>112</v>
      </c>
      <c r="F61" s="3">
        <f t="shared" si="6"/>
        <v>10</v>
      </c>
      <c r="G61" s="3">
        <f t="shared" si="7"/>
        <v>30</v>
      </c>
      <c r="H61" s="3">
        <f t="shared" si="8"/>
        <v>20</v>
      </c>
      <c r="I61" s="3" t="s">
        <v>86</v>
      </c>
    </row>
    <row r="62" spans="1:9" ht="14.25" customHeight="1" x14ac:dyDescent="0.25">
      <c r="A62" s="3" t="s">
        <v>143</v>
      </c>
      <c r="B62" s="3">
        <v>2020</v>
      </c>
      <c r="C62" s="3" t="s">
        <v>142</v>
      </c>
      <c r="D62" s="3" t="s">
        <v>48</v>
      </c>
      <c r="E62" s="18" t="s">
        <v>112</v>
      </c>
      <c r="F62" s="3">
        <f t="shared" si="6"/>
        <v>10</v>
      </c>
      <c r="G62" s="3">
        <f t="shared" si="7"/>
        <v>30</v>
      </c>
      <c r="H62" s="3">
        <f t="shared" si="8"/>
        <v>20</v>
      </c>
      <c r="I62" s="3" t="s">
        <v>86</v>
      </c>
    </row>
    <row r="63" spans="1:9" ht="14.25" customHeight="1" x14ac:dyDescent="0.25">
      <c r="A63" s="3" t="s">
        <v>276</v>
      </c>
      <c r="B63" s="3">
        <v>2020</v>
      </c>
      <c r="C63" s="3" t="s">
        <v>201</v>
      </c>
      <c r="D63" s="3" t="s">
        <v>46</v>
      </c>
      <c r="E63" s="18" t="s">
        <v>398</v>
      </c>
      <c r="F63" s="3">
        <f t="shared" si="6"/>
        <v>7</v>
      </c>
      <c r="G63" s="3">
        <f t="shared" si="7"/>
        <v>7</v>
      </c>
      <c r="H63" s="3">
        <f t="shared" si="8"/>
        <v>7</v>
      </c>
      <c r="I63" s="3" t="s">
        <v>406</v>
      </c>
    </row>
    <row r="64" spans="1:9" ht="14.25" customHeight="1" x14ac:dyDescent="0.25">
      <c r="A64" s="3" t="s">
        <v>144</v>
      </c>
      <c r="B64" s="4">
        <v>2020</v>
      </c>
      <c r="C64" s="3" t="s">
        <v>142</v>
      </c>
      <c r="D64" s="3" t="s">
        <v>46</v>
      </c>
      <c r="E64" s="18" t="s">
        <v>112</v>
      </c>
      <c r="F64" s="3">
        <f t="shared" si="6"/>
        <v>10</v>
      </c>
      <c r="G64" s="3">
        <f t="shared" si="7"/>
        <v>30</v>
      </c>
      <c r="H64" s="3">
        <f t="shared" si="8"/>
        <v>20</v>
      </c>
      <c r="I64" s="3" t="s">
        <v>86</v>
      </c>
    </row>
    <row r="65" spans="1:9" ht="14.25" customHeight="1" x14ac:dyDescent="0.25">
      <c r="A65" s="3" t="s">
        <v>144</v>
      </c>
      <c r="B65" s="4">
        <v>2020</v>
      </c>
      <c r="C65" s="3" t="s">
        <v>142</v>
      </c>
      <c r="D65" s="3" t="s">
        <v>47</v>
      </c>
      <c r="E65" s="18" t="s">
        <v>112</v>
      </c>
      <c r="F65" s="3">
        <f t="shared" si="6"/>
        <v>10</v>
      </c>
      <c r="G65" s="3">
        <f t="shared" si="7"/>
        <v>30</v>
      </c>
      <c r="H65" s="3">
        <f t="shared" si="8"/>
        <v>20</v>
      </c>
      <c r="I65" s="3" t="s">
        <v>86</v>
      </c>
    </row>
    <row r="66" spans="1:9" ht="14.25" customHeight="1" x14ac:dyDescent="0.25">
      <c r="A66" s="3" t="s">
        <v>144</v>
      </c>
      <c r="B66" s="4">
        <v>2020</v>
      </c>
      <c r="C66" s="3" t="s">
        <v>142</v>
      </c>
      <c r="D66" s="3" t="s">
        <v>48</v>
      </c>
      <c r="E66" s="18" t="s">
        <v>112</v>
      </c>
      <c r="F66" s="3">
        <f t="shared" si="6"/>
        <v>10</v>
      </c>
      <c r="G66" s="3">
        <f t="shared" si="7"/>
        <v>30</v>
      </c>
      <c r="H66" s="3">
        <f t="shared" si="8"/>
        <v>20</v>
      </c>
      <c r="I66" s="3" t="s">
        <v>86</v>
      </c>
    </row>
    <row r="67" spans="1:9" ht="14.25" customHeight="1" x14ac:dyDescent="0.25">
      <c r="A67" s="3" t="s">
        <v>278</v>
      </c>
      <c r="B67" s="3">
        <v>2019</v>
      </c>
      <c r="C67" s="3" t="s">
        <v>146</v>
      </c>
      <c r="D67" s="3" t="s">
        <v>46</v>
      </c>
      <c r="E67" s="18" t="s">
        <v>407</v>
      </c>
      <c r="F67" s="3">
        <f t="shared" si="6"/>
        <v>0</v>
      </c>
      <c r="G67" s="3">
        <f t="shared" si="7"/>
        <v>12</v>
      </c>
      <c r="H67" s="3">
        <f t="shared" si="8"/>
        <v>6</v>
      </c>
      <c r="I67" s="3" t="s">
        <v>397</v>
      </c>
    </row>
    <row r="68" spans="1:9" ht="14.25" customHeight="1" x14ac:dyDescent="0.25">
      <c r="A68" s="3" t="s">
        <v>278</v>
      </c>
      <c r="B68" s="3">
        <v>2019</v>
      </c>
      <c r="C68" s="3" t="s">
        <v>146</v>
      </c>
      <c r="D68" s="3" t="s">
        <v>47</v>
      </c>
      <c r="E68" s="18" t="s">
        <v>407</v>
      </c>
      <c r="F68" s="3">
        <f t="shared" si="6"/>
        <v>0</v>
      </c>
      <c r="G68" s="3">
        <f t="shared" si="7"/>
        <v>12</v>
      </c>
      <c r="H68" s="3">
        <f t="shared" si="8"/>
        <v>6</v>
      </c>
      <c r="I68" s="3" t="s">
        <v>397</v>
      </c>
    </row>
    <row r="69" spans="1:9" ht="14.25" customHeight="1" x14ac:dyDescent="0.25">
      <c r="A69" s="3" t="s">
        <v>278</v>
      </c>
      <c r="B69" s="3">
        <v>2019</v>
      </c>
      <c r="C69" s="3" t="s">
        <v>146</v>
      </c>
      <c r="D69" s="3" t="s">
        <v>48</v>
      </c>
      <c r="E69" s="18" t="s">
        <v>407</v>
      </c>
      <c r="F69" s="3">
        <f t="shared" si="6"/>
        <v>0</v>
      </c>
      <c r="G69" s="3">
        <f t="shared" si="7"/>
        <v>12</v>
      </c>
      <c r="H69" s="3">
        <f t="shared" si="8"/>
        <v>6</v>
      </c>
      <c r="I69" s="3" t="s">
        <v>397</v>
      </c>
    </row>
    <row r="70" spans="1:9" ht="14.25" customHeight="1" x14ac:dyDescent="0.25">
      <c r="A70" s="3" t="s">
        <v>149</v>
      </c>
      <c r="B70" s="3">
        <v>2019</v>
      </c>
      <c r="C70" s="3" t="s">
        <v>142</v>
      </c>
      <c r="D70" s="3" t="s">
        <v>46</v>
      </c>
      <c r="E70" s="18" t="s">
        <v>120</v>
      </c>
      <c r="F70" s="3">
        <f t="shared" si="6"/>
        <v>5</v>
      </c>
      <c r="G70" s="3">
        <f t="shared" si="7"/>
        <v>10</v>
      </c>
      <c r="H70" s="3">
        <f t="shared" si="8"/>
        <v>7.5</v>
      </c>
      <c r="I70" s="3" t="s">
        <v>104</v>
      </c>
    </row>
    <row r="71" spans="1:9" ht="14.25" customHeight="1" x14ac:dyDescent="0.25">
      <c r="A71" s="3" t="s">
        <v>408</v>
      </c>
      <c r="B71" s="3">
        <v>2018</v>
      </c>
      <c r="C71" s="3" t="s">
        <v>142</v>
      </c>
      <c r="D71" s="3" t="s">
        <v>46</v>
      </c>
      <c r="E71" s="18" t="s">
        <v>77</v>
      </c>
      <c r="F71" s="3">
        <f t="shared" si="6"/>
        <v>5</v>
      </c>
      <c r="G71" s="3">
        <f t="shared" si="7"/>
        <v>5</v>
      </c>
      <c r="H71" s="3">
        <f t="shared" si="8"/>
        <v>5</v>
      </c>
      <c r="I71" s="3" t="s">
        <v>399</v>
      </c>
    </row>
    <row r="72" spans="1:9" ht="14.25" customHeight="1" x14ac:dyDescent="0.25">
      <c r="A72" s="3" t="s">
        <v>408</v>
      </c>
      <c r="B72" s="3">
        <v>2018</v>
      </c>
      <c r="C72" s="3" t="s">
        <v>142</v>
      </c>
      <c r="D72" s="3" t="s">
        <v>48</v>
      </c>
      <c r="E72" s="18" t="s">
        <v>77</v>
      </c>
      <c r="F72" s="3">
        <f t="shared" si="6"/>
        <v>5</v>
      </c>
      <c r="G72" s="3">
        <f t="shared" si="7"/>
        <v>5</v>
      </c>
      <c r="H72" s="3">
        <f t="shared" si="8"/>
        <v>5</v>
      </c>
      <c r="I72" s="3" t="s">
        <v>399</v>
      </c>
    </row>
    <row r="73" spans="1:9" ht="14.25" customHeight="1" x14ac:dyDescent="0.25">
      <c r="A73" s="3" t="s">
        <v>291</v>
      </c>
      <c r="B73" s="3">
        <v>2018</v>
      </c>
      <c r="C73" s="3" t="s">
        <v>75</v>
      </c>
      <c r="D73" s="3" t="s">
        <v>46</v>
      </c>
      <c r="E73" s="18" t="s">
        <v>400</v>
      </c>
      <c r="F73" s="3">
        <f t="shared" si="6"/>
        <v>5</v>
      </c>
      <c r="G73" s="3">
        <f t="shared" si="7"/>
        <v>8</v>
      </c>
      <c r="H73" s="3">
        <f t="shared" si="8"/>
        <v>6.5</v>
      </c>
      <c r="I73" s="3" t="s">
        <v>399</v>
      </c>
    </row>
    <row r="74" spans="1:9" ht="14.25" customHeight="1" x14ac:dyDescent="0.25">
      <c r="A74" s="3" t="s">
        <v>291</v>
      </c>
      <c r="B74" s="3">
        <v>2018</v>
      </c>
      <c r="C74" s="3" t="s">
        <v>75</v>
      </c>
      <c r="D74" s="3" t="s">
        <v>48</v>
      </c>
      <c r="E74" s="18" t="s">
        <v>400</v>
      </c>
      <c r="F74" s="3">
        <f t="shared" si="6"/>
        <v>5</v>
      </c>
      <c r="G74" s="3">
        <f t="shared" si="7"/>
        <v>8</v>
      </c>
      <c r="H74" s="3">
        <f t="shared" si="8"/>
        <v>6.5</v>
      </c>
      <c r="I74" s="3" t="s">
        <v>399</v>
      </c>
    </row>
    <row r="75" spans="1:9" ht="14.25" customHeight="1" x14ac:dyDescent="0.25">
      <c r="A75" s="3" t="s">
        <v>133</v>
      </c>
      <c r="B75" s="3">
        <v>2018</v>
      </c>
      <c r="C75" s="3" t="s">
        <v>75</v>
      </c>
      <c r="D75" s="3" t="s">
        <v>46</v>
      </c>
      <c r="E75" s="18" t="s">
        <v>409</v>
      </c>
      <c r="F75" s="3">
        <f t="shared" si="6"/>
        <v>0.5</v>
      </c>
      <c r="G75" s="3">
        <f t="shared" si="7"/>
        <v>20</v>
      </c>
      <c r="H75" s="3">
        <f t="shared" si="8"/>
        <v>10.25</v>
      </c>
      <c r="I75" s="3" t="s">
        <v>410</v>
      </c>
    </row>
    <row r="76" spans="1:9" ht="14.25" customHeight="1" x14ac:dyDescent="0.25">
      <c r="A76" s="3" t="s">
        <v>295</v>
      </c>
      <c r="B76" s="3">
        <v>2017</v>
      </c>
      <c r="C76" s="3" t="s">
        <v>75</v>
      </c>
      <c r="D76" s="3" t="s">
        <v>47</v>
      </c>
      <c r="E76" s="18" t="s">
        <v>411</v>
      </c>
      <c r="F76" s="3">
        <f t="shared" si="6"/>
        <v>0</v>
      </c>
      <c r="G76" s="3">
        <f t="shared" si="7"/>
        <v>14</v>
      </c>
      <c r="H76" s="3">
        <f t="shared" si="8"/>
        <v>7</v>
      </c>
      <c r="I76" s="3" t="s">
        <v>412</v>
      </c>
    </row>
    <row r="77" spans="1:9" ht="14.25" customHeight="1" x14ac:dyDescent="0.25">
      <c r="A77" s="3" t="s">
        <v>298</v>
      </c>
      <c r="B77" s="3">
        <v>2017</v>
      </c>
      <c r="C77" s="3" t="s">
        <v>75</v>
      </c>
      <c r="D77" s="3" t="s">
        <v>47</v>
      </c>
      <c r="E77" s="18" t="s">
        <v>413</v>
      </c>
      <c r="F77" s="3">
        <f t="shared" si="6"/>
        <v>10</v>
      </c>
      <c r="G77" s="3">
        <f t="shared" si="7"/>
        <v>14</v>
      </c>
      <c r="H77" s="3">
        <f t="shared" si="8"/>
        <v>12</v>
      </c>
      <c r="I77" s="3" t="s">
        <v>412</v>
      </c>
    </row>
    <row r="78" spans="1:9" ht="14.25" customHeight="1" x14ac:dyDescent="0.25">
      <c r="A78" s="3"/>
      <c r="B78" s="3"/>
      <c r="C78" s="3"/>
      <c r="D78" s="3"/>
      <c r="E78" s="18"/>
      <c r="F78" s="8"/>
      <c r="G78" s="8"/>
      <c r="H78" s="8"/>
      <c r="I78" s="8"/>
    </row>
    <row r="79" spans="1:9" ht="14.25" customHeight="1" x14ac:dyDescent="0.25">
      <c r="A79" s="3"/>
      <c r="B79" s="3"/>
      <c r="C79" s="3"/>
      <c r="D79" s="3"/>
      <c r="E79" s="18"/>
      <c r="F79" s="8"/>
      <c r="G79" s="8"/>
      <c r="H79" s="8"/>
      <c r="I79" s="8"/>
    </row>
    <row r="80" spans="1:9" ht="14.25" customHeight="1" x14ac:dyDescent="0.25">
      <c r="A80" s="3"/>
      <c r="B80" s="3"/>
      <c r="C80" s="3"/>
      <c r="D80" s="3"/>
      <c r="E80" s="18"/>
      <c r="F80" s="8"/>
      <c r="G80" s="8"/>
      <c r="H80" s="8"/>
      <c r="I80" s="8"/>
    </row>
    <row r="81" spans="1:9" ht="14.25" customHeight="1" x14ac:dyDescent="0.25">
      <c r="A81" s="3"/>
      <c r="B81" s="3"/>
      <c r="C81" s="3"/>
      <c r="D81" s="3"/>
      <c r="E81" s="18"/>
      <c r="F81" s="8"/>
      <c r="G81" s="8"/>
      <c r="H81" s="8"/>
      <c r="I81" s="8"/>
    </row>
    <row r="82" spans="1:9" ht="14.25" customHeight="1" x14ac:dyDescent="0.25">
      <c r="A82" s="3"/>
      <c r="B82" s="3"/>
      <c r="C82" s="3"/>
      <c r="D82" s="3"/>
      <c r="E82" s="18"/>
      <c r="F82" s="8"/>
      <c r="G82" s="8"/>
      <c r="H82" s="8"/>
      <c r="I82" s="8"/>
    </row>
    <row r="83" spans="1:9" ht="14.25" customHeight="1" x14ac:dyDescent="0.25">
      <c r="A83" s="3"/>
      <c r="B83" s="3"/>
      <c r="C83" s="3"/>
      <c r="D83" s="3"/>
      <c r="E83" s="18"/>
      <c r="F83" s="8"/>
      <c r="G83" s="8"/>
      <c r="H83" s="8"/>
      <c r="I83" s="8"/>
    </row>
    <row r="84" spans="1:9" ht="14.25" customHeight="1" x14ac:dyDescent="0.25">
      <c r="A84" s="3"/>
      <c r="B84" s="3"/>
      <c r="C84" s="3"/>
      <c r="D84" s="3"/>
      <c r="E84" s="18"/>
      <c r="F84" s="8"/>
      <c r="G84" s="8"/>
      <c r="H84" s="8"/>
      <c r="I84" s="8"/>
    </row>
    <row r="85" spans="1:9" ht="14.25" customHeight="1" x14ac:dyDescent="0.25">
      <c r="A85" s="3"/>
      <c r="B85" s="3"/>
      <c r="C85" s="3"/>
      <c r="D85" s="3"/>
      <c r="E85" s="18"/>
      <c r="F85" s="8"/>
      <c r="G85" s="8"/>
      <c r="H85" s="8"/>
      <c r="I85" s="8"/>
    </row>
    <row r="86" spans="1:9" ht="14.25" customHeight="1" x14ac:dyDescent="0.25">
      <c r="A86" s="3"/>
      <c r="B86" s="3"/>
      <c r="C86" s="3"/>
      <c r="D86" s="3"/>
      <c r="E86" s="18"/>
      <c r="F86" s="8"/>
      <c r="G86" s="8"/>
      <c r="H86" s="8"/>
      <c r="I86" s="8"/>
    </row>
    <row r="87" spans="1:9" ht="14.25" customHeight="1" x14ac:dyDescent="0.25">
      <c r="A87" s="3"/>
      <c r="B87" s="3"/>
      <c r="C87" s="3"/>
      <c r="D87" s="3"/>
      <c r="E87" s="18"/>
      <c r="F87" s="8"/>
      <c r="G87" s="8"/>
      <c r="H87" s="8"/>
      <c r="I87" s="8"/>
    </row>
    <row r="88" spans="1:9" ht="14.25" customHeight="1" x14ac:dyDescent="0.25">
      <c r="A88" s="3"/>
      <c r="B88" s="3"/>
      <c r="C88" s="3"/>
      <c r="D88" s="3"/>
      <c r="E88" s="18"/>
      <c r="F88" s="8"/>
      <c r="G88" s="8"/>
      <c r="H88" s="8"/>
      <c r="I88" s="8"/>
    </row>
    <row r="89" spans="1:9" ht="14.25" customHeight="1" x14ac:dyDescent="0.25">
      <c r="A89" s="3"/>
      <c r="B89" s="3"/>
      <c r="C89" s="3"/>
      <c r="D89" s="3"/>
      <c r="E89" s="18"/>
      <c r="F89" s="8"/>
      <c r="G89" s="8"/>
      <c r="H89" s="8"/>
      <c r="I89" s="8"/>
    </row>
    <row r="90" spans="1:9" ht="14.25" customHeight="1" x14ac:dyDescent="0.25">
      <c r="A90" s="3"/>
      <c r="B90" s="3"/>
      <c r="C90" s="3"/>
      <c r="D90" s="3"/>
      <c r="E90" s="18"/>
      <c r="F90" s="8"/>
      <c r="G90" s="8"/>
      <c r="H90" s="8"/>
      <c r="I90" s="8"/>
    </row>
    <row r="91" spans="1:9" ht="14.25" customHeight="1" x14ac:dyDescent="0.25">
      <c r="A91" s="3"/>
      <c r="B91" s="3"/>
      <c r="C91" s="3"/>
      <c r="D91" s="3"/>
      <c r="E91" s="18"/>
      <c r="F91" s="8"/>
      <c r="G91" s="8"/>
      <c r="H91" s="8"/>
      <c r="I91" s="8"/>
    </row>
    <row r="92" spans="1:9" ht="14.25" customHeight="1" x14ac:dyDescent="0.25">
      <c r="A92" s="3"/>
      <c r="B92" s="3"/>
      <c r="C92" s="3"/>
      <c r="D92" s="3"/>
      <c r="E92" s="18"/>
      <c r="F92" s="8"/>
      <c r="G92" s="8"/>
      <c r="H92" s="8"/>
      <c r="I92" s="8"/>
    </row>
    <row r="93" spans="1:9" ht="14.25" customHeight="1" x14ac:dyDescent="0.25">
      <c r="A93" s="3"/>
      <c r="B93" s="3"/>
      <c r="C93" s="3"/>
      <c r="D93" s="3"/>
      <c r="E93" s="18"/>
      <c r="F93" s="8"/>
      <c r="G93" s="8"/>
      <c r="H93" s="8"/>
      <c r="I93" s="8"/>
    </row>
    <row r="94" spans="1:9" ht="14.25" customHeight="1" x14ac:dyDescent="0.25">
      <c r="A94" s="3"/>
      <c r="B94" s="3"/>
      <c r="C94" s="3"/>
      <c r="D94" s="3"/>
      <c r="E94" s="18"/>
      <c r="F94" s="8"/>
      <c r="G94" s="8"/>
      <c r="H94" s="8"/>
      <c r="I94" s="8"/>
    </row>
    <row r="95" spans="1:9" ht="14.25" customHeight="1" x14ac:dyDescent="0.25">
      <c r="A95" s="3"/>
      <c r="B95" s="3"/>
      <c r="C95" s="3"/>
      <c r="D95" s="3"/>
      <c r="E95" s="18"/>
      <c r="F95" s="8"/>
      <c r="G95" s="8"/>
      <c r="H95" s="8"/>
      <c r="I95" s="8"/>
    </row>
    <row r="96" spans="1:9" ht="14.25" customHeight="1" x14ac:dyDescent="0.25">
      <c r="A96" s="3"/>
      <c r="B96" s="3"/>
      <c r="C96" s="3"/>
      <c r="D96" s="3"/>
      <c r="E96" s="18"/>
      <c r="F96" s="8"/>
      <c r="G96" s="8"/>
      <c r="H96" s="8"/>
      <c r="I96" s="8"/>
    </row>
    <row r="97" spans="1:9" ht="14.25" customHeight="1" x14ac:dyDescent="0.25">
      <c r="A97" s="3"/>
      <c r="B97" s="3"/>
      <c r="C97" s="3"/>
      <c r="D97" s="3"/>
      <c r="E97" s="18"/>
      <c r="F97" s="8"/>
      <c r="G97" s="8"/>
      <c r="H97" s="8"/>
      <c r="I97" s="8"/>
    </row>
    <row r="98" spans="1:9" ht="14.25" customHeight="1" x14ac:dyDescent="0.25">
      <c r="A98" s="3"/>
      <c r="B98" s="3"/>
      <c r="C98" s="3"/>
      <c r="D98" s="3"/>
      <c r="E98" s="18"/>
      <c r="F98" s="8"/>
      <c r="G98" s="8"/>
      <c r="H98" s="8"/>
      <c r="I98" s="8"/>
    </row>
    <row r="99" spans="1:9" ht="14.25" customHeight="1" x14ac:dyDescent="0.25">
      <c r="A99" s="3"/>
      <c r="B99" s="3"/>
      <c r="C99" s="3"/>
      <c r="D99" s="3"/>
      <c r="E99" s="18"/>
      <c r="F99" s="8"/>
      <c r="G99" s="8"/>
      <c r="H99" s="8"/>
      <c r="I99" s="8"/>
    </row>
    <row r="100" spans="1:9" ht="14.25" customHeight="1" x14ac:dyDescent="0.25">
      <c r="A100" s="3"/>
      <c r="B100" s="3"/>
      <c r="C100" s="3"/>
      <c r="D100" s="3"/>
      <c r="E100" s="18"/>
      <c r="F100" s="8"/>
      <c r="G100" s="8"/>
      <c r="H100" s="8"/>
      <c r="I100" s="8"/>
    </row>
    <row r="101" spans="1:9" ht="14.25" customHeight="1" x14ac:dyDescent="0.25">
      <c r="A101" s="3"/>
      <c r="B101" s="3"/>
      <c r="C101" s="3"/>
      <c r="D101" s="3"/>
      <c r="E101" s="18"/>
      <c r="F101" s="8"/>
      <c r="G101" s="8"/>
      <c r="H101" s="8"/>
      <c r="I101" s="8"/>
    </row>
    <row r="102" spans="1:9" ht="14.25" customHeight="1" x14ac:dyDescent="0.25">
      <c r="A102" s="3"/>
      <c r="B102" s="3"/>
      <c r="C102" s="3"/>
      <c r="D102" s="3"/>
      <c r="E102" s="18"/>
      <c r="F102" s="8"/>
      <c r="G102" s="8"/>
      <c r="H102" s="8"/>
      <c r="I102" s="8"/>
    </row>
    <row r="103" spans="1:9" ht="14.25" customHeight="1" x14ac:dyDescent="0.25">
      <c r="A103" s="3"/>
      <c r="B103" s="3"/>
      <c r="C103" s="3"/>
      <c r="D103" s="3"/>
      <c r="E103" s="18"/>
      <c r="F103" s="8"/>
      <c r="G103" s="8"/>
      <c r="H103" s="8"/>
      <c r="I103" s="8"/>
    </row>
    <row r="104" spans="1:9" ht="14.25" customHeight="1" x14ac:dyDescent="0.25">
      <c r="A104" s="3"/>
      <c r="B104" s="3"/>
      <c r="C104" s="3"/>
      <c r="D104" s="3"/>
      <c r="E104" s="18"/>
      <c r="F104" s="8"/>
      <c r="G104" s="8"/>
      <c r="H104" s="8"/>
      <c r="I104" s="8"/>
    </row>
    <row r="105" spans="1:9" ht="14.25" customHeight="1" x14ac:dyDescent="0.25">
      <c r="A105" s="3"/>
      <c r="B105" s="3"/>
      <c r="C105" s="3"/>
      <c r="D105" s="3"/>
      <c r="E105" s="18"/>
      <c r="F105" s="8"/>
      <c r="G105" s="8"/>
      <c r="H105" s="8"/>
      <c r="I105" s="8"/>
    </row>
    <row r="106" spans="1:9" ht="14.25" customHeight="1" x14ac:dyDescent="0.25">
      <c r="A106" s="3"/>
      <c r="B106" s="3"/>
      <c r="C106" s="3"/>
      <c r="D106" s="3"/>
      <c r="E106" s="18"/>
      <c r="F106" s="8"/>
      <c r="G106" s="8"/>
      <c r="H106" s="8"/>
      <c r="I106" s="8"/>
    </row>
    <row r="107" spans="1:9" ht="14.25" customHeight="1" x14ac:dyDescent="0.25">
      <c r="A107" s="3"/>
      <c r="B107" s="3"/>
      <c r="C107" s="3"/>
      <c r="D107" s="3"/>
      <c r="E107" s="18"/>
      <c r="F107" s="8"/>
      <c r="G107" s="8"/>
      <c r="H107" s="8"/>
      <c r="I107" s="8"/>
    </row>
    <row r="108" spans="1:9" ht="14.25" customHeight="1" x14ac:dyDescent="0.25">
      <c r="A108" s="3"/>
      <c r="B108" s="3"/>
      <c r="C108" s="3"/>
      <c r="D108" s="3"/>
      <c r="E108" s="18"/>
      <c r="F108" s="8"/>
      <c r="G108" s="8"/>
      <c r="H108" s="8"/>
      <c r="I108" s="8"/>
    </row>
    <row r="109" spans="1:9" ht="14.25" customHeight="1" x14ac:dyDescent="0.25">
      <c r="A109" s="3"/>
      <c r="B109" s="3"/>
      <c r="C109" s="3"/>
      <c r="D109" s="3"/>
      <c r="E109" s="18"/>
      <c r="F109" s="8"/>
      <c r="G109" s="8"/>
      <c r="H109" s="8"/>
      <c r="I109" s="8"/>
    </row>
    <row r="110" spans="1:9" ht="14.25" customHeight="1" x14ac:dyDescent="0.25">
      <c r="A110" s="3"/>
      <c r="B110" s="3"/>
      <c r="C110" s="3"/>
      <c r="D110" s="3"/>
      <c r="E110" s="18"/>
      <c r="F110" s="8"/>
      <c r="G110" s="8"/>
      <c r="H110" s="8"/>
      <c r="I110" s="8"/>
    </row>
    <row r="111" spans="1:9" ht="14.25" customHeight="1" x14ac:dyDescent="0.25">
      <c r="A111" s="3"/>
      <c r="B111" s="3"/>
      <c r="C111" s="3"/>
      <c r="D111" s="3"/>
      <c r="E111" s="18"/>
      <c r="F111" s="8"/>
      <c r="G111" s="8"/>
      <c r="H111" s="8"/>
      <c r="I111" s="8"/>
    </row>
    <row r="112" spans="1:9" ht="14.25" customHeight="1" x14ac:dyDescent="0.25">
      <c r="A112" s="3"/>
      <c r="B112" s="3"/>
      <c r="C112" s="3"/>
      <c r="D112" s="3"/>
      <c r="E112" s="18"/>
      <c r="F112" s="8"/>
      <c r="G112" s="8"/>
      <c r="H112" s="8"/>
      <c r="I112" s="8"/>
    </row>
    <row r="113" spans="1:9" ht="14.25" customHeight="1" x14ac:dyDescent="0.25">
      <c r="A113" s="3"/>
      <c r="B113" s="3"/>
      <c r="C113" s="3"/>
      <c r="D113" s="3"/>
      <c r="E113" s="18"/>
      <c r="F113" s="8"/>
      <c r="G113" s="8"/>
      <c r="H113" s="8"/>
      <c r="I113" s="8"/>
    </row>
    <row r="114" spans="1:9" ht="14.25" customHeight="1" x14ac:dyDescent="0.25">
      <c r="A114" s="3"/>
      <c r="B114" s="3"/>
      <c r="C114" s="3"/>
      <c r="D114" s="3"/>
      <c r="E114" s="18"/>
      <c r="F114" s="8"/>
      <c r="G114" s="8"/>
      <c r="H114" s="8"/>
      <c r="I114" s="8"/>
    </row>
    <row r="115" spans="1:9" ht="14.25" customHeight="1" x14ac:dyDescent="0.25">
      <c r="A115" s="3"/>
      <c r="B115" s="3"/>
      <c r="C115" s="3"/>
      <c r="D115" s="3"/>
      <c r="E115" s="18"/>
      <c r="F115" s="8"/>
      <c r="G115" s="8"/>
      <c r="H115" s="8"/>
      <c r="I115" s="8"/>
    </row>
    <row r="116" spans="1:9" ht="14.25" customHeight="1" x14ac:dyDescent="0.25">
      <c r="A116" s="3"/>
      <c r="B116" s="3"/>
      <c r="C116" s="3"/>
      <c r="D116" s="3"/>
      <c r="E116" s="18"/>
      <c r="F116" s="8"/>
      <c r="G116" s="8"/>
      <c r="H116" s="8"/>
      <c r="I116" s="8"/>
    </row>
    <row r="117" spans="1:9" ht="14.25" customHeight="1" x14ac:dyDescent="0.25">
      <c r="A117" s="3"/>
      <c r="B117" s="3"/>
      <c r="C117" s="3"/>
      <c r="D117" s="3"/>
      <c r="E117" s="18"/>
      <c r="F117" s="8"/>
      <c r="G117" s="8"/>
      <c r="H117" s="8"/>
      <c r="I117" s="8"/>
    </row>
    <row r="118" spans="1:9" ht="14.25" customHeight="1" x14ac:dyDescent="0.25">
      <c r="A118" s="3"/>
      <c r="B118" s="3"/>
      <c r="C118" s="3"/>
      <c r="D118" s="3"/>
      <c r="E118" s="18"/>
      <c r="F118" s="8"/>
      <c r="G118" s="8"/>
      <c r="H118" s="8"/>
      <c r="I118" s="8"/>
    </row>
    <row r="119" spans="1:9" ht="14.25" customHeight="1" x14ac:dyDescent="0.25">
      <c r="A119" s="3"/>
      <c r="B119" s="3"/>
      <c r="C119" s="3"/>
      <c r="D119" s="3"/>
      <c r="E119" s="18"/>
      <c r="F119" s="8"/>
      <c r="G119" s="8"/>
      <c r="H119" s="8"/>
      <c r="I119" s="8"/>
    </row>
    <row r="120" spans="1:9" ht="14.25" customHeight="1" x14ac:dyDescent="0.25">
      <c r="A120" s="3"/>
      <c r="B120" s="3"/>
      <c r="C120" s="3"/>
      <c r="D120" s="3"/>
      <c r="E120" s="18"/>
      <c r="F120" s="8"/>
      <c r="G120" s="8"/>
      <c r="H120" s="8"/>
      <c r="I120" s="8"/>
    </row>
    <row r="121" spans="1:9" ht="14.25" customHeight="1" x14ac:dyDescent="0.25">
      <c r="A121" s="3"/>
      <c r="B121" s="3"/>
      <c r="C121" s="3"/>
      <c r="D121" s="3"/>
      <c r="E121" s="18"/>
      <c r="F121" s="8"/>
      <c r="G121" s="8"/>
      <c r="H121" s="8"/>
      <c r="I121" s="8"/>
    </row>
    <row r="122" spans="1:9" ht="14.25" customHeight="1" x14ac:dyDescent="0.25">
      <c r="A122" s="3"/>
      <c r="B122" s="3"/>
      <c r="C122" s="3"/>
      <c r="D122" s="3"/>
      <c r="E122" s="18"/>
      <c r="F122" s="8"/>
      <c r="G122" s="8"/>
      <c r="H122" s="8"/>
      <c r="I122" s="8"/>
    </row>
    <row r="123" spans="1:9" ht="14.25" customHeight="1" x14ac:dyDescent="0.25">
      <c r="A123" s="3"/>
      <c r="B123" s="3"/>
      <c r="C123" s="3"/>
      <c r="D123" s="3"/>
      <c r="E123" s="18"/>
      <c r="F123" s="8"/>
      <c r="G123" s="8"/>
      <c r="H123" s="8"/>
      <c r="I123" s="8"/>
    </row>
    <row r="124" spans="1:9" ht="14.25" customHeight="1" x14ac:dyDescent="0.25">
      <c r="A124" s="3"/>
      <c r="B124" s="3"/>
      <c r="C124" s="3"/>
      <c r="D124" s="3"/>
      <c r="E124" s="18"/>
      <c r="F124" s="8"/>
      <c r="G124" s="8"/>
      <c r="H124" s="8"/>
      <c r="I124" s="8"/>
    </row>
    <row r="125" spans="1:9" ht="14.25" customHeight="1" x14ac:dyDescent="0.25">
      <c r="A125" s="3"/>
      <c r="B125" s="3"/>
      <c r="C125" s="3"/>
      <c r="D125" s="3"/>
      <c r="E125" s="18"/>
      <c r="F125" s="8"/>
      <c r="G125" s="8"/>
      <c r="H125" s="8"/>
      <c r="I125" s="8"/>
    </row>
    <row r="126" spans="1:9" ht="14.25" customHeight="1" x14ac:dyDescent="0.25">
      <c r="A126" s="3"/>
      <c r="B126" s="3"/>
      <c r="C126" s="3"/>
      <c r="D126" s="3"/>
      <c r="E126" s="18"/>
      <c r="F126" s="8"/>
      <c r="G126" s="8"/>
      <c r="H126" s="8"/>
      <c r="I126" s="8"/>
    </row>
    <row r="127" spans="1:9" ht="14.25" customHeight="1" x14ac:dyDescent="0.25">
      <c r="A127" s="3"/>
      <c r="B127" s="3"/>
      <c r="C127" s="3"/>
      <c r="D127" s="3"/>
      <c r="E127" s="18"/>
      <c r="F127" s="8"/>
      <c r="G127" s="8"/>
      <c r="H127" s="8"/>
      <c r="I127" s="8"/>
    </row>
    <row r="128" spans="1:9" ht="14.25" customHeight="1" x14ac:dyDescent="0.25">
      <c r="A128" s="3"/>
      <c r="B128" s="3"/>
      <c r="C128" s="3"/>
      <c r="D128" s="3"/>
      <c r="E128" s="18"/>
      <c r="F128" s="8"/>
      <c r="G128" s="8"/>
      <c r="H128" s="8"/>
      <c r="I128" s="8"/>
    </row>
    <row r="129" spans="1:9" ht="14.25" customHeight="1" x14ac:dyDescent="0.25">
      <c r="A129" s="3"/>
      <c r="B129" s="3"/>
      <c r="C129" s="3"/>
      <c r="D129" s="3"/>
      <c r="E129" s="18"/>
      <c r="F129" s="8"/>
      <c r="G129" s="8"/>
      <c r="H129" s="8"/>
      <c r="I129" s="8"/>
    </row>
    <row r="130" spans="1:9" ht="14.25" customHeight="1" x14ac:dyDescent="0.25">
      <c r="A130" s="3"/>
      <c r="B130" s="3"/>
      <c r="C130" s="3"/>
      <c r="D130" s="3"/>
      <c r="E130" s="18"/>
      <c r="F130" s="8"/>
      <c r="G130" s="8"/>
      <c r="H130" s="8"/>
      <c r="I130" s="8"/>
    </row>
    <row r="131" spans="1:9" ht="14.25" customHeight="1" x14ac:dyDescent="0.25">
      <c r="A131" s="3"/>
      <c r="B131" s="3"/>
      <c r="C131" s="3"/>
      <c r="D131" s="3"/>
      <c r="E131" s="18"/>
      <c r="F131" s="8"/>
      <c r="G131" s="8"/>
      <c r="H131" s="8"/>
      <c r="I131" s="8"/>
    </row>
    <row r="132" spans="1:9" ht="14.25" customHeight="1" x14ac:dyDescent="0.25">
      <c r="A132" s="3"/>
      <c r="B132" s="3"/>
      <c r="C132" s="3"/>
      <c r="D132" s="3"/>
      <c r="E132" s="18"/>
      <c r="F132" s="8"/>
      <c r="G132" s="8"/>
      <c r="H132" s="8"/>
      <c r="I132" s="8"/>
    </row>
    <row r="133" spans="1:9" ht="14.25" customHeight="1" x14ac:dyDescent="0.25">
      <c r="A133" s="3"/>
      <c r="B133" s="3"/>
      <c r="C133" s="3"/>
      <c r="D133" s="3"/>
      <c r="E133" s="18"/>
      <c r="F133" s="8"/>
      <c r="G133" s="8"/>
      <c r="H133" s="8"/>
      <c r="I133" s="8"/>
    </row>
    <row r="134" spans="1:9" ht="14.25" customHeight="1" x14ac:dyDescent="0.25">
      <c r="A134" s="3"/>
      <c r="B134" s="3"/>
      <c r="C134" s="3"/>
      <c r="D134" s="3"/>
      <c r="E134" s="18"/>
      <c r="F134" s="8"/>
      <c r="G134" s="8"/>
      <c r="H134" s="8"/>
      <c r="I134" s="8"/>
    </row>
    <row r="135" spans="1:9" ht="14.25" customHeight="1" x14ac:dyDescent="0.25">
      <c r="A135" s="3"/>
      <c r="B135" s="3"/>
      <c r="C135" s="3"/>
      <c r="D135" s="3"/>
      <c r="E135" s="18"/>
      <c r="F135" s="8"/>
      <c r="G135" s="8"/>
      <c r="H135" s="8"/>
      <c r="I135" s="8"/>
    </row>
    <row r="136" spans="1:9" ht="14.25" customHeight="1" x14ac:dyDescent="0.25">
      <c r="A136" s="3"/>
      <c r="B136" s="3"/>
      <c r="C136" s="3"/>
      <c r="D136" s="3"/>
      <c r="E136" s="18"/>
      <c r="F136" s="8"/>
      <c r="G136" s="8"/>
      <c r="H136" s="8"/>
      <c r="I136" s="8"/>
    </row>
    <row r="137" spans="1:9" ht="14.25" customHeight="1" x14ac:dyDescent="0.25">
      <c r="A137" s="3"/>
      <c r="B137" s="3"/>
      <c r="C137" s="3"/>
      <c r="D137" s="3"/>
      <c r="E137" s="18"/>
      <c r="F137" s="8"/>
      <c r="G137" s="8"/>
      <c r="H137" s="8"/>
      <c r="I137" s="8"/>
    </row>
    <row r="138" spans="1:9" ht="14.25" customHeight="1" x14ac:dyDescent="0.25">
      <c r="A138" s="3"/>
      <c r="B138" s="3"/>
      <c r="C138" s="3"/>
      <c r="D138" s="3"/>
      <c r="E138" s="18"/>
      <c r="F138" s="8"/>
      <c r="G138" s="8"/>
      <c r="H138" s="8"/>
      <c r="I138" s="8"/>
    </row>
    <row r="139" spans="1:9" ht="14.25" customHeight="1" x14ac:dyDescent="0.25">
      <c r="A139" s="3"/>
      <c r="B139" s="3"/>
      <c r="C139" s="3"/>
      <c r="D139" s="3"/>
      <c r="E139" s="18"/>
      <c r="F139" s="8"/>
      <c r="G139" s="8"/>
      <c r="H139" s="8"/>
      <c r="I139" s="8"/>
    </row>
    <row r="140" spans="1:9" ht="14.25" customHeight="1" x14ac:dyDescent="0.25">
      <c r="A140" s="3"/>
      <c r="B140" s="3"/>
      <c r="C140" s="3"/>
      <c r="D140" s="3"/>
      <c r="E140" s="18"/>
      <c r="F140" s="8"/>
      <c r="G140" s="8"/>
      <c r="H140" s="8"/>
      <c r="I140" s="8"/>
    </row>
    <row r="141" spans="1:9" ht="14.25" customHeight="1" x14ac:dyDescent="0.25">
      <c r="A141" s="3"/>
      <c r="B141" s="3"/>
      <c r="C141" s="3"/>
      <c r="D141" s="3"/>
      <c r="E141" s="18"/>
      <c r="F141" s="8"/>
      <c r="G141" s="8"/>
      <c r="H141" s="8"/>
      <c r="I141" s="8"/>
    </row>
    <row r="142" spans="1:9" ht="14.25" customHeight="1" x14ac:dyDescent="0.25">
      <c r="A142" s="3"/>
      <c r="B142" s="3"/>
      <c r="C142" s="3"/>
      <c r="D142" s="3"/>
      <c r="E142" s="18"/>
      <c r="F142" s="8"/>
      <c r="G142" s="8"/>
      <c r="H142" s="8"/>
      <c r="I142" s="8"/>
    </row>
    <row r="143" spans="1:9" ht="14.25" customHeight="1" x14ac:dyDescent="0.25">
      <c r="A143" s="3"/>
      <c r="B143" s="3"/>
      <c r="C143" s="3"/>
      <c r="D143" s="3"/>
      <c r="E143" s="18"/>
      <c r="F143" s="8"/>
      <c r="G143" s="8"/>
      <c r="H143" s="8"/>
      <c r="I143" s="8"/>
    </row>
    <row r="144" spans="1:9" ht="14.25" customHeight="1" x14ac:dyDescent="0.25">
      <c r="A144" s="3"/>
      <c r="B144" s="3"/>
      <c r="C144" s="3"/>
      <c r="D144" s="3"/>
      <c r="E144" s="18"/>
      <c r="F144" s="8"/>
      <c r="G144" s="8"/>
      <c r="H144" s="8"/>
      <c r="I144" s="8"/>
    </row>
    <row r="145" spans="1:9" ht="14.25" customHeight="1" x14ac:dyDescent="0.25">
      <c r="A145" s="3"/>
      <c r="B145" s="3"/>
      <c r="C145" s="3"/>
      <c r="D145" s="3"/>
      <c r="E145" s="18"/>
      <c r="F145" s="8"/>
      <c r="G145" s="8"/>
      <c r="H145" s="8"/>
      <c r="I145" s="8"/>
    </row>
    <row r="146" spans="1:9" ht="14.25" customHeight="1" x14ac:dyDescent="0.25">
      <c r="A146" s="3"/>
      <c r="B146" s="3"/>
      <c r="C146" s="3"/>
      <c r="D146" s="3"/>
      <c r="E146" s="18"/>
      <c r="F146" s="8"/>
      <c r="G146" s="8"/>
      <c r="H146" s="8"/>
      <c r="I146" s="8"/>
    </row>
    <row r="147" spans="1:9" ht="14.25" customHeight="1" x14ac:dyDescent="0.25">
      <c r="A147" s="3"/>
      <c r="B147" s="3"/>
      <c r="C147" s="3"/>
      <c r="D147" s="3"/>
      <c r="E147" s="18"/>
      <c r="F147" s="8"/>
      <c r="G147" s="8"/>
      <c r="H147" s="8"/>
      <c r="I147" s="8"/>
    </row>
    <row r="148" spans="1:9" ht="14.25" customHeight="1" x14ac:dyDescent="0.25">
      <c r="A148" s="3"/>
      <c r="B148" s="3"/>
      <c r="C148" s="3"/>
      <c r="D148" s="3"/>
      <c r="E148" s="18"/>
      <c r="F148" s="8"/>
      <c r="G148" s="8"/>
      <c r="H148" s="8"/>
      <c r="I148" s="8"/>
    </row>
    <row r="149" spans="1:9" ht="14.25" customHeight="1" x14ac:dyDescent="0.25">
      <c r="A149" s="3"/>
      <c r="B149" s="3"/>
      <c r="C149" s="3"/>
      <c r="D149" s="3"/>
      <c r="E149" s="18"/>
      <c r="F149" s="8"/>
      <c r="G149" s="8"/>
      <c r="H149" s="8"/>
      <c r="I149" s="8"/>
    </row>
    <row r="150" spans="1:9" ht="14.25" customHeight="1" x14ac:dyDescent="0.25">
      <c r="A150" s="3"/>
      <c r="B150" s="3"/>
      <c r="C150" s="3"/>
      <c r="D150" s="3"/>
      <c r="E150" s="18"/>
      <c r="F150" s="8"/>
      <c r="G150" s="8"/>
      <c r="H150" s="8"/>
      <c r="I150" s="8"/>
    </row>
    <row r="151" spans="1:9" ht="14.25" customHeight="1" x14ac:dyDescent="0.25">
      <c r="A151" s="3"/>
      <c r="B151" s="3"/>
      <c r="C151" s="3"/>
      <c r="D151" s="3"/>
      <c r="E151" s="18"/>
      <c r="F151" s="8"/>
      <c r="G151" s="8"/>
      <c r="H151" s="8"/>
      <c r="I151" s="8"/>
    </row>
    <row r="152" spans="1:9" ht="14.25" customHeight="1" x14ac:dyDescent="0.25">
      <c r="A152" s="3"/>
      <c r="B152" s="3"/>
      <c r="C152" s="3"/>
      <c r="D152" s="3"/>
      <c r="E152" s="18"/>
      <c r="F152" s="8"/>
      <c r="G152" s="8"/>
      <c r="H152" s="8"/>
      <c r="I152" s="8"/>
    </row>
    <row r="153" spans="1:9" ht="14.25" customHeight="1" x14ac:dyDescent="0.25">
      <c r="A153" s="3"/>
      <c r="B153" s="3"/>
      <c r="C153" s="3"/>
      <c r="D153" s="3"/>
      <c r="E153" s="18"/>
      <c r="F153" s="8"/>
      <c r="G153" s="8"/>
      <c r="H153" s="8"/>
      <c r="I153" s="8"/>
    </row>
    <row r="154" spans="1:9" ht="14.25" customHeight="1" x14ac:dyDescent="0.25">
      <c r="A154" s="3"/>
      <c r="B154" s="3"/>
      <c r="C154" s="3"/>
      <c r="D154" s="3"/>
      <c r="E154" s="18"/>
      <c r="F154" s="8"/>
      <c r="G154" s="8"/>
      <c r="H154" s="8"/>
      <c r="I154" s="8"/>
    </row>
    <row r="155" spans="1:9" ht="14.25" customHeight="1" x14ac:dyDescent="0.25">
      <c r="A155" s="3"/>
      <c r="B155" s="3"/>
      <c r="C155" s="3"/>
      <c r="D155" s="3"/>
      <c r="E155" s="18"/>
      <c r="F155" s="8"/>
      <c r="G155" s="8"/>
      <c r="H155" s="8"/>
      <c r="I155" s="8"/>
    </row>
    <row r="156" spans="1:9" ht="14.25" customHeight="1" x14ac:dyDescent="0.25">
      <c r="A156" s="3"/>
      <c r="B156" s="3"/>
      <c r="C156" s="3"/>
      <c r="D156" s="3"/>
      <c r="E156" s="18"/>
      <c r="F156" s="8"/>
      <c r="G156" s="8"/>
      <c r="H156" s="8"/>
      <c r="I156" s="8"/>
    </row>
    <row r="157" spans="1:9" ht="14.25" customHeight="1" x14ac:dyDescent="0.25">
      <c r="A157" s="3"/>
      <c r="B157" s="3"/>
      <c r="C157" s="3"/>
      <c r="D157" s="3"/>
      <c r="E157" s="18"/>
      <c r="F157" s="8"/>
      <c r="G157" s="8"/>
      <c r="H157" s="8"/>
      <c r="I157" s="8"/>
    </row>
    <row r="158" spans="1:9" ht="14.25" customHeight="1" x14ac:dyDescent="0.25">
      <c r="A158" s="3"/>
      <c r="B158" s="3"/>
      <c r="C158" s="3"/>
      <c r="D158" s="3"/>
      <c r="E158" s="18"/>
      <c r="F158" s="8"/>
      <c r="G158" s="8"/>
      <c r="H158" s="8"/>
      <c r="I158" s="8"/>
    </row>
    <row r="159" spans="1:9" ht="14.25" customHeight="1" x14ac:dyDescent="0.25">
      <c r="A159" s="3"/>
      <c r="B159" s="3"/>
      <c r="C159" s="3"/>
      <c r="D159" s="3"/>
      <c r="E159" s="18"/>
      <c r="F159" s="8"/>
      <c r="G159" s="8"/>
      <c r="H159" s="8"/>
      <c r="I159" s="8"/>
    </row>
    <row r="160" spans="1:9" ht="14.25" customHeight="1" x14ac:dyDescent="0.25">
      <c r="A160" s="3"/>
      <c r="B160" s="3"/>
      <c r="C160" s="3"/>
      <c r="D160" s="3"/>
      <c r="E160" s="18"/>
      <c r="F160" s="8"/>
      <c r="G160" s="8"/>
      <c r="H160" s="8"/>
      <c r="I160" s="8"/>
    </row>
    <row r="161" spans="1:9" ht="14.25" customHeight="1" x14ac:dyDescent="0.25">
      <c r="A161" s="3"/>
      <c r="B161" s="3"/>
      <c r="C161" s="3"/>
      <c r="D161" s="3"/>
      <c r="E161" s="18"/>
      <c r="F161" s="8"/>
      <c r="G161" s="8"/>
      <c r="H161" s="8"/>
      <c r="I161" s="8"/>
    </row>
    <row r="162" spans="1:9" ht="14.25" customHeight="1" x14ac:dyDescent="0.25">
      <c r="A162" s="3"/>
      <c r="B162" s="3"/>
      <c r="C162" s="3"/>
      <c r="D162" s="3"/>
      <c r="E162" s="18"/>
      <c r="F162" s="8"/>
      <c r="G162" s="8"/>
      <c r="H162" s="8"/>
      <c r="I162" s="8"/>
    </row>
    <row r="163" spans="1:9" ht="14.25" customHeight="1" x14ac:dyDescent="0.25">
      <c r="A163" s="3"/>
      <c r="B163" s="3"/>
      <c r="C163" s="3"/>
      <c r="D163" s="3"/>
      <c r="E163" s="18"/>
      <c r="F163" s="8"/>
      <c r="G163" s="8"/>
      <c r="H163" s="8"/>
      <c r="I163" s="8"/>
    </row>
    <row r="164" spans="1:9" ht="14.25" customHeight="1" x14ac:dyDescent="0.25">
      <c r="A164" s="3"/>
      <c r="B164" s="3"/>
      <c r="C164" s="3"/>
      <c r="D164" s="3"/>
      <c r="E164" s="18"/>
      <c r="F164" s="8"/>
      <c r="G164" s="8"/>
      <c r="H164" s="8"/>
      <c r="I164" s="8"/>
    </row>
    <row r="165" spans="1:9" ht="14.25" customHeight="1" x14ac:dyDescent="0.25">
      <c r="A165" s="3"/>
      <c r="B165" s="3"/>
      <c r="C165" s="3"/>
      <c r="D165" s="3"/>
      <c r="E165" s="18"/>
      <c r="F165" s="8"/>
      <c r="G165" s="8"/>
      <c r="H165" s="8"/>
      <c r="I165" s="8"/>
    </row>
    <row r="166" spans="1:9" ht="14.25" customHeight="1" x14ac:dyDescent="0.25">
      <c r="A166" s="3"/>
      <c r="B166" s="3"/>
      <c r="C166" s="3"/>
      <c r="D166" s="3"/>
      <c r="E166" s="18"/>
      <c r="F166" s="8"/>
      <c r="G166" s="8"/>
      <c r="H166" s="8"/>
      <c r="I166" s="8"/>
    </row>
    <row r="167" spans="1:9" ht="14.25" customHeight="1" x14ac:dyDescent="0.25">
      <c r="A167" s="3"/>
      <c r="B167" s="3"/>
      <c r="C167" s="3"/>
      <c r="D167" s="3"/>
      <c r="E167" s="18"/>
      <c r="F167" s="8"/>
      <c r="G167" s="8"/>
      <c r="H167" s="8"/>
      <c r="I167" s="8"/>
    </row>
    <row r="168" spans="1:9" ht="14.25" customHeight="1" x14ac:dyDescent="0.25">
      <c r="A168" s="3"/>
      <c r="B168" s="3"/>
      <c r="C168" s="3"/>
      <c r="D168" s="3"/>
      <c r="E168" s="18"/>
      <c r="F168" s="8"/>
      <c r="G168" s="8"/>
      <c r="H168" s="8"/>
      <c r="I168" s="8"/>
    </row>
    <row r="169" spans="1:9" ht="14.25" customHeight="1" x14ac:dyDescent="0.25">
      <c r="A169" s="3"/>
      <c r="B169" s="3"/>
      <c r="C169" s="3"/>
      <c r="D169" s="3"/>
      <c r="E169" s="18"/>
      <c r="F169" s="8"/>
      <c r="G169" s="8"/>
      <c r="H169" s="8"/>
      <c r="I169" s="8"/>
    </row>
    <row r="170" spans="1:9" ht="14.25" customHeight="1" x14ac:dyDescent="0.25">
      <c r="A170" s="3"/>
      <c r="B170" s="3"/>
      <c r="C170" s="3"/>
      <c r="D170" s="3"/>
      <c r="E170" s="18"/>
      <c r="F170" s="8"/>
      <c r="G170" s="8"/>
      <c r="H170" s="8"/>
      <c r="I170" s="8"/>
    </row>
    <row r="171" spans="1:9" ht="14.25" customHeight="1" x14ac:dyDescent="0.25">
      <c r="A171" s="3"/>
      <c r="B171" s="3"/>
      <c r="C171" s="3"/>
      <c r="D171" s="3"/>
      <c r="E171" s="18"/>
      <c r="F171" s="8"/>
      <c r="G171" s="8"/>
      <c r="H171" s="8"/>
      <c r="I171" s="8"/>
    </row>
    <row r="172" spans="1:9" ht="14.25" customHeight="1" x14ac:dyDescent="0.25">
      <c r="A172" s="3"/>
      <c r="B172" s="3"/>
      <c r="C172" s="3"/>
      <c r="D172" s="3"/>
      <c r="E172" s="18"/>
      <c r="F172" s="8"/>
      <c r="G172" s="8"/>
      <c r="H172" s="8"/>
      <c r="I172" s="8"/>
    </row>
    <row r="173" spans="1:9" ht="14.25" customHeight="1" x14ac:dyDescent="0.25">
      <c r="A173" s="3"/>
      <c r="B173" s="3"/>
      <c r="C173" s="3"/>
      <c r="D173" s="3"/>
      <c r="E173" s="18"/>
      <c r="F173" s="8"/>
      <c r="G173" s="8"/>
      <c r="H173" s="8"/>
      <c r="I173" s="8"/>
    </row>
    <row r="174" spans="1:9" ht="14.25" customHeight="1" x14ac:dyDescent="0.25">
      <c r="A174" s="3"/>
      <c r="B174" s="3"/>
      <c r="C174" s="3"/>
      <c r="D174" s="3"/>
      <c r="E174" s="18"/>
      <c r="F174" s="8"/>
      <c r="G174" s="8"/>
      <c r="H174" s="8"/>
      <c r="I174" s="8"/>
    </row>
    <row r="175" spans="1:9" ht="14.25" customHeight="1" x14ac:dyDescent="0.25">
      <c r="A175" s="3"/>
      <c r="B175" s="3"/>
      <c r="C175" s="3"/>
      <c r="D175" s="3"/>
      <c r="E175" s="18"/>
      <c r="F175" s="8"/>
      <c r="G175" s="8"/>
      <c r="H175" s="8"/>
      <c r="I175" s="8"/>
    </row>
    <row r="176" spans="1:9" ht="14.25" customHeight="1" x14ac:dyDescent="0.25">
      <c r="A176" s="3"/>
      <c r="B176" s="3"/>
      <c r="C176" s="3"/>
      <c r="D176" s="3"/>
      <c r="E176" s="18"/>
      <c r="F176" s="8"/>
      <c r="G176" s="8"/>
      <c r="H176" s="8"/>
      <c r="I176" s="8"/>
    </row>
    <row r="177" spans="1:9" ht="14.25" customHeight="1" x14ac:dyDescent="0.25">
      <c r="A177" s="3"/>
      <c r="B177" s="3"/>
      <c r="C177" s="3"/>
      <c r="D177" s="3"/>
      <c r="E177" s="18"/>
      <c r="F177" s="8"/>
      <c r="G177" s="8"/>
      <c r="H177" s="8"/>
      <c r="I177" s="8"/>
    </row>
    <row r="178" spans="1:9" ht="14.25" customHeight="1" x14ac:dyDescent="0.25">
      <c r="A178" s="3"/>
      <c r="B178" s="3"/>
      <c r="C178" s="3"/>
      <c r="D178" s="3"/>
      <c r="E178" s="18"/>
      <c r="F178" s="8"/>
      <c r="G178" s="8"/>
      <c r="H178" s="8"/>
      <c r="I178" s="8"/>
    </row>
    <row r="179" spans="1:9" ht="14.25" customHeight="1" x14ac:dyDescent="0.25">
      <c r="A179" s="3"/>
      <c r="B179" s="3"/>
      <c r="C179" s="3"/>
      <c r="D179" s="3"/>
      <c r="E179" s="18"/>
      <c r="F179" s="8"/>
      <c r="G179" s="8"/>
      <c r="H179" s="8"/>
      <c r="I179" s="8"/>
    </row>
    <row r="180" spans="1:9" ht="14.25" customHeight="1" x14ac:dyDescent="0.25">
      <c r="A180" s="3"/>
      <c r="B180" s="3"/>
      <c r="C180" s="3"/>
      <c r="D180" s="3"/>
      <c r="E180" s="18"/>
      <c r="F180" s="8"/>
      <c r="G180" s="8"/>
      <c r="H180" s="8"/>
      <c r="I180" s="8"/>
    </row>
    <row r="181" spans="1:9" ht="14.25" customHeight="1" x14ac:dyDescent="0.25">
      <c r="A181" s="3"/>
      <c r="B181" s="3"/>
      <c r="C181" s="3"/>
      <c r="D181" s="3"/>
      <c r="E181" s="18"/>
      <c r="F181" s="8"/>
      <c r="G181" s="8"/>
      <c r="H181" s="8"/>
      <c r="I181" s="8"/>
    </row>
    <row r="182" spans="1:9" ht="14.25" customHeight="1" x14ac:dyDescent="0.25">
      <c r="A182" s="3"/>
      <c r="B182" s="3"/>
      <c r="C182" s="3"/>
      <c r="D182" s="3"/>
      <c r="E182" s="18"/>
      <c r="F182" s="8"/>
      <c r="G182" s="8"/>
      <c r="H182" s="8"/>
      <c r="I182" s="8"/>
    </row>
    <row r="183" spans="1:9" ht="14.25" customHeight="1" x14ac:dyDescent="0.25">
      <c r="A183" s="3"/>
      <c r="B183" s="3"/>
      <c r="C183" s="3"/>
      <c r="D183" s="3"/>
      <c r="E183" s="18"/>
      <c r="F183" s="8"/>
      <c r="G183" s="8"/>
      <c r="H183" s="8"/>
      <c r="I183" s="8"/>
    </row>
    <row r="184" spans="1:9" ht="14.25" customHeight="1" x14ac:dyDescent="0.25">
      <c r="A184" s="3"/>
      <c r="B184" s="3"/>
      <c r="C184" s="3"/>
      <c r="D184" s="3"/>
      <c r="E184" s="18"/>
      <c r="F184" s="8"/>
      <c r="G184" s="8"/>
      <c r="H184" s="8"/>
      <c r="I184" s="8"/>
    </row>
    <row r="185" spans="1:9" ht="14.25" customHeight="1" x14ac:dyDescent="0.25">
      <c r="A185" s="3"/>
      <c r="B185" s="3"/>
      <c r="C185" s="3"/>
      <c r="D185" s="3"/>
      <c r="E185" s="18"/>
      <c r="F185" s="8"/>
      <c r="G185" s="8"/>
      <c r="H185" s="8"/>
      <c r="I185" s="8"/>
    </row>
    <row r="186" spans="1:9" ht="14.25" customHeight="1" x14ac:dyDescent="0.25">
      <c r="A186" s="3"/>
      <c r="B186" s="3"/>
      <c r="C186" s="3"/>
      <c r="D186" s="3"/>
      <c r="E186" s="18"/>
      <c r="F186" s="8"/>
      <c r="G186" s="8"/>
      <c r="H186" s="8"/>
      <c r="I186" s="8"/>
    </row>
    <row r="187" spans="1:9" ht="14.25" customHeight="1" x14ac:dyDescent="0.25">
      <c r="A187" s="3"/>
      <c r="B187" s="3"/>
      <c r="C187" s="3"/>
      <c r="D187" s="3"/>
      <c r="E187" s="18"/>
      <c r="F187" s="8"/>
      <c r="G187" s="8"/>
      <c r="H187" s="8"/>
      <c r="I187" s="8"/>
    </row>
    <row r="188" spans="1:9" ht="14.25" customHeight="1" x14ac:dyDescent="0.25">
      <c r="A188" s="3"/>
      <c r="B188" s="3"/>
      <c r="C188" s="3"/>
      <c r="D188" s="3"/>
      <c r="E188" s="18"/>
      <c r="F188" s="8"/>
      <c r="G188" s="8"/>
      <c r="H188" s="8"/>
      <c r="I188" s="8"/>
    </row>
    <row r="189" spans="1:9" ht="14.25" customHeight="1" x14ac:dyDescent="0.25">
      <c r="A189" s="3"/>
      <c r="B189" s="3"/>
      <c r="C189" s="3"/>
      <c r="D189" s="3"/>
      <c r="E189" s="18"/>
      <c r="F189" s="8"/>
      <c r="G189" s="8"/>
      <c r="H189" s="8"/>
      <c r="I189" s="8"/>
    </row>
    <row r="190" spans="1:9" ht="14.25" customHeight="1" x14ac:dyDescent="0.25">
      <c r="A190" s="3"/>
      <c r="B190" s="3"/>
      <c r="C190" s="3"/>
      <c r="D190" s="3"/>
      <c r="E190" s="18"/>
      <c r="F190" s="8"/>
      <c r="G190" s="8"/>
      <c r="H190" s="8"/>
      <c r="I190" s="8"/>
    </row>
    <row r="191" spans="1:9" ht="14.25" customHeight="1" x14ac:dyDescent="0.25">
      <c r="A191" s="3"/>
      <c r="B191" s="3"/>
      <c r="C191" s="3"/>
      <c r="D191" s="3"/>
      <c r="E191" s="18"/>
      <c r="F191" s="8"/>
      <c r="G191" s="8"/>
      <c r="H191" s="8"/>
      <c r="I191" s="8"/>
    </row>
    <row r="192" spans="1:9" ht="14.25" customHeight="1" x14ac:dyDescent="0.25">
      <c r="A192" s="3"/>
      <c r="B192" s="3"/>
      <c r="C192" s="3"/>
      <c r="D192" s="3"/>
      <c r="E192" s="18"/>
      <c r="F192" s="8"/>
      <c r="G192" s="8"/>
      <c r="H192" s="8"/>
      <c r="I192" s="8"/>
    </row>
    <row r="193" spans="1:9" ht="14.25" customHeight="1" x14ac:dyDescent="0.25">
      <c r="A193" s="3"/>
      <c r="B193" s="3"/>
      <c r="C193" s="3"/>
      <c r="D193" s="3"/>
      <c r="E193" s="18"/>
      <c r="F193" s="8"/>
      <c r="G193" s="8"/>
      <c r="H193" s="8"/>
      <c r="I193" s="8"/>
    </row>
    <row r="194" spans="1:9" ht="14.25" customHeight="1" x14ac:dyDescent="0.25">
      <c r="A194" s="3"/>
      <c r="B194" s="3"/>
      <c r="C194" s="3"/>
      <c r="D194" s="3"/>
      <c r="E194" s="18"/>
      <c r="F194" s="8"/>
      <c r="G194" s="8"/>
      <c r="H194" s="8"/>
      <c r="I194" s="8"/>
    </row>
    <row r="195" spans="1:9" ht="14.25" customHeight="1" x14ac:dyDescent="0.25">
      <c r="A195" s="3"/>
      <c r="B195" s="3"/>
      <c r="C195" s="3"/>
      <c r="D195" s="3"/>
      <c r="E195" s="18"/>
      <c r="F195" s="8"/>
      <c r="G195" s="8"/>
      <c r="H195" s="8"/>
      <c r="I195" s="8"/>
    </row>
    <row r="196" spans="1:9" ht="14.25" customHeight="1" x14ac:dyDescent="0.25">
      <c r="A196" s="3"/>
      <c r="B196" s="3"/>
      <c r="C196" s="3"/>
      <c r="D196" s="3"/>
      <c r="E196" s="18"/>
      <c r="F196" s="8"/>
      <c r="G196" s="8"/>
      <c r="H196" s="8"/>
      <c r="I196" s="8"/>
    </row>
    <row r="197" spans="1:9" ht="14.25" customHeight="1" x14ac:dyDescent="0.25">
      <c r="A197" s="3"/>
      <c r="B197" s="3"/>
      <c r="C197" s="3"/>
      <c r="D197" s="3"/>
      <c r="E197" s="18"/>
      <c r="F197" s="8"/>
      <c r="G197" s="8"/>
      <c r="H197" s="8"/>
      <c r="I197" s="8"/>
    </row>
    <row r="198" spans="1:9" ht="14.25" customHeight="1" x14ac:dyDescent="0.25">
      <c r="A198" s="3"/>
      <c r="B198" s="3"/>
      <c r="C198" s="3"/>
      <c r="D198" s="3"/>
      <c r="E198" s="18"/>
      <c r="F198" s="8"/>
      <c r="G198" s="8"/>
      <c r="H198" s="8"/>
      <c r="I198" s="8"/>
    </row>
    <row r="199" spans="1:9" ht="14.25" customHeight="1" x14ac:dyDescent="0.25">
      <c r="A199" s="3"/>
      <c r="B199" s="3"/>
      <c r="C199" s="3"/>
      <c r="D199" s="3"/>
      <c r="E199" s="18"/>
      <c r="F199" s="8"/>
      <c r="G199" s="8"/>
      <c r="H199" s="8"/>
      <c r="I199" s="8"/>
    </row>
    <row r="200" spans="1:9" ht="14.25" customHeight="1" x14ac:dyDescent="0.25">
      <c r="A200" s="3"/>
      <c r="B200" s="3"/>
      <c r="C200" s="3"/>
      <c r="D200" s="3"/>
      <c r="E200" s="18"/>
      <c r="F200" s="8"/>
      <c r="G200" s="8"/>
      <c r="H200" s="8"/>
      <c r="I200" s="8"/>
    </row>
    <row r="201" spans="1:9" ht="14.25" customHeight="1" x14ac:dyDescent="0.25">
      <c r="A201" s="3"/>
      <c r="B201" s="3"/>
      <c r="C201" s="3"/>
      <c r="D201" s="3"/>
      <c r="E201" s="18"/>
      <c r="F201" s="8"/>
      <c r="G201" s="8"/>
      <c r="H201" s="8"/>
      <c r="I201" s="8"/>
    </row>
    <row r="202" spans="1:9" ht="14.25" customHeight="1" x14ac:dyDescent="0.25">
      <c r="A202" s="3"/>
      <c r="B202" s="3"/>
      <c r="C202" s="3"/>
      <c r="D202" s="3"/>
      <c r="E202" s="18"/>
      <c r="F202" s="8"/>
      <c r="G202" s="8"/>
      <c r="H202" s="8"/>
      <c r="I202" s="8"/>
    </row>
    <row r="203" spans="1:9" ht="14.25" customHeight="1" x14ac:dyDescent="0.25">
      <c r="A203" s="3"/>
      <c r="B203" s="3"/>
      <c r="C203" s="3"/>
      <c r="D203" s="3"/>
      <c r="E203" s="18"/>
      <c r="F203" s="8"/>
      <c r="G203" s="8"/>
      <c r="H203" s="8"/>
      <c r="I203" s="8"/>
    </row>
    <row r="204" spans="1:9" ht="14.25" customHeight="1" x14ac:dyDescent="0.25">
      <c r="A204" s="3"/>
      <c r="B204" s="3"/>
      <c r="C204" s="3"/>
      <c r="D204" s="3"/>
      <c r="E204" s="18"/>
      <c r="F204" s="8"/>
      <c r="G204" s="8"/>
      <c r="H204" s="8"/>
      <c r="I204" s="8"/>
    </row>
    <row r="205" spans="1:9" ht="14.25" customHeight="1" x14ac:dyDescent="0.25">
      <c r="A205" s="3"/>
      <c r="B205" s="3"/>
      <c r="C205" s="3"/>
      <c r="D205" s="3"/>
      <c r="E205" s="18"/>
      <c r="F205" s="8"/>
      <c r="G205" s="8"/>
      <c r="H205" s="8"/>
      <c r="I205" s="8"/>
    </row>
    <row r="206" spans="1:9" ht="14.25" customHeight="1" x14ac:dyDescent="0.25">
      <c r="A206" s="3"/>
      <c r="B206" s="3"/>
      <c r="C206" s="3"/>
      <c r="D206" s="3"/>
      <c r="E206" s="18"/>
      <c r="F206" s="8"/>
      <c r="G206" s="8"/>
      <c r="H206" s="8"/>
      <c r="I206" s="8"/>
    </row>
    <row r="207" spans="1:9" ht="14.25" customHeight="1" x14ac:dyDescent="0.25">
      <c r="A207" s="3"/>
      <c r="B207" s="3"/>
      <c r="C207" s="3"/>
      <c r="D207" s="3"/>
      <c r="E207" s="18"/>
      <c r="F207" s="8"/>
      <c r="G207" s="8"/>
      <c r="H207" s="8"/>
      <c r="I207" s="8"/>
    </row>
    <row r="208" spans="1:9" ht="14.25" customHeight="1" x14ac:dyDescent="0.25">
      <c r="A208" s="3"/>
      <c r="B208" s="3"/>
      <c r="C208" s="3"/>
      <c r="D208" s="3"/>
      <c r="E208" s="18"/>
      <c r="F208" s="8"/>
      <c r="G208" s="8"/>
      <c r="H208" s="8"/>
      <c r="I208" s="8"/>
    </row>
    <row r="209" spans="1:9" ht="14.25" customHeight="1" x14ac:dyDescent="0.25">
      <c r="A209" s="3"/>
      <c r="B209" s="3"/>
      <c r="C209" s="3"/>
      <c r="D209" s="3"/>
      <c r="E209" s="18"/>
      <c r="F209" s="8"/>
      <c r="G209" s="8"/>
      <c r="H209" s="8"/>
      <c r="I209" s="8"/>
    </row>
    <row r="210" spans="1:9" ht="14.25" customHeight="1" x14ac:dyDescent="0.25">
      <c r="A210" s="3"/>
      <c r="B210" s="3"/>
      <c r="C210" s="3"/>
      <c r="D210" s="3"/>
      <c r="E210" s="18"/>
      <c r="F210" s="8"/>
      <c r="G210" s="8"/>
      <c r="H210" s="8"/>
      <c r="I210" s="8"/>
    </row>
    <row r="211" spans="1:9" ht="14.25" customHeight="1" x14ac:dyDescent="0.25">
      <c r="A211" s="3"/>
      <c r="B211" s="3"/>
      <c r="C211" s="3"/>
      <c r="D211" s="3"/>
      <c r="E211" s="18"/>
      <c r="F211" s="8"/>
      <c r="G211" s="8"/>
      <c r="H211" s="8"/>
      <c r="I211" s="8"/>
    </row>
    <row r="212" spans="1:9" ht="14.25" customHeight="1" x14ac:dyDescent="0.25">
      <c r="A212" s="3"/>
      <c r="B212" s="3"/>
      <c r="C212" s="3"/>
      <c r="D212" s="3"/>
      <c r="E212" s="18"/>
      <c r="F212" s="8"/>
      <c r="G212" s="8"/>
      <c r="H212" s="8"/>
      <c r="I212" s="8"/>
    </row>
    <row r="213" spans="1:9" ht="14.25" customHeight="1" x14ac:dyDescent="0.25">
      <c r="A213" s="3"/>
      <c r="B213" s="3"/>
      <c r="C213" s="3"/>
      <c r="D213" s="3"/>
      <c r="E213" s="18"/>
      <c r="F213" s="8"/>
      <c r="G213" s="8"/>
      <c r="H213" s="8"/>
      <c r="I213" s="8"/>
    </row>
    <row r="214" spans="1:9" ht="14.25" customHeight="1" x14ac:dyDescent="0.25">
      <c r="A214" s="3"/>
      <c r="B214" s="3"/>
      <c r="C214" s="3"/>
      <c r="D214" s="3"/>
      <c r="E214" s="18"/>
      <c r="F214" s="8"/>
      <c r="G214" s="8"/>
      <c r="H214" s="8"/>
      <c r="I214" s="8"/>
    </row>
    <row r="215" spans="1:9" ht="14.25" customHeight="1" x14ac:dyDescent="0.25">
      <c r="A215" s="3"/>
      <c r="B215" s="3"/>
      <c r="C215" s="3"/>
      <c r="D215" s="3"/>
      <c r="E215" s="18"/>
      <c r="F215" s="8"/>
      <c r="G215" s="8"/>
      <c r="H215" s="8"/>
      <c r="I215" s="8"/>
    </row>
    <row r="216" spans="1:9" ht="14.25" customHeight="1" x14ac:dyDescent="0.25">
      <c r="A216" s="3"/>
      <c r="B216" s="3"/>
      <c r="C216" s="3"/>
      <c r="D216" s="3"/>
      <c r="E216" s="18"/>
      <c r="F216" s="8"/>
      <c r="G216" s="8"/>
      <c r="H216" s="8"/>
      <c r="I216" s="8"/>
    </row>
    <row r="217" spans="1:9" ht="14.25" customHeight="1" x14ac:dyDescent="0.25">
      <c r="A217" s="3"/>
      <c r="B217" s="3"/>
      <c r="C217" s="3"/>
      <c r="D217" s="3"/>
      <c r="E217" s="18"/>
      <c r="F217" s="8"/>
      <c r="G217" s="8"/>
      <c r="H217" s="8"/>
      <c r="I217" s="8"/>
    </row>
    <row r="218" spans="1:9" ht="14.25" customHeight="1" x14ac:dyDescent="0.25">
      <c r="A218" s="3"/>
      <c r="B218" s="3"/>
      <c r="C218" s="3"/>
      <c r="D218" s="3"/>
      <c r="E218" s="18"/>
      <c r="F218" s="8"/>
      <c r="G218" s="8"/>
      <c r="H218" s="8"/>
      <c r="I218" s="8"/>
    </row>
    <row r="219" spans="1:9" ht="14.25" customHeight="1" x14ac:dyDescent="0.25">
      <c r="A219" s="3"/>
      <c r="B219" s="3"/>
      <c r="C219" s="3"/>
      <c r="D219" s="3"/>
      <c r="E219" s="18"/>
      <c r="F219" s="8"/>
      <c r="G219" s="8"/>
      <c r="H219" s="8"/>
      <c r="I219" s="8"/>
    </row>
    <row r="220" spans="1:9" ht="14.25" customHeight="1" x14ac:dyDescent="0.25">
      <c r="A220" s="3"/>
      <c r="B220" s="3"/>
      <c r="C220" s="3"/>
      <c r="D220" s="3"/>
      <c r="E220" s="18"/>
      <c r="F220" s="8"/>
      <c r="G220" s="8"/>
      <c r="H220" s="8"/>
      <c r="I220" s="8"/>
    </row>
    <row r="221" spans="1:9" ht="14.25" customHeight="1" x14ac:dyDescent="0.25">
      <c r="A221" s="3"/>
      <c r="B221" s="3"/>
      <c r="C221" s="3"/>
      <c r="D221" s="3"/>
      <c r="E221" s="18"/>
      <c r="F221" s="8"/>
      <c r="G221" s="8"/>
      <c r="H221" s="8"/>
      <c r="I221" s="8"/>
    </row>
    <row r="222" spans="1:9" ht="14.25" customHeight="1" x14ac:dyDescent="0.25">
      <c r="A222" s="3"/>
      <c r="B222" s="3"/>
      <c r="C222" s="3"/>
      <c r="D222" s="3"/>
      <c r="E222" s="18"/>
      <c r="F222" s="8"/>
      <c r="G222" s="8"/>
      <c r="H222" s="8"/>
      <c r="I222" s="8"/>
    </row>
    <row r="223" spans="1:9" ht="14.25" customHeight="1" x14ac:dyDescent="0.25">
      <c r="A223" s="3"/>
      <c r="B223" s="3"/>
      <c r="C223" s="3"/>
      <c r="D223" s="3"/>
      <c r="E223" s="18"/>
      <c r="F223" s="8"/>
      <c r="G223" s="8"/>
      <c r="H223" s="8"/>
      <c r="I223" s="8"/>
    </row>
    <row r="224" spans="1:9" ht="14.25" customHeight="1" x14ac:dyDescent="0.25">
      <c r="A224" s="3"/>
      <c r="B224" s="3"/>
      <c r="C224" s="3"/>
      <c r="D224" s="3"/>
      <c r="E224" s="18"/>
      <c r="F224" s="8"/>
      <c r="G224" s="8"/>
      <c r="H224" s="8"/>
      <c r="I224" s="8"/>
    </row>
    <row r="225" spans="1:9" ht="14.25" customHeight="1" x14ac:dyDescent="0.25">
      <c r="A225" s="3"/>
      <c r="B225" s="3"/>
      <c r="C225" s="3"/>
      <c r="D225" s="3"/>
      <c r="E225" s="18"/>
      <c r="F225" s="8"/>
      <c r="G225" s="8"/>
      <c r="H225" s="8"/>
      <c r="I225" s="8"/>
    </row>
    <row r="226" spans="1:9" ht="14.25" customHeight="1" x14ac:dyDescent="0.25">
      <c r="A226" s="3"/>
      <c r="B226" s="3"/>
      <c r="C226" s="3"/>
      <c r="D226" s="3"/>
      <c r="E226" s="18"/>
      <c r="F226" s="8"/>
      <c r="G226" s="8"/>
      <c r="H226" s="8"/>
      <c r="I226" s="8"/>
    </row>
    <row r="227" spans="1:9" ht="14.25" customHeight="1" x14ac:dyDescent="0.25">
      <c r="A227" s="3"/>
      <c r="B227" s="3"/>
      <c r="C227" s="3"/>
      <c r="D227" s="3"/>
      <c r="E227" s="18"/>
      <c r="F227" s="8"/>
      <c r="G227" s="8"/>
      <c r="H227" s="8"/>
      <c r="I227" s="8"/>
    </row>
    <row r="228" spans="1:9" ht="14.25" customHeight="1" x14ac:dyDescent="0.25">
      <c r="A228" s="3"/>
      <c r="B228" s="3"/>
      <c r="C228" s="3"/>
      <c r="D228" s="3"/>
      <c r="E228" s="18"/>
      <c r="F228" s="8"/>
      <c r="G228" s="8"/>
      <c r="H228" s="8"/>
      <c r="I228" s="8"/>
    </row>
    <row r="229" spans="1:9" ht="14.25" customHeight="1" x14ac:dyDescent="0.25">
      <c r="A229" s="3"/>
      <c r="B229" s="3"/>
      <c r="C229" s="3"/>
      <c r="D229" s="3"/>
      <c r="E229" s="18"/>
      <c r="F229" s="8"/>
      <c r="G229" s="8"/>
      <c r="H229" s="8"/>
      <c r="I229" s="8"/>
    </row>
    <row r="230" spans="1:9" ht="14.25" customHeight="1" x14ac:dyDescent="0.25">
      <c r="A230" s="3"/>
      <c r="B230" s="3"/>
      <c r="C230" s="3"/>
      <c r="D230" s="3"/>
      <c r="E230" s="18"/>
      <c r="F230" s="8"/>
      <c r="G230" s="8"/>
      <c r="H230" s="8"/>
      <c r="I230" s="8"/>
    </row>
    <row r="231" spans="1:9" ht="14.25" customHeight="1" x14ac:dyDescent="0.25">
      <c r="A231" s="3"/>
      <c r="B231" s="3"/>
      <c r="C231" s="3"/>
      <c r="D231" s="3"/>
      <c r="E231" s="18"/>
      <c r="F231" s="8"/>
      <c r="G231" s="8"/>
      <c r="H231" s="8"/>
      <c r="I231" s="8"/>
    </row>
    <row r="232" spans="1:9" ht="14.25" customHeight="1" x14ac:dyDescent="0.25">
      <c r="A232" s="3"/>
      <c r="B232" s="3"/>
      <c r="C232" s="3"/>
      <c r="D232" s="3"/>
      <c r="E232" s="18"/>
      <c r="F232" s="8"/>
      <c r="G232" s="8"/>
      <c r="H232" s="8"/>
      <c r="I232" s="8"/>
    </row>
    <row r="233" spans="1:9" ht="14.25" customHeight="1" x14ac:dyDescent="0.25">
      <c r="A233" s="3"/>
      <c r="B233" s="3"/>
      <c r="C233" s="3"/>
      <c r="D233" s="3"/>
      <c r="E233" s="18"/>
      <c r="F233" s="8"/>
      <c r="G233" s="8"/>
      <c r="H233" s="8"/>
      <c r="I233" s="8"/>
    </row>
    <row r="234" spans="1:9" ht="14.25" customHeight="1" x14ac:dyDescent="0.25">
      <c r="A234" s="3"/>
      <c r="B234" s="3"/>
      <c r="C234" s="3"/>
      <c r="D234" s="3"/>
      <c r="E234" s="18"/>
      <c r="F234" s="8"/>
      <c r="G234" s="8"/>
      <c r="H234" s="8"/>
      <c r="I234" s="8"/>
    </row>
    <row r="235" spans="1:9" ht="14.25" customHeight="1" x14ac:dyDescent="0.25">
      <c r="A235" s="3"/>
      <c r="B235" s="3"/>
      <c r="C235" s="3"/>
      <c r="D235" s="3"/>
      <c r="E235" s="18"/>
      <c r="F235" s="8"/>
      <c r="G235" s="8"/>
      <c r="H235" s="8"/>
      <c r="I235" s="8"/>
    </row>
    <row r="236" spans="1:9" ht="14.25" customHeight="1" x14ac:dyDescent="0.25">
      <c r="A236" s="3"/>
      <c r="B236" s="3"/>
      <c r="C236" s="3"/>
      <c r="D236" s="3"/>
      <c r="E236" s="18"/>
      <c r="F236" s="8"/>
      <c r="G236" s="8"/>
      <c r="H236" s="8"/>
      <c r="I236" s="8"/>
    </row>
    <row r="237" spans="1:9" ht="14.25" customHeight="1" x14ac:dyDescent="0.25">
      <c r="A237" s="3"/>
      <c r="B237" s="3"/>
      <c r="C237" s="3"/>
      <c r="D237" s="3"/>
      <c r="E237" s="18"/>
      <c r="F237" s="8"/>
      <c r="G237" s="8"/>
      <c r="H237" s="8"/>
      <c r="I237" s="8"/>
    </row>
    <row r="238" spans="1:9" ht="14.25" customHeight="1" x14ac:dyDescent="0.25">
      <c r="A238" s="3"/>
      <c r="B238" s="3"/>
      <c r="C238" s="3"/>
      <c r="D238" s="3"/>
      <c r="E238" s="18"/>
      <c r="F238" s="8"/>
      <c r="G238" s="8"/>
      <c r="H238" s="8"/>
      <c r="I238" s="8"/>
    </row>
    <row r="239" spans="1:9" ht="14.25" customHeight="1" x14ac:dyDescent="0.25">
      <c r="A239" s="3"/>
      <c r="B239" s="3"/>
      <c r="C239" s="3"/>
      <c r="D239" s="3"/>
      <c r="E239" s="18"/>
      <c r="F239" s="8"/>
      <c r="G239" s="8"/>
      <c r="H239" s="8"/>
      <c r="I239" s="8"/>
    </row>
    <row r="240" spans="1:9" ht="14.25" customHeight="1" x14ac:dyDescent="0.25">
      <c r="A240" s="3"/>
      <c r="B240" s="3"/>
      <c r="C240" s="3"/>
      <c r="D240" s="3"/>
      <c r="E240" s="18"/>
      <c r="F240" s="8"/>
      <c r="G240" s="8"/>
      <c r="H240" s="8"/>
      <c r="I240" s="8"/>
    </row>
    <row r="241" spans="1:9" ht="14.25" customHeight="1" x14ac:dyDescent="0.25">
      <c r="A241" s="3"/>
      <c r="B241" s="3"/>
      <c r="C241" s="3"/>
      <c r="D241" s="3"/>
      <c r="E241" s="18"/>
      <c r="F241" s="8"/>
      <c r="G241" s="8"/>
      <c r="H241" s="8"/>
      <c r="I241" s="8"/>
    </row>
    <row r="242" spans="1:9" ht="14.25" customHeight="1" x14ac:dyDescent="0.25">
      <c r="A242" s="3"/>
      <c r="B242" s="3"/>
      <c r="C242" s="3"/>
      <c r="D242" s="3"/>
      <c r="E242" s="18"/>
      <c r="F242" s="8"/>
      <c r="G242" s="8"/>
      <c r="H242" s="8"/>
      <c r="I242" s="8"/>
    </row>
    <row r="243" spans="1:9" ht="14.25" customHeight="1" x14ac:dyDescent="0.25">
      <c r="A243" s="3"/>
      <c r="B243" s="3"/>
      <c r="C243" s="3"/>
      <c r="D243" s="3"/>
      <c r="E243" s="18"/>
      <c r="F243" s="8"/>
      <c r="G243" s="8"/>
      <c r="H243" s="8"/>
      <c r="I243" s="8"/>
    </row>
    <row r="244" spans="1:9" ht="14.25" customHeight="1" x14ac:dyDescent="0.25">
      <c r="A244" s="3"/>
      <c r="B244" s="3"/>
      <c r="C244" s="3"/>
      <c r="D244" s="3"/>
      <c r="E244" s="18"/>
      <c r="F244" s="8"/>
      <c r="G244" s="8"/>
      <c r="H244" s="8"/>
      <c r="I244" s="8"/>
    </row>
    <row r="245" spans="1:9" ht="14.25" customHeight="1" x14ac:dyDescent="0.25">
      <c r="A245" s="3"/>
      <c r="B245" s="3"/>
      <c r="C245" s="3"/>
      <c r="D245" s="3"/>
      <c r="E245" s="18"/>
      <c r="F245" s="8"/>
      <c r="G245" s="8"/>
      <c r="H245" s="8"/>
      <c r="I245" s="8"/>
    </row>
    <row r="246" spans="1:9" ht="14.25" customHeight="1" x14ac:dyDescent="0.25">
      <c r="A246" s="3"/>
      <c r="B246" s="3"/>
      <c r="C246" s="3"/>
      <c r="D246" s="3"/>
      <c r="E246" s="18"/>
      <c r="F246" s="8"/>
      <c r="G246" s="8"/>
      <c r="H246" s="8"/>
      <c r="I246" s="8"/>
    </row>
    <row r="247" spans="1:9" ht="14.25" customHeight="1" x14ac:dyDescent="0.25">
      <c r="A247" s="3"/>
      <c r="B247" s="3"/>
      <c r="C247" s="3"/>
      <c r="D247" s="3"/>
      <c r="E247" s="18"/>
      <c r="F247" s="8"/>
      <c r="G247" s="8"/>
      <c r="H247" s="8"/>
      <c r="I247" s="8"/>
    </row>
    <row r="248" spans="1:9" ht="14.25" customHeight="1" x14ac:dyDescent="0.25">
      <c r="A248" s="3"/>
      <c r="B248" s="3"/>
      <c r="C248" s="3"/>
      <c r="D248" s="3"/>
      <c r="E248" s="18"/>
      <c r="F248" s="8"/>
      <c r="G248" s="8"/>
      <c r="H248" s="8"/>
      <c r="I248" s="8"/>
    </row>
    <row r="249" spans="1:9" ht="14.25" customHeight="1" x14ac:dyDescent="0.25">
      <c r="A249" s="3"/>
      <c r="B249" s="3"/>
      <c r="C249" s="3"/>
      <c r="D249" s="3"/>
      <c r="E249" s="18"/>
      <c r="F249" s="8"/>
      <c r="G249" s="8"/>
      <c r="H249" s="8"/>
      <c r="I249" s="8"/>
    </row>
    <row r="250" spans="1:9" ht="14.25" customHeight="1" x14ac:dyDescent="0.25">
      <c r="A250" s="3"/>
      <c r="B250" s="3"/>
      <c r="C250" s="3"/>
      <c r="D250" s="3"/>
      <c r="E250" s="18"/>
      <c r="F250" s="8"/>
      <c r="G250" s="8"/>
      <c r="H250" s="8"/>
      <c r="I250" s="8"/>
    </row>
    <row r="251" spans="1:9" ht="14.25" customHeight="1" x14ac:dyDescent="0.25">
      <c r="A251" s="3"/>
      <c r="B251" s="3"/>
      <c r="C251" s="3"/>
      <c r="D251" s="3"/>
      <c r="E251" s="18"/>
      <c r="F251" s="8"/>
      <c r="G251" s="8"/>
      <c r="H251" s="8"/>
      <c r="I251" s="8"/>
    </row>
    <row r="252" spans="1:9" ht="14.25" customHeight="1" x14ac:dyDescent="0.25">
      <c r="A252" s="3"/>
      <c r="B252" s="3"/>
      <c r="C252" s="3"/>
      <c r="D252" s="3"/>
      <c r="E252" s="18"/>
      <c r="F252" s="8"/>
      <c r="G252" s="8"/>
      <c r="H252" s="8"/>
      <c r="I252" s="8"/>
    </row>
    <row r="253" spans="1:9" ht="14.25" customHeight="1" x14ac:dyDescent="0.25">
      <c r="A253" s="3"/>
      <c r="B253" s="3"/>
      <c r="C253" s="3"/>
      <c r="D253" s="3"/>
      <c r="E253" s="18"/>
      <c r="F253" s="8"/>
      <c r="G253" s="8"/>
      <c r="H253" s="8"/>
      <c r="I253" s="8"/>
    </row>
    <row r="254" spans="1:9" ht="14.25" customHeight="1" x14ac:dyDescent="0.25">
      <c r="A254" s="3"/>
      <c r="B254" s="3"/>
      <c r="C254" s="3"/>
      <c r="D254" s="3"/>
      <c r="E254" s="18"/>
      <c r="F254" s="8"/>
      <c r="G254" s="8"/>
      <c r="H254" s="8"/>
      <c r="I254" s="8"/>
    </row>
    <row r="255" spans="1:9" ht="14.25" customHeight="1" x14ac:dyDescent="0.25">
      <c r="A255" s="3"/>
      <c r="B255" s="3"/>
      <c r="C255" s="3"/>
      <c r="D255" s="3"/>
      <c r="E255" s="18"/>
      <c r="F255" s="8"/>
      <c r="G255" s="8"/>
      <c r="H255" s="8"/>
      <c r="I255" s="8"/>
    </row>
    <row r="256" spans="1:9" ht="14.25" customHeight="1" x14ac:dyDescent="0.25">
      <c r="A256" s="3"/>
      <c r="B256" s="3"/>
      <c r="C256" s="3"/>
      <c r="D256" s="3"/>
      <c r="E256" s="18"/>
      <c r="F256" s="8"/>
      <c r="G256" s="8"/>
      <c r="H256" s="8"/>
      <c r="I256" s="8"/>
    </row>
    <row r="257" spans="1:9" ht="14.25" customHeight="1" x14ac:dyDescent="0.25">
      <c r="A257" s="3"/>
      <c r="B257" s="3"/>
      <c r="C257" s="3"/>
      <c r="D257" s="3"/>
      <c r="E257" s="18"/>
      <c r="F257" s="8"/>
      <c r="G257" s="8"/>
      <c r="H257" s="8"/>
      <c r="I257" s="8"/>
    </row>
    <row r="258" spans="1:9" ht="14.25" customHeight="1" x14ac:dyDescent="0.25">
      <c r="A258" s="3"/>
      <c r="B258" s="3"/>
      <c r="C258" s="3"/>
      <c r="D258" s="3"/>
      <c r="E258" s="18"/>
      <c r="F258" s="8"/>
      <c r="G258" s="8"/>
      <c r="H258" s="8"/>
      <c r="I258" s="8"/>
    </row>
    <row r="259" spans="1:9" ht="14.25" customHeight="1" x14ac:dyDescent="0.25">
      <c r="A259" s="3"/>
      <c r="B259" s="3"/>
      <c r="C259" s="3"/>
      <c r="D259" s="3"/>
      <c r="E259" s="18"/>
      <c r="F259" s="8"/>
      <c r="G259" s="8"/>
      <c r="H259" s="8"/>
      <c r="I259" s="8"/>
    </row>
    <row r="260" spans="1:9" ht="14.25" customHeight="1" x14ac:dyDescent="0.25">
      <c r="A260" s="3"/>
      <c r="B260" s="3"/>
      <c r="C260" s="3"/>
      <c r="D260" s="3"/>
      <c r="E260" s="18"/>
      <c r="F260" s="8"/>
      <c r="G260" s="8"/>
      <c r="H260" s="8"/>
      <c r="I260" s="8"/>
    </row>
    <row r="261" spans="1:9" ht="14.25" customHeight="1" x14ac:dyDescent="0.25">
      <c r="A261" s="3"/>
      <c r="B261" s="3"/>
      <c r="C261" s="3"/>
      <c r="D261" s="3"/>
      <c r="E261" s="18"/>
      <c r="F261" s="8"/>
      <c r="G261" s="8"/>
      <c r="H261" s="8"/>
      <c r="I261" s="8"/>
    </row>
    <row r="262" spans="1:9" ht="14.25" customHeight="1" x14ac:dyDescent="0.25">
      <c r="A262" s="3"/>
      <c r="B262" s="3"/>
      <c r="C262" s="3"/>
      <c r="D262" s="3"/>
      <c r="E262" s="18"/>
      <c r="F262" s="8"/>
      <c r="G262" s="8"/>
      <c r="H262" s="8"/>
      <c r="I262" s="8"/>
    </row>
    <row r="263" spans="1:9" ht="14.25" customHeight="1" x14ac:dyDescent="0.25">
      <c r="A263" s="3"/>
      <c r="B263" s="3"/>
      <c r="C263" s="3"/>
      <c r="D263" s="3"/>
      <c r="E263" s="18"/>
      <c r="F263" s="8"/>
      <c r="G263" s="8"/>
      <c r="H263" s="8"/>
      <c r="I263" s="8"/>
    </row>
    <row r="264" spans="1:9" ht="14.25" customHeight="1" x14ac:dyDescent="0.25">
      <c r="A264" s="3"/>
      <c r="B264" s="3"/>
      <c r="C264" s="3"/>
      <c r="D264" s="3"/>
      <c r="E264" s="18"/>
      <c r="F264" s="8"/>
      <c r="G264" s="8"/>
      <c r="H264" s="8"/>
      <c r="I264" s="8"/>
    </row>
    <row r="265" spans="1:9" ht="14.25" customHeight="1" x14ac:dyDescent="0.25">
      <c r="A265" s="3"/>
      <c r="B265" s="3"/>
      <c r="C265" s="3"/>
      <c r="D265" s="3"/>
      <c r="E265" s="18"/>
      <c r="F265" s="8"/>
      <c r="G265" s="8"/>
      <c r="H265" s="8"/>
      <c r="I265" s="8"/>
    </row>
    <row r="266" spans="1:9" ht="14.25" customHeight="1" x14ac:dyDescent="0.25">
      <c r="A266" s="3"/>
      <c r="B266" s="3"/>
      <c r="C266" s="3"/>
      <c r="D266" s="3"/>
      <c r="E266" s="18"/>
      <c r="F266" s="8"/>
      <c r="G266" s="8"/>
      <c r="H266" s="8"/>
      <c r="I266" s="8"/>
    </row>
    <row r="267" spans="1:9" ht="14.25" customHeight="1" x14ac:dyDescent="0.25">
      <c r="A267" s="3"/>
      <c r="B267" s="3"/>
      <c r="C267" s="3"/>
      <c r="D267" s="3"/>
      <c r="E267" s="18"/>
      <c r="F267" s="8"/>
      <c r="G267" s="8"/>
      <c r="H267" s="8"/>
      <c r="I267" s="8"/>
    </row>
    <row r="268" spans="1:9" ht="14.25" customHeight="1" x14ac:dyDescent="0.25">
      <c r="A268" s="3"/>
      <c r="B268" s="3"/>
      <c r="C268" s="3"/>
      <c r="D268" s="3"/>
      <c r="E268" s="18"/>
      <c r="F268" s="8"/>
      <c r="G268" s="8"/>
      <c r="H268" s="8"/>
      <c r="I268" s="8"/>
    </row>
    <row r="269" spans="1:9" ht="14.25" customHeight="1" x14ac:dyDescent="0.25">
      <c r="A269" s="3"/>
      <c r="B269" s="3"/>
      <c r="C269" s="3"/>
      <c r="D269" s="3"/>
      <c r="E269" s="18"/>
      <c r="F269" s="8"/>
      <c r="G269" s="8"/>
      <c r="H269" s="8"/>
      <c r="I269" s="8"/>
    </row>
    <row r="270" spans="1:9" ht="14.25" customHeight="1" x14ac:dyDescent="0.25">
      <c r="A270" s="3"/>
      <c r="B270" s="3"/>
      <c r="C270" s="3"/>
      <c r="D270" s="3"/>
      <c r="E270" s="18"/>
      <c r="F270" s="8"/>
      <c r="G270" s="8"/>
      <c r="H270" s="8"/>
      <c r="I270" s="8"/>
    </row>
    <row r="271" spans="1:9" ht="14.25" customHeight="1" x14ac:dyDescent="0.25">
      <c r="A271" s="3"/>
      <c r="B271" s="3"/>
      <c r="C271" s="3"/>
      <c r="D271" s="3"/>
      <c r="E271" s="18"/>
      <c r="F271" s="8"/>
      <c r="G271" s="8"/>
      <c r="H271" s="8"/>
      <c r="I271" s="8"/>
    </row>
    <row r="272" spans="1:9" ht="14.25" customHeight="1" x14ac:dyDescent="0.25">
      <c r="A272" s="3"/>
      <c r="B272" s="3"/>
      <c r="C272" s="3"/>
      <c r="D272" s="3"/>
      <c r="E272" s="18"/>
      <c r="F272" s="8"/>
      <c r="G272" s="8"/>
      <c r="H272" s="8"/>
      <c r="I272" s="8"/>
    </row>
    <row r="273" spans="1:9" ht="14.25" customHeight="1" x14ac:dyDescent="0.25">
      <c r="A273" s="3"/>
      <c r="B273" s="3"/>
      <c r="C273" s="3"/>
      <c r="D273" s="3"/>
      <c r="E273" s="18"/>
      <c r="F273" s="8"/>
      <c r="G273" s="8"/>
      <c r="H273" s="8"/>
      <c r="I273" s="8"/>
    </row>
    <row r="274" spans="1:9" ht="14.25" customHeight="1" x14ac:dyDescent="0.25">
      <c r="A274" s="3"/>
      <c r="B274" s="3"/>
      <c r="C274" s="3"/>
      <c r="D274" s="3"/>
      <c r="E274" s="18"/>
      <c r="F274" s="8"/>
      <c r="G274" s="8"/>
      <c r="H274" s="8"/>
      <c r="I274" s="8"/>
    </row>
    <row r="275" spans="1:9" ht="14.25" customHeight="1" x14ac:dyDescent="0.25">
      <c r="A275" s="3"/>
      <c r="B275" s="3"/>
      <c r="C275" s="3"/>
      <c r="D275" s="3"/>
      <c r="E275" s="18"/>
      <c r="F275" s="8"/>
      <c r="G275" s="8"/>
      <c r="H275" s="8"/>
      <c r="I275" s="8"/>
    </row>
    <row r="276" spans="1:9" ht="14.25" customHeight="1" x14ac:dyDescent="0.25">
      <c r="A276" s="3"/>
      <c r="B276" s="3"/>
      <c r="C276" s="3"/>
      <c r="D276" s="3"/>
      <c r="E276" s="18"/>
      <c r="F276" s="8"/>
      <c r="G276" s="8"/>
      <c r="H276" s="8"/>
      <c r="I276" s="8"/>
    </row>
    <row r="277" spans="1:9" ht="14.25" customHeight="1" x14ac:dyDescent="0.25">
      <c r="A277" s="3"/>
      <c r="B277" s="3"/>
      <c r="C277" s="3"/>
      <c r="D277" s="3"/>
      <c r="E277" s="18"/>
      <c r="F277" s="8"/>
      <c r="G277" s="8"/>
      <c r="H277" s="8"/>
      <c r="I277" s="8"/>
    </row>
    <row r="278" spans="1:9" ht="14.25" customHeight="1" x14ac:dyDescent="0.25">
      <c r="A278" s="3"/>
      <c r="B278" s="3"/>
      <c r="C278" s="3"/>
      <c r="D278" s="3"/>
      <c r="E278" s="18"/>
      <c r="F278" s="8"/>
      <c r="G278" s="8"/>
      <c r="H278" s="8"/>
      <c r="I278" s="8"/>
    </row>
    <row r="279" spans="1:9" ht="14.25" customHeight="1" x14ac:dyDescent="0.25">
      <c r="A279" s="3"/>
      <c r="B279" s="3"/>
      <c r="C279" s="3"/>
      <c r="D279" s="3"/>
      <c r="E279" s="18"/>
      <c r="F279" s="8"/>
      <c r="G279" s="8"/>
      <c r="H279" s="8"/>
      <c r="I279" s="8"/>
    </row>
    <row r="280" spans="1:9" ht="14.25" customHeight="1" x14ac:dyDescent="0.25">
      <c r="A280" s="3"/>
      <c r="B280" s="3"/>
      <c r="C280" s="3"/>
      <c r="D280" s="3"/>
      <c r="E280" s="18"/>
      <c r="F280" s="8"/>
      <c r="G280" s="8"/>
      <c r="H280" s="8"/>
      <c r="I280" s="8"/>
    </row>
    <row r="281" spans="1:9" ht="14.25" customHeight="1" x14ac:dyDescent="0.25">
      <c r="A281" s="3"/>
      <c r="B281" s="3"/>
      <c r="C281" s="3"/>
      <c r="D281" s="3"/>
      <c r="E281" s="18"/>
      <c r="F281" s="8"/>
      <c r="G281" s="8"/>
      <c r="H281" s="8"/>
      <c r="I281" s="8"/>
    </row>
    <row r="282" spans="1:9" ht="14.25" customHeight="1" x14ac:dyDescent="0.25">
      <c r="A282" s="3"/>
      <c r="B282" s="3"/>
      <c r="C282" s="3"/>
      <c r="D282" s="3"/>
      <c r="E282" s="18"/>
      <c r="F282" s="8"/>
      <c r="G282" s="8"/>
      <c r="H282" s="8"/>
      <c r="I282" s="8"/>
    </row>
    <row r="283" spans="1:9" ht="14.25" customHeight="1" x14ac:dyDescent="0.25">
      <c r="A283" s="3"/>
      <c r="B283" s="3"/>
      <c r="C283" s="3"/>
      <c r="D283" s="3"/>
      <c r="E283" s="18"/>
      <c r="F283" s="8"/>
      <c r="G283" s="8"/>
      <c r="H283" s="8"/>
      <c r="I283" s="8"/>
    </row>
    <row r="284" spans="1:9" ht="14.25" customHeight="1" x14ac:dyDescent="0.25">
      <c r="A284" s="3"/>
      <c r="B284" s="3"/>
      <c r="C284" s="3"/>
      <c r="D284" s="3"/>
      <c r="E284" s="18"/>
      <c r="F284" s="8"/>
      <c r="G284" s="8"/>
      <c r="H284" s="8"/>
      <c r="I284" s="8"/>
    </row>
    <row r="285" spans="1:9" ht="14.25" customHeight="1" x14ac:dyDescent="0.25">
      <c r="A285" s="3"/>
      <c r="B285" s="3"/>
      <c r="C285" s="3"/>
      <c r="D285" s="3"/>
      <c r="E285" s="18"/>
      <c r="F285" s="8"/>
      <c r="G285" s="8"/>
      <c r="H285" s="8"/>
      <c r="I285" s="8"/>
    </row>
    <row r="286" spans="1:9" ht="14.25" customHeight="1" x14ac:dyDescent="0.25">
      <c r="A286" s="3"/>
      <c r="B286" s="3"/>
      <c r="C286" s="3"/>
      <c r="D286" s="3"/>
      <c r="E286" s="18"/>
      <c r="F286" s="8"/>
      <c r="G286" s="8"/>
      <c r="H286" s="8"/>
      <c r="I286" s="8"/>
    </row>
    <row r="287" spans="1:9" ht="14.25" customHeight="1" x14ac:dyDescent="0.25">
      <c r="A287" s="3"/>
      <c r="B287" s="3"/>
      <c r="C287" s="3"/>
      <c r="D287" s="3"/>
      <c r="E287" s="18"/>
      <c r="F287" s="8"/>
      <c r="G287" s="8"/>
      <c r="H287" s="8"/>
      <c r="I287" s="8"/>
    </row>
    <row r="288" spans="1:9" ht="14.25" customHeight="1" x14ac:dyDescent="0.25">
      <c r="A288" s="3"/>
      <c r="B288" s="3"/>
      <c r="C288" s="3"/>
      <c r="D288" s="3"/>
      <c r="E288" s="18"/>
      <c r="F288" s="8"/>
      <c r="G288" s="8"/>
      <c r="H288" s="8"/>
      <c r="I288" s="8"/>
    </row>
    <row r="289" spans="1:9" ht="14.25" customHeight="1" x14ac:dyDescent="0.25">
      <c r="A289" s="3"/>
      <c r="B289" s="3"/>
      <c r="C289" s="3"/>
      <c r="D289" s="3"/>
      <c r="E289" s="18"/>
      <c r="F289" s="8"/>
      <c r="G289" s="8"/>
      <c r="H289" s="8"/>
      <c r="I289" s="8"/>
    </row>
    <row r="290" spans="1:9" ht="14.25" customHeight="1" x14ac:dyDescent="0.25">
      <c r="A290" s="3"/>
      <c r="B290" s="3"/>
      <c r="C290" s="3"/>
      <c r="D290" s="3"/>
      <c r="E290" s="18"/>
      <c r="F290" s="8"/>
      <c r="G290" s="8"/>
      <c r="H290" s="8"/>
      <c r="I290" s="8"/>
    </row>
    <row r="291" spans="1:9" ht="14.25" customHeight="1" x14ac:dyDescent="0.25">
      <c r="A291" s="3"/>
      <c r="B291" s="3"/>
      <c r="C291" s="3"/>
      <c r="D291" s="3"/>
      <c r="E291" s="18"/>
      <c r="F291" s="8"/>
      <c r="G291" s="8"/>
      <c r="H291" s="8"/>
      <c r="I291" s="8"/>
    </row>
    <row r="292" spans="1:9" ht="14.25" customHeight="1" x14ac:dyDescent="0.25">
      <c r="A292" s="3"/>
      <c r="B292" s="3"/>
      <c r="C292" s="3"/>
      <c r="D292" s="3"/>
      <c r="E292" s="18"/>
      <c r="F292" s="8"/>
      <c r="G292" s="8"/>
      <c r="H292" s="8"/>
      <c r="I292" s="8"/>
    </row>
    <row r="293" spans="1:9" ht="14.25" customHeight="1" x14ac:dyDescent="0.25">
      <c r="A293" s="3"/>
      <c r="B293" s="3"/>
      <c r="C293" s="3"/>
      <c r="D293" s="3"/>
      <c r="E293" s="18"/>
      <c r="F293" s="8"/>
      <c r="G293" s="8"/>
      <c r="H293" s="8"/>
      <c r="I293" s="8"/>
    </row>
    <row r="294" spans="1:9" ht="14.25" customHeight="1" x14ac:dyDescent="0.25">
      <c r="A294" s="3"/>
      <c r="B294" s="3"/>
      <c r="C294" s="3"/>
      <c r="D294" s="3"/>
      <c r="E294" s="18"/>
      <c r="F294" s="8"/>
      <c r="G294" s="8"/>
      <c r="H294" s="8"/>
      <c r="I294" s="8"/>
    </row>
    <row r="295" spans="1:9" ht="14.25" customHeight="1" x14ac:dyDescent="0.25">
      <c r="A295" s="3"/>
      <c r="B295" s="3"/>
      <c r="C295" s="3"/>
      <c r="D295" s="3"/>
      <c r="E295" s="18"/>
      <c r="F295" s="8"/>
      <c r="G295" s="8"/>
      <c r="H295" s="8"/>
      <c r="I295" s="8"/>
    </row>
    <row r="296" spans="1:9" ht="14.25" customHeight="1" x14ac:dyDescent="0.25">
      <c r="A296" s="3"/>
      <c r="B296" s="3"/>
      <c r="C296" s="3"/>
      <c r="D296" s="3"/>
      <c r="E296" s="18"/>
      <c r="F296" s="8"/>
      <c r="G296" s="8"/>
      <c r="H296" s="8"/>
      <c r="I296" s="8"/>
    </row>
    <row r="297" spans="1:9" ht="14.25" customHeight="1" x14ac:dyDescent="0.25">
      <c r="A297" s="3"/>
      <c r="B297" s="3"/>
      <c r="C297" s="3"/>
      <c r="D297" s="3"/>
      <c r="E297" s="18"/>
      <c r="F297" s="8"/>
      <c r="G297" s="8"/>
      <c r="H297" s="8"/>
      <c r="I297" s="8"/>
    </row>
    <row r="298" spans="1:9" ht="14.25" customHeight="1" x14ac:dyDescent="0.25">
      <c r="A298" s="3"/>
      <c r="B298" s="3"/>
      <c r="C298" s="3"/>
      <c r="D298" s="3"/>
      <c r="E298" s="18"/>
      <c r="F298" s="8"/>
      <c r="G298" s="8"/>
      <c r="H298" s="8"/>
      <c r="I298" s="8"/>
    </row>
    <row r="299" spans="1:9" ht="14.25" customHeight="1" x14ac:dyDescent="0.25">
      <c r="A299" s="3"/>
      <c r="B299" s="3"/>
      <c r="C299" s="3"/>
      <c r="D299" s="3"/>
      <c r="E299" s="18"/>
      <c r="F299" s="8"/>
      <c r="G299" s="8"/>
      <c r="H299" s="8"/>
      <c r="I299" s="8"/>
    </row>
    <row r="300" spans="1:9" ht="14.25" customHeight="1" x14ac:dyDescent="0.25">
      <c r="A300" s="3"/>
      <c r="B300" s="3"/>
      <c r="C300" s="3"/>
      <c r="D300" s="3"/>
      <c r="E300" s="18"/>
      <c r="F300" s="8"/>
      <c r="G300" s="8"/>
      <c r="H300" s="8"/>
      <c r="I300" s="8"/>
    </row>
    <row r="301" spans="1:9" ht="14.25" customHeight="1" x14ac:dyDescent="0.25">
      <c r="A301" s="3"/>
      <c r="B301" s="3"/>
      <c r="C301" s="3"/>
      <c r="D301" s="3"/>
      <c r="E301" s="18"/>
      <c r="F301" s="8"/>
      <c r="G301" s="8"/>
      <c r="H301" s="8"/>
      <c r="I301" s="8"/>
    </row>
    <row r="302" spans="1:9" ht="14.25" customHeight="1" x14ac:dyDescent="0.25">
      <c r="A302" s="3"/>
      <c r="B302" s="3"/>
      <c r="C302" s="3"/>
      <c r="D302" s="3"/>
      <c r="E302" s="18"/>
      <c r="F302" s="8"/>
      <c r="G302" s="8"/>
      <c r="H302" s="8"/>
      <c r="I302" s="8"/>
    </row>
    <row r="303" spans="1:9" ht="14.25" customHeight="1" x14ac:dyDescent="0.25">
      <c r="A303" s="3"/>
      <c r="B303" s="3"/>
      <c r="C303" s="3"/>
      <c r="D303" s="3"/>
      <c r="E303" s="18"/>
      <c r="F303" s="8"/>
      <c r="G303" s="8"/>
      <c r="H303" s="8"/>
      <c r="I303" s="8"/>
    </row>
    <row r="304" spans="1:9" ht="14.25" customHeight="1" x14ac:dyDescent="0.25">
      <c r="A304" s="3"/>
      <c r="B304" s="3"/>
      <c r="C304" s="3"/>
      <c r="D304" s="3"/>
      <c r="E304" s="18"/>
      <c r="F304" s="8"/>
      <c r="G304" s="8"/>
      <c r="H304" s="8"/>
      <c r="I304" s="8"/>
    </row>
    <row r="305" spans="1:9" ht="14.25" customHeight="1" x14ac:dyDescent="0.25">
      <c r="A305" s="3"/>
      <c r="B305" s="3"/>
      <c r="C305" s="3"/>
      <c r="D305" s="3"/>
      <c r="E305" s="18"/>
      <c r="F305" s="8"/>
      <c r="G305" s="8"/>
      <c r="H305" s="8"/>
      <c r="I305" s="8"/>
    </row>
    <row r="306" spans="1:9" ht="14.25" customHeight="1" x14ac:dyDescent="0.25">
      <c r="A306" s="3"/>
      <c r="B306" s="3"/>
      <c r="C306" s="3"/>
      <c r="D306" s="3"/>
      <c r="E306" s="18"/>
      <c r="F306" s="8"/>
      <c r="G306" s="8"/>
      <c r="H306" s="8"/>
      <c r="I306" s="8"/>
    </row>
    <row r="307" spans="1:9" ht="14.25" customHeight="1" x14ac:dyDescent="0.25">
      <c r="A307" s="3"/>
      <c r="B307" s="3"/>
      <c r="C307" s="3"/>
      <c r="D307" s="3"/>
      <c r="E307" s="18"/>
      <c r="F307" s="8"/>
      <c r="G307" s="8"/>
      <c r="H307" s="8"/>
      <c r="I307" s="8"/>
    </row>
    <row r="308" spans="1:9" ht="14.25" customHeight="1" x14ac:dyDescent="0.25">
      <c r="A308" s="3"/>
      <c r="B308" s="3"/>
      <c r="C308" s="3"/>
      <c r="D308" s="3"/>
      <c r="E308" s="18"/>
      <c r="F308" s="8"/>
      <c r="G308" s="8"/>
      <c r="H308" s="8"/>
      <c r="I308" s="8"/>
    </row>
    <row r="309" spans="1:9" ht="14.25" customHeight="1" x14ac:dyDescent="0.25">
      <c r="A309" s="3"/>
      <c r="B309" s="3"/>
      <c r="C309" s="3"/>
      <c r="D309" s="3"/>
      <c r="E309" s="18"/>
      <c r="F309" s="8"/>
      <c r="G309" s="8"/>
      <c r="H309" s="8"/>
      <c r="I309" s="8"/>
    </row>
    <row r="310" spans="1:9" ht="14.25" customHeight="1" x14ac:dyDescent="0.25">
      <c r="A310" s="3"/>
      <c r="B310" s="3"/>
      <c r="C310" s="3"/>
      <c r="D310" s="3"/>
      <c r="E310" s="18"/>
      <c r="F310" s="8"/>
      <c r="G310" s="8"/>
      <c r="H310" s="8"/>
      <c r="I310" s="8"/>
    </row>
    <row r="311" spans="1:9" ht="14.25" customHeight="1" x14ac:dyDescent="0.25">
      <c r="A311" s="3"/>
      <c r="B311" s="3"/>
      <c r="C311" s="3"/>
      <c r="D311" s="3"/>
      <c r="E311" s="18"/>
      <c r="F311" s="8"/>
      <c r="G311" s="8"/>
      <c r="H311" s="8"/>
      <c r="I311" s="8"/>
    </row>
    <row r="312" spans="1:9" ht="14.25" customHeight="1" x14ac:dyDescent="0.25">
      <c r="A312" s="3"/>
      <c r="B312" s="3"/>
      <c r="C312" s="3"/>
      <c r="D312" s="3"/>
      <c r="E312" s="18"/>
      <c r="F312" s="8"/>
      <c r="G312" s="8"/>
      <c r="H312" s="8"/>
      <c r="I312" s="8"/>
    </row>
    <row r="313" spans="1:9" ht="14.25" customHeight="1" x14ac:dyDescent="0.25">
      <c r="A313" s="3"/>
      <c r="B313" s="3"/>
      <c r="C313" s="3"/>
      <c r="D313" s="3"/>
      <c r="E313" s="18"/>
      <c r="F313" s="8"/>
      <c r="G313" s="8"/>
      <c r="H313" s="8"/>
      <c r="I313" s="8"/>
    </row>
    <row r="314" spans="1:9" ht="14.25" customHeight="1" x14ac:dyDescent="0.25">
      <c r="A314" s="3"/>
      <c r="B314" s="3"/>
      <c r="C314" s="3"/>
      <c r="D314" s="3"/>
      <c r="E314" s="18"/>
      <c r="F314" s="8"/>
      <c r="G314" s="8"/>
      <c r="H314" s="8"/>
      <c r="I314" s="8"/>
    </row>
    <row r="315" spans="1:9" ht="14.25" customHeight="1" x14ac:dyDescent="0.25">
      <c r="A315" s="3"/>
      <c r="B315" s="3"/>
      <c r="C315" s="3"/>
      <c r="D315" s="3"/>
      <c r="E315" s="18"/>
      <c r="F315" s="8"/>
      <c r="G315" s="8"/>
      <c r="H315" s="8"/>
      <c r="I315" s="8"/>
    </row>
    <row r="316" spans="1:9" ht="14.25" customHeight="1" x14ac:dyDescent="0.25">
      <c r="A316" s="3"/>
      <c r="B316" s="3"/>
      <c r="C316" s="3"/>
      <c r="D316" s="3"/>
      <c r="E316" s="18"/>
      <c r="F316" s="8"/>
      <c r="G316" s="8"/>
      <c r="H316" s="8"/>
      <c r="I316" s="8"/>
    </row>
    <row r="317" spans="1:9" ht="14.25" customHeight="1" x14ac:dyDescent="0.25">
      <c r="A317" s="3"/>
      <c r="B317" s="3"/>
      <c r="C317" s="3"/>
      <c r="D317" s="3"/>
      <c r="E317" s="18"/>
      <c r="F317" s="8"/>
      <c r="G317" s="8"/>
      <c r="H317" s="8"/>
      <c r="I317" s="8"/>
    </row>
    <row r="318" spans="1:9" ht="14.25" customHeight="1" x14ac:dyDescent="0.25">
      <c r="A318" s="3"/>
      <c r="B318" s="3"/>
      <c r="C318" s="3"/>
      <c r="D318" s="3"/>
      <c r="E318" s="18"/>
      <c r="F318" s="8"/>
      <c r="G318" s="8"/>
      <c r="H318" s="8"/>
      <c r="I318" s="8"/>
    </row>
    <row r="319" spans="1:9" ht="14.25" customHeight="1" x14ac:dyDescent="0.25">
      <c r="A319" s="3"/>
      <c r="B319" s="3"/>
      <c r="C319" s="3"/>
      <c r="D319" s="3"/>
      <c r="E319" s="18"/>
      <c r="F319" s="8"/>
      <c r="G319" s="8"/>
      <c r="H319" s="8"/>
      <c r="I319" s="8"/>
    </row>
    <row r="320" spans="1:9" ht="14.25" customHeight="1" x14ac:dyDescent="0.25">
      <c r="A320" s="3"/>
      <c r="B320" s="3"/>
      <c r="C320" s="3"/>
      <c r="D320" s="3"/>
      <c r="E320" s="18"/>
      <c r="F320" s="8"/>
      <c r="G320" s="8"/>
      <c r="H320" s="8"/>
      <c r="I320" s="8"/>
    </row>
    <row r="321" spans="1:9" ht="14.25" customHeight="1" x14ac:dyDescent="0.25">
      <c r="A321" s="3"/>
      <c r="B321" s="3"/>
      <c r="C321" s="3"/>
      <c r="D321" s="3"/>
      <c r="E321" s="18"/>
      <c r="F321" s="8"/>
      <c r="G321" s="8"/>
      <c r="H321" s="8"/>
      <c r="I321" s="8"/>
    </row>
    <row r="322" spans="1:9" ht="14.25" customHeight="1" x14ac:dyDescent="0.25">
      <c r="A322" s="3"/>
      <c r="B322" s="3"/>
      <c r="C322" s="3"/>
      <c r="D322" s="3"/>
      <c r="E322" s="18"/>
      <c r="F322" s="8"/>
      <c r="G322" s="8"/>
      <c r="H322" s="8"/>
      <c r="I322" s="8"/>
    </row>
    <row r="323" spans="1:9" ht="14.25" customHeight="1" x14ac:dyDescent="0.25">
      <c r="A323" s="3"/>
      <c r="B323" s="3"/>
      <c r="C323" s="3"/>
      <c r="D323" s="3"/>
      <c r="E323" s="18"/>
      <c r="F323" s="8"/>
      <c r="G323" s="8"/>
      <c r="H323" s="8"/>
      <c r="I323" s="8"/>
    </row>
    <row r="324" spans="1:9" ht="14.25" customHeight="1" x14ac:dyDescent="0.25">
      <c r="A324" s="3"/>
      <c r="B324" s="3"/>
      <c r="C324" s="3"/>
      <c r="D324" s="3"/>
      <c r="E324" s="18"/>
      <c r="F324" s="8"/>
      <c r="G324" s="8"/>
      <c r="H324" s="8"/>
      <c r="I324" s="8"/>
    </row>
    <row r="325" spans="1:9" ht="14.25" customHeight="1" x14ac:dyDescent="0.25">
      <c r="A325" s="3"/>
      <c r="B325" s="3"/>
      <c r="C325" s="3"/>
      <c r="D325" s="3"/>
      <c r="E325" s="18"/>
      <c r="F325" s="8"/>
      <c r="G325" s="8"/>
      <c r="H325" s="8"/>
      <c r="I325" s="8"/>
    </row>
    <row r="326" spans="1:9" ht="14.25" customHeight="1" x14ac:dyDescent="0.25">
      <c r="A326" s="3"/>
      <c r="B326" s="3"/>
      <c r="C326" s="3"/>
      <c r="D326" s="3"/>
      <c r="E326" s="18"/>
      <c r="F326" s="8"/>
      <c r="G326" s="8"/>
      <c r="H326" s="8"/>
      <c r="I326" s="8"/>
    </row>
    <row r="327" spans="1:9" ht="14.25" customHeight="1" x14ac:dyDescent="0.25">
      <c r="A327" s="3"/>
      <c r="B327" s="3"/>
      <c r="C327" s="3"/>
      <c r="D327" s="3"/>
      <c r="E327" s="18"/>
      <c r="F327" s="8"/>
      <c r="G327" s="8"/>
      <c r="H327" s="8"/>
      <c r="I327" s="8"/>
    </row>
    <row r="328" spans="1:9" ht="14.25" customHeight="1" x14ac:dyDescent="0.25">
      <c r="A328" s="3"/>
      <c r="B328" s="3"/>
      <c r="C328" s="3"/>
      <c r="D328" s="3"/>
      <c r="E328" s="18"/>
      <c r="F328" s="8"/>
      <c r="G328" s="8"/>
      <c r="H328" s="8"/>
      <c r="I328" s="8"/>
    </row>
    <row r="329" spans="1:9" ht="14.25" customHeight="1" x14ac:dyDescent="0.25">
      <c r="A329" s="3"/>
      <c r="B329" s="3"/>
      <c r="C329" s="3"/>
      <c r="D329" s="3"/>
      <c r="E329" s="18"/>
      <c r="F329" s="8"/>
      <c r="G329" s="8"/>
      <c r="H329" s="8"/>
      <c r="I329" s="8"/>
    </row>
    <row r="330" spans="1:9" ht="14.25" customHeight="1" x14ac:dyDescent="0.25">
      <c r="A330" s="3"/>
      <c r="B330" s="3"/>
      <c r="C330" s="3"/>
      <c r="D330" s="3"/>
      <c r="E330" s="18"/>
      <c r="F330" s="8"/>
      <c r="G330" s="8"/>
      <c r="H330" s="8"/>
      <c r="I330" s="8"/>
    </row>
    <row r="331" spans="1:9" ht="14.25" customHeight="1" x14ac:dyDescent="0.25">
      <c r="A331" s="3"/>
      <c r="B331" s="3"/>
      <c r="C331" s="3"/>
      <c r="D331" s="3"/>
      <c r="E331" s="18"/>
      <c r="F331" s="8"/>
      <c r="G331" s="8"/>
      <c r="H331" s="8"/>
      <c r="I331" s="8"/>
    </row>
    <row r="332" spans="1:9" ht="14.25" customHeight="1" x14ac:dyDescent="0.25">
      <c r="A332" s="3"/>
      <c r="B332" s="3"/>
      <c r="C332" s="3"/>
      <c r="D332" s="3"/>
      <c r="E332" s="18"/>
      <c r="F332" s="8"/>
      <c r="G332" s="8"/>
      <c r="H332" s="8"/>
      <c r="I332" s="8"/>
    </row>
    <row r="333" spans="1:9" ht="14.25" customHeight="1" x14ac:dyDescent="0.25">
      <c r="A333" s="3"/>
      <c r="B333" s="3"/>
      <c r="C333" s="3"/>
      <c r="D333" s="3"/>
      <c r="E333" s="18"/>
      <c r="F333" s="8"/>
      <c r="G333" s="8"/>
      <c r="H333" s="8"/>
      <c r="I333" s="8"/>
    </row>
    <row r="334" spans="1:9" ht="14.25" customHeight="1" x14ac:dyDescent="0.25">
      <c r="A334" s="3"/>
      <c r="B334" s="3"/>
      <c r="C334" s="3"/>
      <c r="D334" s="3"/>
      <c r="E334" s="18"/>
      <c r="F334" s="8"/>
      <c r="G334" s="8"/>
      <c r="H334" s="8"/>
      <c r="I334" s="8"/>
    </row>
    <row r="335" spans="1:9" ht="14.25" customHeight="1" x14ac:dyDescent="0.25">
      <c r="A335" s="3"/>
      <c r="B335" s="3"/>
      <c r="C335" s="3"/>
      <c r="D335" s="3"/>
      <c r="E335" s="18"/>
      <c r="F335" s="8"/>
      <c r="G335" s="8"/>
      <c r="H335" s="8"/>
      <c r="I335" s="8"/>
    </row>
    <row r="336" spans="1:9" ht="14.25" customHeight="1" x14ac:dyDescent="0.25">
      <c r="A336" s="3"/>
      <c r="B336" s="3"/>
      <c r="C336" s="3"/>
      <c r="D336" s="3"/>
      <c r="E336" s="18"/>
      <c r="F336" s="8"/>
      <c r="G336" s="8"/>
      <c r="H336" s="8"/>
      <c r="I336" s="8"/>
    </row>
    <row r="337" spans="1:9" ht="14.25" customHeight="1" x14ac:dyDescent="0.25">
      <c r="A337" s="3"/>
      <c r="B337" s="3"/>
      <c r="C337" s="3"/>
      <c r="D337" s="3"/>
      <c r="E337" s="18"/>
      <c r="F337" s="8"/>
      <c r="G337" s="8"/>
      <c r="H337" s="8"/>
      <c r="I337" s="8"/>
    </row>
    <row r="338" spans="1:9" ht="14.25" customHeight="1" x14ac:dyDescent="0.25">
      <c r="A338" s="3"/>
      <c r="B338" s="3"/>
      <c r="C338" s="3"/>
      <c r="D338" s="3"/>
      <c r="E338" s="18"/>
      <c r="F338" s="8"/>
      <c r="G338" s="8"/>
      <c r="H338" s="8"/>
      <c r="I338" s="8"/>
    </row>
    <row r="339" spans="1:9" ht="14.25" customHeight="1" x14ac:dyDescent="0.25">
      <c r="A339" s="3"/>
      <c r="B339" s="3"/>
      <c r="C339" s="3"/>
      <c r="D339" s="3"/>
      <c r="E339" s="18"/>
      <c r="F339" s="8"/>
      <c r="G339" s="8"/>
      <c r="H339" s="8"/>
      <c r="I339" s="8"/>
    </row>
    <row r="340" spans="1:9" ht="14.25" customHeight="1" x14ac:dyDescent="0.25">
      <c r="A340" s="3"/>
      <c r="B340" s="3"/>
      <c r="C340" s="3"/>
      <c r="D340" s="3"/>
      <c r="E340" s="18"/>
      <c r="F340" s="8"/>
      <c r="G340" s="8"/>
      <c r="H340" s="8"/>
      <c r="I340" s="8"/>
    </row>
    <row r="341" spans="1:9" ht="14.25" customHeight="1" x14ac:dyDescent="0.25">
      <c r="A341" s="3"/>
      <c r="B341" s="3"/>
      <c r="C341" s="3"/>
      <c r="D341" s="3"/>
      <c r="E341" s="18"/>
      <c r="F341" s="8"/>
      <c r="G341" s="8"/>
      <c r="H341" s="8"/>
      <c r="I341" s="8"/>
    </row>
    <row r="342" spans="1:9" ht="14.25" customHeight="1" x14ac:dyDescent="0.25">
      <c r="A342" s="3"/>
      <c r="B342" s="3"/>
      <c r="C342" s="3"/>
      <c r="D342" s="3"/>
      <c r="E342" s="18"/>
      <c r="F342" s="8"/>
      <c r="G342" s="8"/>
      <c r="H342" s="8"/>
      <c r="I342" s="8"/>
    </row>
    <row r="343" spans="1:9" ht="14.25" customHeight="1" x14ac:dyDescent="0.25">
      <c r="A343" s="3"/>
      <c r="B343" s="3"/>
      <c r="C343" s="3"/>
      <c r="D343" s="3"/>
      <c r="E343" s="18"/>
      <c r="F343" s="8"/>
      <c r="G343" s="8"/>
      <c r="H343" s="8"/>
      <c r="I343" s="8"/>
    </row>
    <row r="344" spans="1:9" ht="14.25" customHeight="1" x14ac:dyDescent="0.25">
      <c r="A344" s="3"/>
      <c r="B344" s="3"/>
      <c r="C344" s="3"/>
      <c r="D344" s="3"/>
      <c r="E344" s="18"/>
      <c r="F344" s="8"/>
      <c r="G344" s="8"/>
      <c r="H344" s="8"/>
      <c r="I344" s="8"/>
    </row>
    <row r="345" spans="1:9" ht="14.25" customHeight="1" x14ac:dyDescent="0.25">
      <c r="A345" s="3"/>
      <c r="B345" s="3"/>
      <c r="C345" s="3"/>
      <c r="D345" s="3"/>
      <c r="E345" s="18"/>
      <c r="F345" s="8"/>
      <c r="G345" s="8"/>
      <c r="H345" s="8"/>
      <c r="I345" s="8"/>
    </row>
    <row r="346" spans="1:9" ht="14.25" customHeight="1" x14ac:dyDescent="0.25">
      <c r="A346" s="3"/>
      <c r="B346" s="3"/>
      <c r="C346" s="3"/>
      <c r="D346" s="3"/>
      <c r="E346" s="18"/>
      <c r="F346" s="8"/>
      <c r="G346" s="8"/>
      <c r="H346" s="8"/>
      <c r="I346" s="8"/>
    </row>
    <row r="347" spans="1:9" ht="14.25" customHeight="1" x14ac:dyDescent="0.25">
      <c r="A347" s="3"/>
      <c r="B347" s="3"/>
      <c r="C347" s="3"/>
      <c r="D347" s="3"/>
      <c r="E347" s="18"/>
      <c r="F347" s="8"/>
      <c r="G347" s="8"/>
      <c r="H347" s="8"/>
      <c r="I347" s="8"/>
    </row>
    <row r="348" spans="1:9" ht="14.25" customHeight="1" x14ac:dyDescent="0.25">
      <c r="A348" s="3"/>
      <c r="B348" s="3"/>
      <c r="C348" s="3"/>
      <c r="D348" s="3"/>
      <c r="E348" s="18"/>
      <c r="F348" s="8"/>
      <c r="G348" s="8"/>
      <c r="H348" s="8"/>
      <c r="I348" s="8"/>
    </row>
    <row r="349" spans="1:9" ht="14.25" customHeight="1" x14ac:dyDescent="0.25">
      <c r="A349" s="3"/>
      <c r="B349" s="3"/>
      <c r="C349" s="3"/>
      <c r="D349" s="3"/>
      <c r="E349" s="18"/>
      <c r="F349" s="8"/>
      <c r="G349" s="8"/>
      <c r="H349" s="8"/>
      <c r="I349" s="8"/>
    </row>
    <row r="350" spans="1:9" ht="14.25" customHeight="1" x14ac:dyDescent="0.25">
      <c r="A350" s="3"/>
      <c r="B350" s="3"/>
      <c r="C350" s="3"/>
      <c r="D350" s="3"/>
      <c r="E350" s="18"/>
      <c r="F350" s="8"/>
      <c r="G350" s="8"/>
      <c r="H350" s="8"/>
      <c r="I350" s="8"/>
    </row>
    <row r="351" spans="1:9" ht="14.25" customHeight="1" x14ac:dyDescent="0.25">
      <c r="A351" s="3"/>
      <c r="B351" s="3"/>
      <c r="C351" s="3"/>
      <c r="D351" s="3"/>
      <c r="E351" s="18"/>
      <c r="F351" s="8"/>
      <c r="G351" s="8"/>
      <c r="H351" s="8"/>
      <c r="I351" s="8"/>
    </row>
    <row r="352" spans="1:9" ht="14.25" customHeight="1" x14ac:dyDescent="0.25">
      <c r="A352" s="3"/>
      <c r="B352" s="3"/>
      <c r="C352" s="3"/>
      <c r="D352" s="3"/>
      <c r="E352" s="18"/>
      <c r="F352" s="8"/>
      <c r="G352" s="8"/>
      <c r="H352" s="8"/>
      <c r="I352" s="8"/>
    </row>
    <row r="353" spans="1:9" ht="14.25" customHeight="1" x14ac:dyDescent="0.25">
      <c r="A353" s="3"/>
      <c r="B353" s="3"/>
      <c r="C353" s="3"/>
      <c r="D353" s="3"/>
      <c r="E353" s="18"/>
      <c r="F353" s="8"/>
      <c r="G353" s="8"/>
      <c r="H353" s="8"/>
      <c r="I353" s="8"/>
    </row>
    <row r="354" spans="1:9" ht="14.25" customHeight="1" x14ac:dyDescent="0.25">
      <c r="A354" s="3"/>
      <c r="B354" s="3"/>
      <c r="C354" s="3"/>
      <c r="D354" s="3"/>
      <c r="E354" s="18"/>
      <c r="F354" s="8"/>
      <c r="G354" s="8"/>
      <c r="H354" s="8"/>
      <c r="I354" s="8"/>
    </row>
    <row r="355" spans="1:9" ht="14.25" customHeight="1" x14ac:dyDescent="0.25">
      <c r="A355" s="3"/>
      <c r="B355" s="3"/>
      <c r="C355" s="3"/>
      <c r="D355" s="3"/>
      <c r="E355" s="18"/>
      <c r="F355" s="8"/>
      <c r="G355" s="8"/>
      <c r="H355" s="8"/>
      <c r="I355" s="8"/>
    </row>
    <row r="356" spans="1:9" ht="14.25" customHeight="1" x14ac:dyDescent="0.25">
      <c r="A356" s="3"/>
      <c r="B356" s="3"/>
      <c r="C356" s="3"/>
      <c r="D356" s="3"/>
      <c r="E356" s="18"/>
      <c r="F356" s="8"/>
      <c r="G356" s="8"/>
      <c r="H356" s="8"/>
      <c r="I356" s="8"/>
    </row>
    <row r="357" spans="1:9" ht="14.25" customHeight="1" x14ac:dyDescent="0.25">
      <c r="A357" s="3"/>
      <c r="B357" s="3"/>
      <c r="C357" s="3"/>
      <c r="D357" s="3"/>
      <c r="E357" s="18"/>
      <c r="F357" s="8"/>
      <c r="G357" s="8"/>
      <c r="H357" s="8"/>
      <c r="I357" s="8"/>
    </row>
    <row r="358" spans="1:9" ht="14.25" customHeight="1" x14ac:dyDescent="0.25">
      <c r="A358" s="3"/>
      <c r="B358" s="3"/>
      <c r="C358" s="3"/>
      <c r="D358" s="3"/>
      <c r="E358" s="18"/>
      <c r="F358" s="8"/>
      <c r="G358" s="8"/>
      <c r="H358" s="8"/>
      <c r="I358" s="8"/>
    </row>
    <row r="359" spans="1:9" ht="14.25" customHeight="1" x14ac:dyDescent="0.25">
      <c r="A359" s="3"/>
      <c r="B359" s="3"/>
      <c r="C359" s="3"/>
      <c r="D359" s="3"/>
      <c r="E359" s="18"/>
      <c r="F359" s="8"/>
      <c r="G359" s="8"/>
      <c r="H359" s="8"/>
      <c r="I359" s="8"/>
    </row>
    <row r="360" spans="1:9" ht="14.25" customHeight="1" x14ac:dyDescent="0.25">
      <c r="A360" s="3"/>
      <c r="B360" s="3"/>
      <c r="C360" s="3"/>
      <c r="D360" s="3"/>
      <c r="E360" s="18"/>
      <c r="F360" s="8"/>
      <c r="G360" s="8"/>
      <c r="H360" s="8"/>
      <c r="I360" s="8"/>
    </row>
    <row r="361" spans="1:9" ht="14.25" customHeight="1" x14ac:dyDescent="0.25">
      <c r="A361" s="3"/>
      <c r="B361" s="3"/>
      <c r="C361" s="3"/>
      <c r="D361" s="3"/>
      <c r="E361" s="18"/>
      <c r="F361" s="8"/>
      <c r="G361" s="8"/>
      <c r="H361" s="8"/>
      <c r="I361" s="8"/>
    </row>
    <row r="362" spans="1:9" ht="14.25" customHeight="1" x14ac:dyDescent="0.25">
      <c r="A362" s="3"/>
      <c r="B362" s="3"/>
      <c r="C362" s="3"/>
      <c r="D362" s="3"/>
      <c r="E362" s="18"/>
      <c r="F362" s="8"/>
      <c r="G362" s="8"/>
      <c r="H362" s="8"/>
      <c r="I362" s="8"/>
    </row>
    <row r="363" spans="1:9" ht="14.25" customHeight="1" x14ac:dyDescent="0.25">
      <c r="A363" s="3"/>
      <c r="B363" s="3"/>
      <c r="C363" s="3"/>
      <c r="D363" s="3"/>
      <c r="E363" s="18"/>
      <c r="F363" s="8"/>
      <c r="G363" s="8"/>
      <c r="H363" s="8"/>
      <c r="I363" s="8"/>
    </row>
    <row r="364" spans="1:9" ht="14.25" customHeight="1" x14ac:dyDescent="0.25">
      <c r="A364" s="3"/>
      <c r="B364" s="3"/>
      <c r="C364" s="3"/>
      <c r="D364" s="3"/>
      <c r="E364" s="18"/>
      <c r="F364" s="8"/>
      <c r="G364" s="8"/>
      <c r="H364" s="8"/>
      <c r="I364" s="8"/>
    </row>
    <row r="365" spans="1:9" ht="14.25" customHeight="1" x14ac:dyDescent="0.25">
      <c r="A365" s="3"/>
      <c r="B365" s="3"/>
      <c r="C365" s="3"/>
      <c r="D365" s="3"/>
      <c r="E365" s="18"/>
      <c r="F365" s="8"/>
      <c r="G365" s="8"/>
      <c r="H365" s="8"/>
      <c r="I365" s="8"/>
    </row>
    <row r="366" spans="1:9" ht="14.25" customHeight="1" x14ac:dyDescent="0.25">
      <c r="A366" s="3"/>
      <c r="B366" s="3"/>
      <c r="C366" s="3"/>
      <c r="D366" s="3"/>
      <c r="E366" s="18"/>
      <c r="F366" s="8"/>
      <c r="G366" s="8"/>
      <c r="H366" s="8"/>
      <c r="I366" s="8"/>
    </row>
    <row r="367" spans="1:9" ht="14.25" customHeight="1" x14ac:dyDescent="0.25">
      <c r="A367" s="3"/>
      <c r="B367" s="3"/>
      <c r="C367" s="3"/>
      <c r="D367" s="3"/>
      <c r="E367" s="18"/>
      <c r="F367" s="8"/>
      <c r="G367" s="8"/>
      <c r="H367" s="8"/>
      <c r="I367" s="8"/>
    </row>
    <row r="368" spans="1:9" ht="14.25" customHeight="1" x14ac:dyDescent="0.25">
      <c r="A368" s="3"/>
      <c r="B368" s="3"/>
      <c r="C368" s="3"/>
      <c r="D368" s="3"/>
      <c r="E368" s="18"/>
      <c r="F368" s="8"/>
      <c r="G368" s="8"/>
      <c r="H368" s="8"/>
      <c r="I368" s="8"/>
    </row>
    <row r="369" spans="1:9" ht="14.25" customHeight="1" x14ac:dyDescent="0.25">
      <c r="A369" s="3"/>
      <c r="B369" s="3"/>
      <c r="C369" s="3"/>
      <c r="D369" s="3"/>
      <c r="E369" s="18"/>
      <c r="F369" s="8"/>
      <c r="G369" s="8"/>
      <c r="H369" s="8"/>
      <c r="I369" s="8"/>
    </row>
    <row r="370" spans="1:9" ht="14.25" customHeight="1" x14ac:dyDescent="0.25">
      <c r="A370" s="3"/>
      <c r="B370" s="3"/>
      <c r="C370" s="3"/>
      <c r="D370" s="3"/>
      <c r="E370" s="18"/>
      <c r="F370" s="8"/>
      <c r="G370" s="8"/>
      <c r="H370" s="8"/>
      <c r="I370" s="8"/>
    </row>
    <row r="371" spans="1:9" ht="14.25" customHeight="1" x14ac:dyDescent="0.25">
      <c r="A371" s="3"/>
      <c r="B371" s="3"/>
      <c r="C371" s="3"/>
      <c r="D371" s="3"/>
      <c r="E371" s="18"/>
      <c r="F371" s="8"/>
      <c r="G371" s="8"/>
      <c r="H371" s="8"/>
      <c r="I371" s="8"/>
    </row>
    <row r="372" spans="1:9" ht="14.25" customHeight="1" x14ac:dyDescent="0.25">
      <c r="A372" s="3"/>
      <c r="B372" s="3"/>
      <c r="C372" s="3"/>
      <c r="D372" s="3"/>
      <c r="E372" s="18"/>
      <c r="F372" s="8"/>
      <c r="G372" s="8"/>
      <c r="H372" s="8"/>
      <c r="I372" s="8"/>
    </row>
    <row r="373" spans="1:9" ht="14.25" customHeight="1" x14ac:dyDescent="0.25">
      <c r="A373" s="3"/>
      <c r="B373" s="3"/>
      <c r="C373" s="3"/>
      <c r="D373" s="3"/>
      <c r="E373" s="18"/>
      <c r="F373" s="8"/>
      <c r="G373" s="8"/>
      <c r="H373" s="8"/>
      <c r="I373" s="8"/>
    </row>
    <row r="374" spans="1:9" ht="14.25" customHeight="1" x14ac:dyDescent="0.25">
      <c r="A374" s="3"/>
      <c r="B374" s="3"/>
      <c r="C374" s="3"/>
      <c r="D374" s="3"/>
      <c r="E374" s="18"/>
      <c r="F374" s="8"/>
      <c r="G374" s="8"/>
      <c r="H374" s="8"/>
      <c r="I374" s="8"/>
    </row>
    <row r="375" spans="1:9" ht="14.25" customHeight="1" x14ac:dyDescent="0.25">
      <c r="A375" s="3"/>
      <c r="B375" s="3"/>
      <c r="C375" s="3"/>
      <c r="D375" s="3"/>
      <c r="E375" s="18"/>
      <c r="F375" s="8"/>
      <c r="G375" s="8"/>
      <c r="H375" s="8"/>
      <c r="I375" s="8"/>
    </row>
    <row r="376" spans="1:9" ht="14.25" customHeight="1" x14ac:dyDescent="0.25">
      <c r="A376" s="3"/>
      <c r="B376" s="3"/>
      <c r="C376" s="3"/>
      <c r="D376" s="3"/>
      <c r="E376" s="18"/>
      <c r="F376" s="8"/>
      <c r="G376" s="8"/>
      <c r="H376" s="8"/>
      <c r="I376" s="8"/>
    </row>
    <row r="377" spans="1:9" ht="14.25" customHeight="1" x14ac:dyDescent="0.25">
      <c r="A377" s="3"/>
      <c r="B377" s="3"/>
      <c r="C377" s="3"/>
      <c r="D377" s="3"/>
      <c r="E377" s="18"/>
      <c r="F377" s="8"/>
      <c r="G377" s="8"/>
      <c r="H377" s="8"/>
      <c r="I377" s="8"/>
    </row>
    <row r="378" spans="1:9" ht="14.25" customHeight="1" x14ac:dyDescent="0.25">
      <c r="A378" s="3"/>
      <c r="B378" s="3"/>
      <c r="C378" s="3"/>
      <c r="D378" s="3"/>
      <c r="E378" s="18"/>
      <c r="F378" s="8"/>
      <c r="G378" s="8"/>
      <c r="H378" s="8"/>
      <c r="I378" s="8"/>
    </row>
    <row r="379" spans="1:9" ht="14.25" customHeight="1" x14ac:dyDescent="0.25">
      <c r="A379" s="3"/>
      <c r="B379" s="3"/>
      <c r="C379" s="3"/>
      <c r="D379" s="3"/>
      <c r="E379" s="18"/>
      <c r="F379" s="8"/>
      <c r="G379" s="8"/>
      <c r="H379" s="8"/>
      <c r="I379" s="8"/>
    </row>
    <row r="380" spans="1:9" ht="14.25" customHeight="1" x14ac:dyDescent="0.25">
      <c r="A380" s="3"/>
      <c r="B380" s="3"/>
      <c r="C380" s="3"/>
      <c r="D380" s="3"/>
      <c r="E380" s="18"/>
      <c r="F380" s="8"/>
      <c r="G380" s="8"/>
      <c r="H380" s="8"/>
      <c r="I380" s="8"/>
    </row>
    <row r="381" spans="1:9" ht="14.25" customHeight="1" x14ac:dyDescent="0.25">
      <c r="A381" s="3"/>
      <c r="B381" s="3"/>
      <c r="C381" s="3"/>
      <c r="D381" s="3"/>
      <c r="E381" s="18"/>
      <c r="F381" s="8"/>
      <c r="G381" s="8"/>
      <c r="H381" s="8"/>
      <c r="I381" s="8"/>
    </row>
    <row r="382" spans="1:9" ht="14.25" customHeight="1" x14ac:dyDescent="0.25">
      <c r="A382" s="3"/>
      <c r="B382" s="3"/>
      <c r="C382" s="3"/>
      <c r="D382" s="3"/>
      <c r="E382" s="18"/>
      <c r="F382" s="8"/>
      <c r="G382" s="8"/>
      <c r="H382" s="8"/>
      <c r="I382" s="8"/>
    </row>
    <row r="383" spans="1:9" ht="14.25" customHeight="1" x14ac:dyDescent="0.25">
      <c r="A383" s="3"/>
      <c r="B383" s="3"/>
      <c r="C383" s="3"/>
      <c r="D383" s="3"/>
      <c r="E383" s="18"/>
      <c r="F383" s="8"/>
      <c r="G383" s="8"/>
      <c r="H383" s="8"/>
      <c r="I383" s="8"/>
    </row>
    <row r="384" spans="1:9" ht="14.25" customHeight="1" x14ac:dyDescent="0.25">
      <c r="A384" s="3"/>
      <c r="B384" s="3"/>
      <c r="C384" s="3"/>
      <c r="D384" s="3"/>
      <c r="E384" s="18"/>
      <c r="F384" s="8"/>
      <c r="G384" s="8"/>
      <c r="H384" s="8"/>
      <c r="I384" s="8"/>
    </row>
    <row r="385" spans="1:9" ht="14.25" customHeight="1" x14ac:dyDescent="0.25">
      <c r="A385" s="3"/>
      <c r="B385" s="3"/>
      <c r="C385" s="3"/>
      <c r="D385" s="3"/>
      <c r="E385" s="18"/>
      <c r="F385" s="8"/>
      <c r="G385" s="8"/>
      <c r="H385" s="8"/>
      <c r="I385" s="8"/>
    </row>
    <row r="386" spans="1:9" ht="14.25" customHeight="1" x14ac:dyDescent="0.25">
      <c r="A386" s="3"/>
      <c r="B386" s="3"/>
      <c r="C386" s="3"/>
      <c r="D386" s="3"/>
      <c r="E386" s="18"/>
      <c r="F386" s="8"/>
      <c r="G386" s="8"/>
      <c r="H386" s="8"/>
      <c r="I386" s="8"/>
    </row>
    <row r="387" spans="1:9" ht="14.25" customHeight="1" x14ac:dyDescent="0.25">
      <c r="A387" s="3"/>
      <c r="B387" s="3"/>
      <c r="C387" s="3"/>
      <c r="D387" s="3"/>
      <c r="E387" s="18"/>
      <c r="F387" s="8"/>
      <c r="G387" s="8"/>
      <c r="H387" s="8"/>
      <c r="I387" s="8"/>
    </row>
    <row r="388" spans="1:9" ht="14.25" customHeight="1" x14ac:dyDescent="0.25">
      <c r="A388" s="3"/>
      <c r="B388" s="3"/>
      <c r="C388" s="3"/>
      <c r="D388" s="3"/>
      <c r="E388" s="18"/>
      <c r="F388" s="8"/>
      <c r="G388" s="8"/>
      <c r="H388" s="8"/>
      <c r="I388" s="8"/>
    </row>
    <row r="389" spans="1:9" ht="14.25" customHeight="1" x14ac:dyDescent="0.25">
      <c r="A389" s="3"/>
      <c r="B389" s="3"/>
      <c r="C389" s="3"/>
      <c r="D389" s="3"/>
      <c r="E389" s="18"/>
      <c r="F389" s="8"/>
      <c r="G389" s="8"/>
      <c r="H389" s="8"/>
      <c r="I389" s="8"/>
    </row>
    <row r="390" spans="1:9" ht="14.25" customHeight="1" x14ac:dyDescent="0.25">
      <c r="A390" s="3"/>
      <c r="B390" s="3"/>
      <c r="C390" s="3"/>
      <c r="D390" s="3"/>
      <c r="E390" s="18"/>
      <c r="F390" s="8"/>
      <c r="G390" s="8"/>
      <c r="H390" s="8"/>
      <c r="I390" s="8"/>
    </row>
    <row r="391" spans="1:9" ht="14.25" customHeight="1" x14ac:dyDescent="0.25">
      <c r="A391" s="3"/>
      <c r="B391" s="3"/>
      <c r="C391" s="3"/>
      <c r="D391" s="3"/>
      <c r="E391" s="18"/>
      <c r="F391" s="8"/>
      <c r="G391" s="8"/>
      <c r="H391" s="8"/>
      <c r="I391" s="8"/>
    </row>
    <row r="392" spans="1:9" ht="14.25" customHeight="1" x14ac:dyDescent="0.25">
      <c r="A392" s="3"/>
      <c r="B392" s="3"/>
      <c r="C392" s="3"/>
      <c r="D392" s="3"/>
      <c r="E392" s="18"/>
      <c r="F392" s="8"/>
      <c r="G392" s="8"/>
      <c r="H392" s="8"/>
      <c r="I392" s="8"/>
    </row>
    <row r="393" spans="1:9" ht="14.25" customHeight="1" x14ac:dyDescent="0.25">
      <c r="A393" s="3"/>
      <c r="B393" s="3"/>
      <c r="C393" s="3"/>
      <c r="D393" s="3"/>
      <c r="E393" s="18"/>
      <c r="F393" s="8"/>
      <c r="G393" s="8"/>
      <c r="H393" s="8"/>
      <c r="I393" s="8"/>
    </row>
    <row r="394" spans="1:9" ht="14.25" customHeight="1" x14ac:dyDescent="0.25">
      <c r="A394" s="3"/>
      <c r="B394" s="3"/>
      <c r="C394" s="3"/>
      <c r="D394" s="3"/>
      <c r="E394" s="18"/>
      <c r="F394" s="8"/>
      <c r="G394" s="8"/>
      <c r="H394" s="8"/>
      <c r="I394" s="8"/>
    </row>
    <row r="395" spans="1:9" ht="14.25" customHeight="1" x14ac:dyDescent="0.25">
      <c r="A395" s="3"/>
      <c r="B395" s="3"/>
      <c r="C395" s="3"/>
      <c r="D395" s="3"/>
      <c r="E395" s="18"/>
      <c r="F395" s="8"/>
      <c r="G395" s="8"/>
      <c r="H395" s="8"/>
      <c r="I395" s="8"/>
    </row>
    <row r="396" spans="1:9" ht="14.25" customHeight="1" x14ac:dyDescent="0.25">
      <c r="A396" s="3"/>
      <c r="B396" s="3"/>
      <c r="C396" s="3"/>
      <c r="D396" s="3"/>
      <c r="E396" s="18"/>
      <c r="F396" s="8"/>
      <c r="G396" s="8"/>
      <c r="H396" s="8"/>
      <c r="I396" s="8"/>
    </row>
    <row r="397" spans="1:9" ht="14.25" customHeight="1" x14ac:dyDescent="0.25">
      <c r="A397" s="3"/>
      <c r="B397" s="3"/>
      <c r="C397" s="3"/>
      <c r="D397" s="3"/>
      <c r="E397" s="18"/>
      <c r="F397" s="8"/>
      <c r="G397" s="8"/>
      <c r="H397" s="8"/>
      <c r="I397" s="8"/>
    </row>
    <row r="398" spans="1:9" ht="14.25" customHeight="1" x14ac:dyDescent="0.25">
      <c r="A398" s="3"/>
      <c r="B398" s="3"/>
      <c r="C398" s="3"/>
      <c r="D398" s="3"/>
      <c r="E398" s="18"/>
      <c r="F398" s="8"/>
      <c r="G398" s="8"/>
      <c r="H398" s="8"/>
      <c r="I398" s="8"/>
    </row>
    <row r="399" spans="1:9" ht="14.25" customHeight="1" x14ac:dyDescent="0.25">
      <c r="A399" s="3"/>
      <c r="B399" s="3"/>
      <c r="C399" s="3"/>
      <c r="D399" s="3"/>
      <c r="E399" s="18"/>
      <c r="F399" s="8"/>
      <c r="G399" s="8"/>
      <c r="H399" s="8"/>
      <c r="I399" s="8"/>
    </row>
    <row r="400" spans="1:9" ht="14.25" customHeight="1" x14ac:dyDescent="0.25">
      <c r="A400" s="3"/>
      <c r="B400" s="3"/>
      <c r="C400" s="3"/>
      <c r="D400" s="3"/>
      <c r="E400" s="18"/>
      <c r="F400" s="8"/>
      <c r="G400" s="8"/>
      <c r="H400" s="8"/>
      <c r="I400" s="8"/>
    </row>
    <row r="401" spans="1:9" ht="14.25" customHeight="1" x14ac:dyDescent="0.25">
      <c r="A401" s="3"/>
      <c r="B401" s="3"/>
      <c r="C401" s="3"/>
      <c r="D401" s="3"/>
      <c r="E401" s="18"/>
      <c r="F401" s="8"/>
      <c r="G401" s="8"/>
      <c r="H401" s="8"/>
      <c r="I401" s="8"/>
    </row>
    <row r="402" spans="1:9" ht="14.25" customHeight="1" x14ac:dyDescent="0.25">
      <c r="A402" s="3"/>
      <c r="B402" s="3"/>
      <c r="C402" s="3"/>
      <c r="D402" s="3"/>
      <c r="E402" s="18"/>
      <c r="F402" s="8"/>
      <c r="G402" s="8"/>
      <c r="H402" s="8"/>
      <c r="I402" s="8"/>
    </row>
    <row r="403" spans="1:9" ht="14.25" customHeight="1" x14ac:dyDescent="0.25">
      <c r="A403" s="3"/>
      <c r="B403" s="3"/>
      <c r="C403" s="3"/>
      <c r="D403" s="3"/>
      <c r="E403" s="18"/>
      <c r="F403" s="8"/>
      <c r="G403" s="8"/>
      <c r="H403" s="8"/>
      <c r="I403" s="8"/>
    </row>
    <row r="404" spans="1:9" ht="14.25" customHeight="1" x14ac:dyDescent="0.25">
      <c r="A404" s="3"/>
      <c r="B404" s="3"/>
      <c r="C404" s="3"/>
      <c r="D404" s="3"/>
      <c r="E404" s="18"/>
      <c r="F404" s="8"/>
      <c r="G404" s="8"/>
      <c r="H404" s="8"/>
      <c r="I404" s="8"/>
    </row>
    <row r="405" spans="1:9" ht="14.25" customHeight="1" x14ac:dyDescent="0.25">
      <c r="A405" s="3"/>
      <c r="B405" s="3"/>
      <c r="C405" s="3"/>
      <c r="D405" s="3"/>
      <c r="E405" s="18"/>
      <c r="F405" s="8"/>
      <c r="G405" s="8"/>
      <c r="H405" s="8"/>
      <c r="I405" s="8"/>
    </row>
    <row r="406" spans="1:9" ht="14.25" customHeight="1" x14ac:dyDescent="0.25">
      <c r="A406" s="3"/>
      <c r="B406" s="3"/>
      <c r="C406" s="3"/>
      <c r="D406" s="3"/>
      <c r="E406" s="18"/>
      <c r="F406" s="8"/>
      <c r="G406" s="8"/>
      <c r="H406" s="8"/>
      <c r="I406" s="8"/>
    </row>
    <row r="407" spans="1:9" ht="14.25" customHeight="1" x14ac:dyDescent="0.25">
      <c r="A407" s="3"/>
      <c r="B407" s="3"/>
      <c r="C407" s="3"/>
      <c r="D407" s="3"/>
      <c r="E407" s="18"/>
      <c r="F407" s="8"/>
      <c r="G407" s="8"/>
      <c r="H407" s="8"/>
      <c r="I407" s="8"/>
    </row>
    <row r="408" spans="1:9" ht="14.25" customHeight="1" x14ac:dyDescent="0.25">
      <c r="A408" s="3"/>
      <c r="B408" s="3"/>
      <c r="C408" s="3"/>
      <c r="D408" s="3"/>
      <c r="E408" s="18"/>
      <c r="F408" s="8"/>
      <c r="G408" s="8"/>
      <c r="H408" s="8"/>
      <c r="I408" s="8"/>
    </row>
    <row r="409" spans="1:9" ht="14.25" customHeight="1" x14ac:dyDescent="0.25">
      <c r="A409" s="3"/>
      <c r="B409" s="3"/>
      <c r="C409" s="3"/>
      <c r="D409" s="3"/>
      <c r="E409" s="18"/>
      <c r="F409" s="8"/>
      <c r="G409" s="8"/>
      <c r="H409" s="8"/>
      <c r="I409" s="8"/>
    </row>
    <row r="410" spans="1:9" ht="14.25" customHeight="1" x14ac:dyDescent="0.25">
      <c r="A410" s="3"/>
      <c r="B410" s="3"/>
      <c r="C410" s="3"/>
      <c r="D410" s="3"/>
      <c r="E410" s="18"/>
      <c r="F410" s="8"/>
      <c r="G410" s="8"/>
      <c r="H410" s="8"/>
      <c r="I410" s="8"/>
    </row>
    <row r="411" spans="1:9" ht="14.25" customHeight="1" x14ac:dyDescent="0.25">
      <c r="A411" s="3"/>
      <c r="B411" s="3"/>
      <c r="C411" s="3"/>
      <c r="D411" s="3"/>
      <c r="E411" s="18"/>
      <c r="F411" s="8"/>
      <c r="G411" s="8"/>
      <c r="H411" s="8"/>
      <c r="I411" s="8"/>
    </row>
    <row r="412" spans="1:9" ht="14.25" customHeight="1" x14ac:dyDescent="0.25">
      <c r="A412" s="3"/>
      <c r="B412" s="3"/>
      <c r="C412" s="3"/>
      <c r="D412" s="3"/>
      <c r="E412" s="18"/>
      <c r="F412" s="8"/>
      <c r="G412" s="8"/>
      <c r="H412" s="8"/>
      <c r="I412" s="8"/>
    </row>
    <row r="413" spans="1:9" ht="14.25" customHeight="1" x14ac:dyDescent="0.25">
      <c r="A413" s="3"/>
      <c r="B413" s="3"/>
      <c r="C413" s="3"/>
      <c r="D413" s="3"/>
      <c r="E413" s="18"/>
      <c r="F413" s="8"/>
      <c r="G413" s="8"/>
      <c r="H413" s="8"/>
      <c r="I413" s="8"/>
    </row>
    <row r="414" spans="1:9" ht="14.25" customHeight="1" x14ac:dyDescent="0.25">
      <c r="A414" s="3"/>
      <c r="B414" s="3"/>
      <c r="C414" s="3"/>
      <c r="D414" s="3"/>
      <c r="E414" s="18"/>
      <c r="F414" s="8"/>
      <c r="G414" s="8"/>
      <c r="H414" s="8"/>
      <c r="I414" s="8"/>
    </row>
    <row r="415" spans="1:9" ht="14.25" customHeight="1" x14ac:dyDescent="0.25">
      <c r="A415" s="3"/>
      <c r="B415" s="3"/>
      <c r="C415" s="3"/>
      <c r="D415" s="3"/>
      <c r="E415" s="18"/>
      <c r="F415" s="8"/>
      <c r="G415" s="8"/>
      <c r="H415" s="8"/>
      <c r="I415" s="8"/>
    </row>
    <row r="416" spans="1:9" ht="14.25" customHeight="1" x14ac:dyDescent="0.25">
      <c r="A416" s="3"/>
      <c r="B416" s="3"/>
      <c r="C416" s="3"/>
      <c r="D416" s="3"/>
      <c r="E416" s="18"/>
      <c r="F416" s="8"/>
      <c r="G416" s="8"/>
      <c r="H416" s="8"/>
      <c r="I416" s="8"/>
    </row>
    <row r="417" spans="1:9" ht="14.25" customHeight="1" x14ac:dyDescent="0.25">
      <c r="A417" s="3"/>
      <c r="B417" s="3"/>
      <c r="C417" s="3"/>
      <c r="D417" s="3"/>
      <c r="E417" s="18"/>
      <c r="F417" s="8"/>
      <c r="G417" s="8"/>
      <c r="H417" s="8"/>
      <c r="I417" s="8"/>
    </row>
    <row r="418" spans="1:9" ht="14.25" customHeight="1" x14ac:dyDescent="0.25">
      <c r="A418" s="3"/>
      <c r="B418" s="3"/>
      <c r="C418" s="3"/>
      <c r="D418" s="3"/>
      <c r="E418" s="18"/>
      <c r="F418" s="8"/>
      <c r="G418" s="8"/>
      <c r="H418" s="8"/>
      <c r="I418" s="8"/>
    </row>
    <row r="419" spans="1:9" ht="14.25" customHeight="1" x14ac:dyDescent="0.25">
      <c r="A419" s="3"/>
      <c r="B419" s="3"/>
      <c r="C419" s="3"/>
      <c r="D419" s="3"/>
      <c r="E419" s="18"/>
      <c r="F419" s="8"/>
      <c r="G419" s="8"/>
      <c r="H419" s="8"/>
      <c r="I419" s="8"/>
    </row>
    <row r="420" spans="1:9" ht="14.25" customHeight="1" x14ac:dyDescent="0.25">
      <c r="A420" s="3"/>
      <c r="B420" s="3"/>
      <c r="C420" s="3"/>
      <c r="D420" s="3"/>
      <c r="E420" s="18"/>
      <c r="F420" s="8"/>
      <c r="G420" s="8"/>
      <c r="H420" s="8"/>
      <c r="I420" s="8"/>
    </row>
    <row r="421" spans="1:9" ht="14.25" customHeight="1" x14ac:dyDescent="0.25">
      <c r="A421" s="3"/>
      <c r="B421" s="3"/>
      <c r="C421" s="3"/>
      <c r="D421" s="3"/>
      <c r="E421" s="18"/>
      <c r="F421" s="8"/>
      <c r="G421" s="8"/>
      <c r="H421" s="8"/>
      <c r="I421" s="8"/>
    </row>
    <row r="422" spans="1:9" ht="14.25" customHeight="1" x14ac:dyDescent="0.25">
      <c r="A422" s="3"/>
      <c r="B422" s="3"/>
      <c r="C422" s="3"/>
      <c r="D422" s="3"/>
      <c r="E422" s="18"/>
      <c r="F422" s="8"/>
      <c r="G422" s="8"/>
      <c r="H422" s="8"/>
      <c r="I422" s="8"/>
    </row>
    <row r="423" spans="1:9" ht="14.25" customHeight="1" x14ac:dyDescent="0.25">
      <c r="A423" s="3"/>
      <c r="B423" s="3"/>
      <c r="C423" s="3"/>
      <c r="D423" s="3"/>
      <c r="E423" s="18"/>
      <c r="F423" s="8"/>
      <c r="G423" s="8"/>
      <c r="H423" s="8"/>
      <c r="I423" s="8"/>
    </row>
    <row r="424" spans="1:9" ht="14.25" customHeight="1" x14ac:dyDescent="0.25">
      <c r="A424" s="3"/>
      <c r="B424" s="3"/>
      <c r="C424" s="3"/>
      <c r="D424" s="3"/>
      <c r="E424" s="18"/>
      <c r="F424" s="8"/>
      <c r="G424" s="8"/>
      <c r="H424" s="8"/>
      <c r="I424" s="8"/>
    </row>
    <row r="425" spans="1:9" ht="14.25" customHeight="1" x14ac:dyDescent="0.25">
      <c r="A425" s="3"/>
      <c r="B425" s="3"/>
      <c r="C425" s="3"/>
      <c r="D425" s="3"/>
      <c r="E425" s="18"/>
      <c r="F425" s="8"/>
      <c r="G425" s="8"/>
      <c r="H425" s="8"/>
      <c r="I425" s="8"/>
    </row>
    <row r="426" spans="1:9" ht="14.25" customHeight="1" x14ac:dyDescent="0.25">
      <c r="A426" s="3"/>
      <c r="B426" s="3"/>
      <c r="C426" s="3"/>
      <c r="D426" s="3"/>
      <c r="E426" s="18"/>
      <c r="F426" s="8"/>
      <c r="G426" s="8"/>
      <c r="H426" s="8"/>
      <c r="I426" s="8"/>
    </row>
    <row r="427" spans="1:9" ht="14.25" customHeight="1" x14ac:dyDescent="0.25">
      <c r="A427" s="3"/>
      <c r="B427" s="3"/>
      <c r="C427" s="3"/>
      <c r="D427" s="3"/>
      <c r="E427" s="18"/>
      <c r="F427" s="8"/>
      <c r="G427" s="8"/>
      <c r="H427" s="8"/>
      <c r="I427" s="8"/>
    </row>
    <row r="428" spans="1:9" ht="14.25" customHeight="1" x14ac:dyDescent="0.25">
      <c r="A428" s="3"/>
      <c r="B428" s="3"/>
      <c r="C428" s="3"/>
      <c r="D428" s="3"/>
      <c r="E428" s="18"/>
      <c r="F428" s="8"/>
      <c r="G428" s="8"/>
      <c r="H428" s="8"/>
      <c r="I428" s="8"/>
    </row>
    <row r="429" spans="1:9" ht="14.25" customHeight="1" x14ac:dyDescent="0.25">
      <c r="A429" s="3"/>
      <c r="B429" s="3"/>
      <c r="C429" s="3"/>
      <c r="D429" s="3"/>
      <c r="E429" s="18"/>
      <c r="F429" s="8"/>
      <c r="G429" s="8"/>
      <c r="H429" s="8"/>
      <c r="I429" s="8"/>
    </row>
    <row r="430" spans="1:9" ht="14.25" customHeight="1" x14ac:dyDescent="0.25">
      <c r="A430" s="3"/>
      <c r="B430" s="3"/>
      <c r="C430" s="3"/>
      <c r="D430" s="3"/>
      <c r="E430" s="18"/>
      <c r="F430" s="8"/>
      <c r="G430" s="8"/>
      <c r="H430" s="8"/>
      <c r="I430" s="8"/>
    </row>
    <row r="431" spans="1:9" ht="14.25" customHeight="1" x14ac:dyDescent="0.25">
      <c r="A431" s="3"/>
      <c r="B431" s="3"/>
      <c r="C431" s="3"/>
      <c r="D431" s="3"/>
      <c r="E431" s="18"/>
      <c r="F431" s="8"/>
      <c r="G431" s="8"/>
      <c r="H431" s="8"/>
      <c r="I431" s="8"/>
    </row>
    <row r="432" spans="1:9" ht="14.25" customHeight="1" x14ac:dyDescent="0.25">
      <c r="A432" s="3"/>
      <c r="B432" s="3"/>
      <c r="C432" s="3"/>
      <c r="D432" s="3"/>
      <c r="E432" s="18"/>
      <c r="F432" s="8"/>
      <c r="G432" s="8"/>
      <c r="H432" s="8"/>
      <c r="I432" s="8"/>
    </row>
    <row r="433" spans="1:9" ht="14.25" customHeight="1" x14ac:dyDescent="0.25">
      <c r="A433" s="3"/>
      <c r="B433" s="3"/>
      <c r="C433" s="3"/>
      <c r="D433" s="3"/>
      <c r="E433" s="18"/>
      <c r="F433" s="8"/>
      <c r="G433" s="8"/>
      <c r="H433" s="8"/>
      <c r="I433" s="8"/>
    </row>
    <row r="434" spans="1:9" ht="14.25" customHeight="1" x14ac:dyDescent="0.25">
      <c r="A434" s="3"/>
      <c r="B434" s="3"/>
      <c r="C434" s="3"/>
      <c r="D434" s="3"/>
      <c r="E434" s="18"/>
      <c r="F434" s="8"/>
      <c r="G434" s="8"/>
      <c r="H434" s="8"/>
      <c r="I434" s="8"/>
    </row>
    <row r="435" spans="1:9" ht="14.25" customHeight="1" x14ac:dyDescent="0.25">
      <c r="A435" s="3"/>
      <c r="B435" s="3"/>
      <c r="C435" s="3"/>
      <c r="D435" s="3"/>
      <c r="E435" s="18"/>
      <c r="F435" s="8"/>
      <c r="G435" s="8"/>
      <c r="H435" s="8"/>
      <c r="I435" s="8"/>
    </row>
    <row r="436" spans="1:9" ht="14.25" customHeight="1" x14ac:dyDescent="0.25">
      <c r="A436" s="3"/>
      <c r="B436" s="3"/>
      <c r="C436" s="3"/>
      <c r="D436" s="3"/>
      <c r="E436" s="18"/>
      <c r="F436" s="8"/>
      <c r="G436" s="8"/>
      <c r="H436" s="8"/>
      <c r="I436" s="8"/>
    </row>
    <row r="437" spans="1:9" ht="14.25" customHeight="1" x14ac:dyDescent="0.25">
      <c r="A437" s="3"/>
      <c r="B437" s="3"/>
      <c r="C437" s="3"/>
      <c r="D437" s="3"/>
      <c r="E437" s="18"/>
      <c r="F437" s="8"/>
      <c r="G437" s="8"/>
      <c r="H437" s="8"/>
      <c r="I437" s="8"/>
    </row>
    <row r="438" spans="1:9" ht="14.25" customHeight="1" x14ac:dyDescent="0.25">
      <c r="A438" s="3"/>
      <c r="B438" s="3"/>
      <c r="C438" s="3"/>
      <c r="D438" s="3"/>
      <c r="E438" s="18"/>
      <c r="F438" s="8"/>
      <c r="G438" s="8"/>
      <c r="H438" s="8"/>
      <c r="I438" s="8"/>
    </row>
    <row r="439" spans="1:9" ht="14.25" customHeight="1" x14ac:dyDescent="0.25">
      <c r="A439" s="3"/>
      <c r="B439" s="3"/>
      <c r="C439" s="3"/>
      <c r="D439" s="3"/>
      <c r="E439" s="18"/>
      <c r="F439" s="8"/>
      <c r="G439" s="8"/>
      <c r="H439" s="8"/>
      <c r="I439" s="8"/>
    </row>
    <row r="440" spans="1:9" ht="14.25" customHeight="1" x14ac:dyDescent="0.25">
      <c r="A440" s="3"/>
      <c r="B440" s="3"/>
      <c r="C440" s="3"/>
      <c r="D440" s="3"/>
      <c r="E440" s="18"/>
      <c r="F440" s="8"/>
      <c r="G440" s="8"/>
      <c r="H440" s="8"/>
      <c r="I440" s="8"/>
    </row>
    <row r="441" spans="1:9" ht="14.25" customHeight="1" x14ac:dyDescent="0.25">
      <c r="A441" s="3"/>
      <c r="B441" s="3"/>
      <c r="C441" s="3"/>
      <c r="D441" s="3"/>
      <c r="E441" s="18"/>
      <c r="F441" s="8"/>
      <c r="G441" s="8"/>
      <c r="H441" s="8"/>
      <c r="I441" s="8"/>
    </row>
    <row r="442" spans="1:9" ht="14.25" customHeight="1" x14ac:dyDescent="0.25">
      <c r="A442" s="3"/>
      <c r="B442" s="3"/>
      <c r="C442" s="3"/>
      <c r="D442" s="3"/>
      <c r="E442" s="18"/>
      <c r="F442" s="8"/>
      <c r="G442" s="8"/>
      <c r="H442" s="8"/>
      <c r="I442" s="8"/>
    </row>
    <row r="443" spans="1:9" ht="14.25" customHeight="1" x14ac:dyDescent="0.25">
      <c r="A443" s="3"/>
      <c r="B443" s="3"/>
      <c r="C443" s="3"/>
      <c r="D443" s="3"/>
      <c r="E443" s="18"/>
      <c r="F443" s="8"/>
      <c r="G443" s="8"/>
      <c r="H443" s="8"/>
      <c r="I443" s="8"/>
    </row>
    <row r="444" spans="1:9" ht="14.25" customHeight="1" x14ac:dyDescent="0.25">
      <c r="A444" s="3"/>
      <c r="B444" s="3"/>
      <c r="C444" s="3"/>
      <c r="D444" s="3"/>
      <c r="E444" s="18"/>
      <c r="F444" s="8"/>
      <c r="G444" s="8"/>
      <c r="H444" s="8"/>
      <c r="I444" s="8"/>
    </row>
    <row r="445" spans="1:9" ht="14.25" customHeight="1" x14ac:dyDescent="0.25">
      <c r="A445" s="3"/>
      <c r="B445" s="3"/>
      <c r="C445" s="3"/>
      <c r="D445" s="3"/>
      <c r="E445" s="18"/>
      <c r="F445" s="8"/>
      <c r="G445" s="8"/>
      <c r="H445" s="8"/>
      <c r="I445" s="8"/>
    </row>
    <row r="446" spans="1:9" ht="14.25" customHeight="1" x14ac:dyDescent="0.25">
      <c r="A446" s="3"/>
      <c r="B446" s="3"/>
      <c r="C446" s="3"/>
      <c r="D446" s="3"/>
      <c r="E446" s="18"/>
      <c r="F446" s="8"/>
      <c r="G446" s="8"/>
      <c r="H446" s="8"/>
      <c r="I446" s="8"/>
    </row>
    <row r="447" spans="1:9" ht="14.25" customHeight="1" x14ac:dyDescent="0.25">
      <c r="A447" s="3"/>
      <c r="B447" s="3"/>
      <c r="C447" s="3"/>
      <c r="D447" s="3"/>
      <c r="E447" s="18"/>
      <c r="F447" s="8"/>
      <c r="G447" s="8"/>
      <c r="H447" s="8"/>
      <c r="I447" s="8"/>
    </row>
    <row r="448" spans="1:9" ht="14.25" customHeight="1" x14ac:dyDescent="0.25">
      <c r="A448" s="3"/>
      <c r="B448" s="3"/>
      <c r="C448" s="3"/>
      <c r="D448" s="3"/>
      <c r="E448" s="18"/>
      <c r="F448" s="8"/>
      <c r="G448" s="8"/>
      <c r="H448" s="8"/>
      <c r="I448" s="8"/>
    </row>
    <row r="449" spans="1:9" ht="14.25" customHeight="1" x14ac:dyDescent="0.25">
      <c r="A449" s="3"/>
      <c r="B449" s="3"/>
      <c r="C449" s="3"/>
      <c r="D449" s="3"/>
      <c r="E449" s="18"/>
      <c r="F449" s="8"/>
      <c r="G449" s="8"/>
      <c r="H449" s="8"/>
      <c r="I449" s="8"/>
    </row>
    <row r="450" spans="1:9" ht="14.25" customHeight="1" x14ac:dyDescent="0.25">
      <c r="A450" s="3"/>
      <c r="B450" s="3"/>
      <c r="C450" s="3"/>
      <c r="D450" s="3"/>
      <c r="E450" s="18"/>
      <c r="F450" s="8"/>
      <c r="G450" s="8"/>
      <c r="H450" s="8"/>
      <c r="I450" s="8"/>
    </row>
    <row r="451" spans="1:9" ht="14.25" customHeight="1" x14ac:dyDescent="0.25">
      <c r="A451" s="3"/>
      <c r="B451" s="3"/>
      <c r="C451" s="3"/>
      <c r="D451" s="3"/>
      <c r="E451" s="18"/>
      <c r="F451" s="8"/>
      <c r="G451" s="8"/>
      <c r="H451" s="8"/>
      <c r="I451" s="8"/>
    </row>
    <row r="452" spans="1:9" ht="14.25" customHeight="1" x14ac:dyDescent="0.25">
      <c r="A452" s="3"/>
      <c r="B452" s="3"/>
      <c r="C452" s="3"/>
      <c r="D452" s="3"/>
      <c r="E452" s="18"/>
      <c r="F452" s="8"/>
      <c r="G452" s="8"/>
      <c r="H452" s="8"/>
      <c r="I452" s="8"/>
    </row>
    <row r="453" spans="1:9" ht="14.25" customHeight="1" x14ac:dyDescent="0.25">
      <c r="A453" s="3"/>
      <c r="B453" s="3"/>
      <c r="C453" s="3"/>
      <c r="D453" s="3"/>
      <c r="E453" s="18"/>
      <c r="F453" s="8"/>
      <c r="G453" s="8"/>
      <c r="H453" s="8"/>
      <c r="I453" s="8"/>
    </row>
    <row r="454" spans="1:9" ht="14.25" customHeight="1" x14ac:dyDescent="0.25">
      <c r="A454" s="3"/>
      <c r="B454" s="3"/>
      <c r="C454" s="3"/>
      <c r="D454" s="3"/>
      <c r="E454" s="18"/>
      <c r="F454" s="8"/>
      <c r="G454" s="8"/>
      <c r="H454" s="8"/>
      <c r="I454" s="8"/>
    </row>
    <row r="455" spans="1:9" ht="14.25" customHeight="1" x14ac:dyDescent="0.25">
      <c r="A455" s="3"/>
      <c r="B455" s="3"/>
      <c r="C455" s="3"/>
      <c r="D455" s="3"/>
      <c r="E455" s="18"/>
      <c r="F455" s="8"/>
      <c r="G455" s="8"/>
      <c r="H455" s="8"/>
      <c r="I455" s="8"/>
    </row>
    <row r="456" spans="1:9" ht="14.25" customHeight="1" x14ac:dyDescent="0.25">
      <c r="A456" s="3"/>
      <c r="B456" s="3"/>
      <c r="C456" s="3"/>
      <c r="D456" s="3"/>
      <c r="E456" s="18"/>
      <c r="F456" s="8"/>
      <c r="G456" s="8"/>
      <c r="H456" s="8"/>
      <c r="I456" s="8"/>
    </row>
    <row r="457" spans="1:9" ht="14.25" customHeight="1" x14ac:dyDescent="0.25">
      <c r="A457" s="3"/>
      <c r="B457" s="3"/>
      <c r="C457" s="3"/>
      <c r="D457" s="3"/>
      <c r="E457" s="18"/>
      <c r="F457" s="8"/>
      <c r="G457" s="8"/>
      <c r="H457" s="8"/>
      <c r="I457" s="8"/>
    </row>
    <row r="458" spans="1:9" ht="14.25" customHeight="1" x14ac:dyDescent="0.25">
      <c r="A458" s="3"/>
      <c r="B458" s="3"/>
      <c r="C458" s="3"/>
      <c r="D458" s="3"/>
      <c r="E458" s="18"/>
      <c r="F458" s="8"/>
      <c r="G458" s="8"/>
      <c r="H458" s="8"/>
      <c r="I458" s="8"/>
    </row>
    <row r="459" spans="1:9" ht="14.25" customHeight="1" x14ac:dyDescent="0.25">
      <c r="A459" s="3"/>
      <c r="B459" s="3"/>
      <c r="C459" s="3"/>
      <c r="D459" s="3"/>
      <c r="E459" s="18"/>
      <c r="F459" s="8"/>
      <c r="G459" s="8"/>
      <c r="H459" s="8"/>
      <c r="I459" s="8"/>
    </row>
    <row r="460" spans="1:9" ht="14.25" customHeight="1" x14ac:dyDescent="0.25">
      <c r="A460" s="3"/>
      <c r="B460" s="3"/>
      <c r="C460" s="3"/>
      <c r="D460" s="3"/>
      <c r="E460" s="18"/>
      <c r="F460" s="8"/>
      <c r="G460" s="8"/>
      <c r="H460" s="8"/>
      <c r="I460" s="8"/>
    </row>
    <row r="461" spans="1:9" ht="14.25" customHeight="1" x14ac:dyDescent="0.25">
      <c r="A461" s="3"/>
      <c r="B461" s="3"/>
      <c r="C461" s="3"/>
      <c r="D461" s="3"/>
      <c r="E461" s="18"/>
      <c r="F461" s="8"/>
      <c r="G461" s="8"/>
      <c r="H461" s="8"/>
      <c r="I461" s="8"/>
    </row>
    <row r="462" spans="1:9" ht="14.25" customHeight="1" x14ac:dyDescent="0.25">
      <c r="A462" s="3"/>
      <c r="B462" s="3"/>
      <c r="C462" s="3"/>
      <c r="D462" s="3"/>
      <c r="E462" s="18"/>
      <c r="F462" s="8"/>
      <c r="G462" s="8"/>
      <c r="H462" s="8"/>
      <c r="I462" s="8"/>
    </row>
    <row r="463" spans="1:9" ht="14.25" customHeight="1" x14ac:dyDescent="0.25">
      <c r="A463" s="3"/>
      <c r="B463" s="3"/>
      <c r="C463" s="3"/>
      <c r="D463" s="3"/>
      <c r="E463" s="18"/>
      <c r="F463" s="8"/>
      <c r="G463" s="8"/>
      <c r="H463" s="8"/>
      <c r="I463" s="8"/>
    </row>
    <row r="464" spans="1:9" ht="14.25" customHeight="1" x14ac:dyDescent="0.25">
      <c r="A464" s="3"/>
      <c r="B464" s="3"/>
      <c r="C464" s="3"/>
      <c r="D464" s="3"/>
      <c r="E464" s="18"/>
      <c r="F464" s="8"/>
      <c r="G464" s="8"/>
      <c r="H464" s="8"/>
      <c r="I464" s="8"/>
    </row>
    <row r="465" spans="1:9" ht="14.25" customHeight="1" x14ac:dyDescent="0.25">
      <c r="A465" s="3"/>
      <c r="B465" s="3"/>
      <c r="C465" s="3"/>
      <c r="D465" s="3"/>
      <c r="E465" s="18"/>
      <c r="F465" s="8"/>
      <c r="G465" s="8"/>
      <c r="H465" s="8"/>
      <c r="I465" s="8"/>
    </row>
    <row r="466" spans="1:9" ht="14.25" customHeight="1" x14ac:dyDescent="0.25">
      <c r="A466" s="3"/>
      <c r="B466" s="3"/>
      <c r="C466" s="3"/>
      <c r="D466" s="3"/>
      <c r="E466" s="18"/>
      <c r="F466" s="8"/>
      <c r="G466" s="8"/>
      <c r="H466" s="8"/>
      <c r="I466" s="8"/>
    </row>
    <row r="467" spans="1:9" ht="14.25" customHeight="1" x14ac:dyDescent="0.25">
      <c r="A467" s="3"/>
      <c r="B467" s="3"/>
      <c r="C467" s="3"/>
      <c r="D467" s="3"/>
      <c r="E467" s="18"/>
      <c r="F467" s="8"/>
      <c r="G467" s="8"/>
      <c r="H467" s="8"/>
      <c r="I467" s="8"/>
    </row>
    <row r="468" spans="1:9" ht="14.25" customHeight="1" x14ac:dyDescent="0.25">
      <c r="A468" s="3"/>
      <c r="B468" s="3"/>
      <c r="C468" s="3"/>
      <c r="D468" s="3"/>
      <c r="E468" s="18"/>
      <c r="F468" s="8"/>
      <c r="G468" s="8"/>
      <c r="H468" s="8"/>
      <c r="I468" s="8"/>
    </row>
    <row r="469" spans="1:9" ht="14.25" customHeight="1" x14ac:dyDescent="0.25">
      <c r="A469" s="3"/>
      <c r="B469" s="3"/>
      <c r="C469" s="3"/>
      <c r="D469" s="3"/>
      <c r="E469" s="18"/>
      <c r="F469" s="8"/>
      <c r="G469" s="8"/>
      <c r="H469" s="8"/>
      <c r="I469" s="8"/>
    </row>
    <row r="470" spans="1:9" ht="14.25" customHeight="1" x14ac:dyDescent="0.25">
      <c r="A470" s="3"/>
      <c r="B470" s="3"/>
      <c r="C470" s="3"/>
      <c r="D470" s="3"/>
      <c r="E470" s="18"/>
      <c r="F470" s="8"/>
      <c r="G470" s="8"/>
      <c r="H470" s="8"/>
      <c r="I470" s="8"/>
    </row>
    <row r="471" spans="1:9" ht="14.25" customHeight="1" x14ac:dyDescent="0.25">
      <c r="A471" s="3"/>
      <c r="B471" s="3"/>
      <c r="C471" s="3"/>
      <c r="D471" s="3"/>
      <c r="E471" s="18"/>
      <c r="F471" s="8"/>
      <c r="G471" s="8"/>
      <c r="H471" s="8"/>
      <c r="I471" s="8"/>
    </row>
    <row r="472" spans="1:9" ht="14.25" customHeight="1" x14ac:dyDescent="0.25">
      <c r="A472" s="3"/>
      <c r="B472" s="3"/>
      <c r="C472" s="3"/>
      <c r="D472" s="3"/>
      <c r="E472" s="18"/>
      <c r="F472" s="8"/>
      <c r="G472" s="8"/>
      <c r="H472" s="8"/>
      <c r="I472" s="8"/>
    </row>
    <row r="473" spans="1:9" ht="14.25" customHeight="1" x14ac:dyDescent="0.25">
      <c r="A473" s="3"/>
      <c r="B473" s="3"/>
      <c r="C473" s="3"/>
      <c r="D473" s="3"/>
      <c r="E473" s="18"/>
      <c r="F473" s="8"/>
      <c r="G473" s="8"/>
      <c r="H473" s="8"/>
      <c r="I473" s="8"/>
    </row>
    <row r="474" spans="1:9" ht="14.25" customHeight="1" x14ac:dyDescent="0.25">
      <c r="A474" s="3"/>
      <c r="B474" s="3"/>
      <c r="C474" s="3"/>
      <c r="D474" s="3"/>
      <c r="E474" s="18"/>
      <c r="F474" s="8"/>
      <c r="G474" s="8"/>
      <c r="H474" s="8"/>
      <c r="I474" s="8"/>
    </row>
    <row r="475" spans="1:9" ht="14.25" customHeight="1" x14ac:dyDescent="0.25">
      <c r="A475" s="3"/>
      <c r="B475" s="3"/>
      <c r="C475" s="3"/>
      <c r="D475" s="3"/>
      <c r="E475" s="18"/>
      <c r="F475" s="8"/>
      <c r="G475" s="8"/>
      <c r="H475" s="8"/>
      <c r="I475" s="8"/>
    </row>
    <row r="476" spans="1:9" ht="14.25" customHeight="1" x14ac:dyDescent="0.25">
      <c r="A476" s="3"/>
      <c r="B476" s="3"/>
      <c r="C476" s="3"/>
      <c r="D476" s="3"/>
      <c r="E476" s="18"/>
      <c r="F476" s="8"/>
      <c r="G476" s="8"/>
      <c r="H476" s="8"/>
      <c r="I476" s="8"/>
    </row>
    <row r="477" spans="1:9" ht="14.25" customHeight="1" x14ac:dyDescent="0.25">
      <c r="A477" s="3"/>
      <c r="B477" s="3"/>
      <c r="C477" s="3"/>
      <c r="D477" s="3"/>
      <c r="E477" s="18"/>
      <c r="F477" s="8"/>
      <c r="G477" s="8"/>
      <c r="H477" s="8"/>
      <c r="I477" s="8"/>
    </row>
    <row r="478" spans="1:9" ht="14.25" customHeight="1" x14ac:dyDescent="0.25">
      <c r="A478" s="3"/>
      <c r="B478" s="3"/>
      <c r="C478" s="3"/>
      <c r="D478" s="3"/>
      <c r="E478" s="18"/>
      <c r="F478" s="8"/>
      <c r="G478" s="8"/>
      <c r="H478" s="8"/>
      <c r="I478" s="8"/>
    </row>
    <row r="479" spans="1:9" ht="14.25" customHeight="1" x14ac:dyDescent="0.25">
      <c r="A479" s="3"/>
      <c r="B479" s="3"/>
      <c r="C479" s="3"/>
      <c r="D479" s="3"/>
      <c r="E479" s="18"/>
      <c r="F479" s="8"/>
      <c r="G479" s="8"/>
      <c r="H479" s="8"/>
      <c r="I479" s="8"/>
    </row>
    <row r="480" spans="1:9" ht="14.25" customHeight="1" x14ac:dyDescent="0.25">
      <c r="A480" s="3"/>
      <c r="B480" s="3"/>
      <c r="C480" s="3"/>
      <c r="D480" s="3"/>
      <c r="E480" s="18"/>
      <c r="F480" s="8"/>
      <c r="G480" s="8"/>
      <c r="H480" s="8"/>
      <c r="I480" s="8"/>
    </row>
    <row r="481" spans="1:9" ht="14.25" customHeight="1" x14ac:dyDescent="0.25">
      <c r="A481" s="3"/>
      <c r="B481" s="3"/>
      <c r="C481" s="3"/>
      <c r="D481" s="3"/>
      <c r="E481" s="18"/>
      <c r="F481" s="8"/>
      <c r="G481" s="8"/>
      <c r="H481" s="8"/>
      <c r="I481" s="8"/>
    </row>
    <row r="482" spans="1:9" ht="14.25" customHeight="1" x14ac:dyDescent="0.25">
      <c r="A482" s="3"/>
      <c r="B482" s="3"/>
      <c r="C482" s="3"/>
      <c r="D482" s="3"/>
      <c r="E482" s="18"/>
      <c r="F482" s="8"/>
      <c r="G482" s="8"/>
      <c r="H482" s="8"/>
      <c r="I482" s="8"/>
    </row>
    <row r="483" spans="1:9" ht="14.25" customHeight="1" x14ac:dyDescent="0.25">
      <c r="A483" s="3"/>
      <c r="B483" s="3"/>
      <c r="C483" s="3"/>
      <c r="D483" s="3"/>
      <c r="E483" s="18"/>
      <c r="F483" s="8"/>
      <c r="G483" s="8"/>
      <c r="H483" s="8"/>
      <c r="I483" s="8"/>
    </row>
    <row r="484" spans="1:9" ht="14.25" customHeight="1" x14ac:dyDescent="0.25">
      <c r="A484" s="3"/>
      <c r="B484" s="3"/>
      <c r="C484" s="3"/>
      <c r="D484" s="3"/>
      <c r="E484" s="18"/>
      <c r="F484" s="8"/>
      <c r="G484" s="8"/>
      <c r="H484" s="8"/>
      <c r="I484" s="8"/>
    </row>
    <row r="485" spans="1:9" ht="14.25" customHeight="1" x14ac:dyDescent="0.25">
      <c r="A485" s="3"/>
      <c r="B485" s="3"/>
      <c r="C485" s="3"/>
      <c r="D485" s="3"/>
      <c r="E485" s="18"/>
      <c r="F485" s="8"/>
      <c r="G485" s="8"/>
      <c r="H485" s="8"/>
      <c r="I485" s="8"/>
    </row>
    <row r="486" spans="1:9" ht="14.25" customHeight="1" x14ac:dyDescent="0.25">
      <c r="A486" s="3"/>
      <c r="B486" s="3"/>
      <c r="C486" s="3"/>
      <c r="D486" s="3"/>
      <c r="E486" s="18"/>
      <c r="F486" s="8"/>
      <c r="G486" s="8"/>
      <c r="H486" s="8"/>
      <c r="I486" s="8"/>
    </row>
    <row r="487" spans="1:9" ht="14.25" customHeight="1" x14ac:dyDescent="0.25">
      <c r="A487" s="3"/>
      <c r="B487" s="3"/>
      <c r="C487" s="3"/>
      <c r="D487" s="3"/>
      <c r="E487" s="18"/>
      <c r="F487" s="8"/>
      <c r="G487" s="8"/>
      <c r="H487" s="8"/>
      <c r="I487" s="8"/>
    </row>
    <row r="488" spans="1:9" ht="14.25" customHeight="1" x14ac:dyDescent="0.25">
      <c r="A488" s="3"/>
      <c r="B488" s="3"/>
      <c r="C488" s="3"/>
      <c r="D488" s="3"/>
      <c r="E488" s="18"/>
      <c r="F488" s="8"/>
      <c r="G488" s="8"/>
      <c r="H488" s="8"/>
      <c r="I488" s="8"/>
    </row>
    <row r="489" spans="1:9" ht="14.25" customHeight="1" x14ac:dyDescent="0.25">
      <c r="A489" s="3"/>
      <c r="B489" s="3"/>
      <c r="C489" s="3"/>
      <c r="D489" s="3"/>
      <c r="E489" s="18"/>
      <c r="F489" s="8"/>
      <c r="G489" s="8"/>
      <c r="H489" s="8"/>
      <c r="I489" s="8"/>
    </row>
    <row r="490" spans="1:9" ht="14.25" customHeight="1" x14ac:dyDescent="0.25">
      <c r="A490" s="3"/>
      <c r="B490" s="3"/>
      <c r="C490" s="3"/>
      <c r="D490" s="3"/>
      <c r="E490" s="18"/>
      <c r="F490" s="8"/>
      <c r="G490" s="8"/>
      <c r="H490" s="8"/>
      <c r="I490" s="8"/>
    </row>
    <row r="491" spans="1:9" ht="14.25" customHeight="1" x14ac:dyDescent="0.25">
      <c r="A491" s="3"/>
      <c r="B491" s="3"/>
      <c r="C491" s="3"/>
      <c r="D491" s="3"/>
      <c r="E491" s="18"/>
      <c r="F491" s="8"/>
      <c r="G491" s="8"/>
      <c r="H491" s="8"/>
      <c r="I491" s="8"/>
    </row>
    <row r="492" spans="1:9" ht="14.25" customHeight="1" x14ac:dyDescent="0.25">
      <c r="A492" s="3"/>
      <c r="B492" s="3"/>
      <c r="C492" s="3"/>
      <c r="D492" s="3"/>
      <c r="E492" s="18"/>
      <c r="F492" s="8"/>
      <c r="G492" s="8"/>
      <c r="H492" s="8"/>
      <c r="I492" s="8"/>
    </row>
    <row r="493" spans="1:9" ht="14.25" customHeight="1" x14ac:dyDescent="0.25">
      <c r="A493" s="3"/>
      <c r="B493" s="3"/>
      <c r="C493" s="3"/>
      <c r="D493" s="3"/>
      <c r="E493" s="18"/>
      <c r="F493" s="8"/>
      <c r="G493" s="8"/>
      <c r="H493" s="8"/>
      <c r="I493" s="8"/>
    </row>
    <row r="494" spans="1:9" ht="14.25" customHeight="1" x14ac:dyDescent="0.25">
      <c r="A494" s="3"/>
      <c r="B494" s="3"/>
      <c r="C494" s="3"/>
      <c r="D494" s="3"/>
      <c r="E494" s="18"/>
      <c r="F494" s="8"/>
      <c r="G494" s="8"/>
      <c r="H494" s="8"/>
      <c r="I494" s="8"/>
    </row>
    <row r="495" spans="1:9" ht="14.25" customHeight="1" x14ac:dyDescent="0.25">
      <c r="A495" s="3"/>
      <c r="B495" s="3"/>
      <c r="C495" s="3"/>
      <c r="D495" s="3"/>
      <c r="E495" s="18"/>
      <c r="F495" s="8"/>
      <c r="G495" s="8"/>
      <c r="H495" s="8"/>
      <c r="I495" s="8"/>
    </row>
    <row r="496" spans="1:9" ht="14.25" customHeight="1" x14ac:dyDescent="0.25">
      <c r="A496" s="3"/>
      <c r="B496" s="3"/>
      <c r="C496" s="3"/>
      <c r="D496" s="3"/>
      <c r="E496" s="18"/>
      <c r="F496" s="8"/>
      <c r="G496" s="8"/>
      <c r="H496" s="8"/>
      <c r="I496" s="8"/>
    </row>
    <row r="497" spans="1:9" ht="14.25" customHeight="1" x14ac:dyDescent="0.25">
      <c r="A497" s="3"/>
      <c r="B497" s="3"/>
      <c r="C497" s="3"/>
      <c r="D497" s="3"/>
      <c r="E497" s="18"/>
      <c r="F497" s="8"/>
      <c r="G497" s="8"/>
      <c r="H497" s="8"/>
      <c r="I497" s="8"/>
    </row>
    <row r="498" spans="1:9" ht="14.25" customHeight="1" x14ac:dyDescent="0.25">
      <c r="A498" s="3"/>
      <c r="B498" s="3"/>
      <c r="C498" s="3"/>
      <c r="D498" s="3"/>
      <c r="E498" s="18"/>
      <c r="F498" s="8"/>
      <c r="G498" s="8"/>
      <c r="H498" s="8"/>
      <c r="I498" s="8"/>
    </row>
    <row r="499" spans="1:9" ht="14.25" customHeight="1" x14ac:dyDescent="0.25">
      <c r="A499" s="3"/>
      <c r="B499" s="3"/>
      <c r="C499" s="3"/>
      <c r="D499" s="3"/>
      <c r="E499" s="18"/>
      <c r="F499" s="8"/>
      <c r="G499" s="8"/>
      <c r="H499" s="8"/>
      <c r="I499" s="8"/>
    </row>
    <row r="500" spans="1:9" ht="14.25" customHeight="1" x14ac:dyDescent="0.25">
      <c r="A500" s="3"/>
      <c r="B500" s="3"/>
      <c r="C500" s="3"/>
      <c r="D500" s="3"/>
      <c r="E500" s="18"/>
      <c r="F500" s="8"/>
      <c r="G500" s="8"/>
      <c r="H500" s="8"/>
      <c r="I500" s="8"/>
    </row>
    <row r="501" spans="1:9" ht="14.25" customHeight="1" x14ac:dyDescent="0.25">
      <c r="A501" s="3"/>
      <c r="B501" s="3"/>
      <c r="C501" s="3"/>
      <c r="D501" s="3"/>
      <c r="E501" s="18"/>
      <c r="F501" s="8"/>
      <c r="G501" s="8"/>
      <c r="H501" s="8"/>
      <c r="I501" s="8"/>
    </row>
    <row r="502" spans="1:9" ht="14.25" customHeight="1" x14ac:dyDescent="0.25">
      <c r="A502" s="3"/>
      <c r="B502" s="3"/>
      <c r="C502" s="3"/>
      <c r="D502" s="3"/>
      <c r="E502" s="18"/>
      <c r="F502" s="8"/>
      <c r="G502" s="8"/>
      <c r="H502" s="8"/>
      <c r="I502" s="8"/>
    </row>
    <row r="503" spans="1:9" ht="14.25" customHeight="1" x14ac:dyDescent="0.25">
      <c r="A503" s="3"/>
      <c r="B503" s="3"/>
      <c r="C503" s="3"/>
      <c r="D503" s="3"/>
      <c r="E503" s="18"/>
      <c r="F503" s="8"/>
      <c r="G503" s="8"/>
      <c r="H503" s="8"/>
      <c r="I503" s="8"/>
    </row>
    <row r="504" spans="1:9" ht="14.25" customHeight="1" x14ac:dyDescent="0.25">
      <c r="A504" s="3"/>
      <c r="B504" s="3"/>
      <c r="C504" s="3"/>
      <c r="D504" s="3"/>
      <c r="E504" s="18"/>
      <c r="F504" s="8"/>
      <c r="G504" s="8"/>
      <c r="H504" s="8"/>
      <c r="I504" s="8"/>
    </row>
    <row r="505" spans="1:9" ht="14.25" customHeight="1" x14ac:dyDescent="0.25">
      <c r="A505" s="3"/>
      <c r="B505" s="3"/>
      <c r="C505" s="3"/>
      <c r="D505" s="3"/>
      <c r="E505" s="18"/>
      <c r="F505" s="8"/>
      <c r="G505" s="8"/>
      <c r="H505" s="8"/>
      <c r="I505" s="8"/>
    </row>
    <row r="506" spans="1:9" ht="14.25" customHeight="1" x14ac:dyDescent="0.25">
      <c r="A506" s="3"/>
      <c r="B506" s="3"/>
      <c r="C506" s="3"/>
      <c r="D506" s="3"/>
      <c r="E506" s="18"/>
      <c r="F506" s="8"/>
      <c r="G506" s="8"/>
      <c r="H506" s="8"/>
      <c r="I506" s="8"/>
    </row>
    <row r="507" spans="1:9" ht="14.25" customHeight="1" x14ac:dyDescent="0.25">
      <c r="A507" s="3"/>
      <c r="B507" s="3"/>
      <c r="C507" s="3"/>
      <c r="D507" s="3"/>
      <c r="E507" s="18"/>
      <c r="F507" s="8"/>
      <c r="G507" s="8"/>
      <c r="H507" s="8"/>
      <c r="I507" s="8"/>
    </row>
    <row r="508" spans="1:9" ht="14.25" customHeight="1" x14ac:dyDescent="0.25">
      <c r="A508" s="3"/>
      <c r="B508" s="3"/>
      <c r="C508" s="3"/>
      <c r="D508" s="3"/>
      <c r="E508" s="18"/>
      <c r="F508" s="8"/>
      <c r="G508" s="8"/>
      <c r="H508" s="8"/>
      <c r="I508" s="8"/>
    </row>
    <row r="509" spans="1:9" ht="14.25" customHeight="1" x14ac:dyDescent="0.25">
      <c r="A509" s="3"/>
      <c r="B509" s="3"/>
      <c r="C509" s="3"/>
      <c r="D509" s="3"/>
      <c r="E509" s="18"/>
      <c r="F509" s="8"/>
      <c r="G509" s="8"/>
      <c r="H509" s="8"/>
      <c r="I509" s="8"/>
    </row>
    <row r="510" spans="1:9" ht="14.25" customHeight="1" x14ac:dyDescent="0.25">
      <c r="A510" s="3"/>
      <c r="B510" s="3"/>
      <c r="C510" s="3"/>
      <c r="D510" s="3"/>
      <c r="E510" s="18"/>
      <c r="F510" s="8"/>
      <c r="G510" s="8"/>
      <c r="H510" s="8"/>
      <c r="I510" s="8"/>
    </row>
    <row r="511" spans="1:9" ht="14.25" customHeight="1" x14ac:dyDescent="0.25">
      <c r="A511" s="3"/>
      <c r="B511" s="3"/>
      <c r="C511" s="3"/>
      <c r="D511" s="3"/>
      <c r="E511" s="18"/>
      <c r="F511" s="8"/>
      <c r="G511" s="8"/>
      <c r="H511" s="8"/>
      <c r="I511" s="8"/>
    </row>
    <row r="512" spans="1:9" ht="14.25" customHeight="1" x14ac:dyDescent="0.25">
      <c r="A512" s="3"/>
      <c r="B512" s="3"/>
      <c r="C512" s="3"/>
      <c r="D512" s="3"/>
      <c r="E512" s="18"/>
      <c r="F512" s="8"/>
      <c r="G512" s="8"/>
      <c r="H512" s="8"/>
      <c r="I512" s="8"/>
    </row>
    <row r="513" spans="1:9" ht="14.25" customHeight="1" x14ac:dyDescent="0.25">
      <c r="A513" s="3"/>
      <c r="B513" s="3"/>
      <c r="C513" s="3"/>
      <c r="D513" s="3"/>
      <c r="E513" s="18"/>
      <c r="F513" s="8"/>
      <c r="G513" s="8"/>
      <c r="H513" s="8"/>
      <c r="I513" s="8"/>
    </row>
    <row r="514" spans="1:9" ht="14.25" customHeight="1" x14ac:dyDescent="0.25">
      <c r="A514" s="3"/>
      <c r="B514" s="3"/>
      <c r="C514" s="3"/>
      <c r="D514" s="3"/>
      <c r="E514" s="18"/>
      <c r="F514" s="8"/>
      <c r="G514" s="8"/>
      <c r="H514" s="8"/>
      <c r="I514" s="8"/>
    </row>
    <row r="515" spans="1:9" ht="14.25" customHeight="1" x14ac:dyDescent="0.25">
      <c r="A515" s="3"/>
      <c r="B515" s="3"/>
      <c r="C515" s="3"/>
      <c r="D515" s="3"/>
      <c r="E515" s="18"/>
      <c r="F515" s="8"/>
      <c r="G515" s="8"/>
      <c r="H515" s="8"/>
      <c r="I515" s="8"/>
    </row>
    <row r="516" spans="1:9" ht="14.25" customHeight="1" x14ac:dyDescent="0.25">
      <c r="A516" s="3"/>
      <c r="B516" s="3"/>
      <c r="C516" s="3"/>
      <c r="D516" s="3"/>
      <c r="E516" s="18"/>
      <c r="F516" s="8"/>
      <c r="G516" s="8"/>
      <c r="H516" s="8"/>
      <c r="I516" s="8"/>
    </row>
    <row r="517" spans="1:9" ht="14.25" customHeight="1" x14ac:dyDescent="0.25">
      <c r="A517" s="3"/>
      <c r="B517" s="3"/>
      <c r="C517" s="3"/>
      <c r="D517" s="3"/>
      <c r="E517" s="18"/>
      <c r="F517" s="8"/>
      <c r="G517" s="8"/>
      <c r="H517" s="8"/>
      <c r="I517" s="8"/>
    </row>
    <row r="518" spans="1:9" ht="14.25" customHeight="1" x14ac:dyDescent="0.25">
      <c r="A518" s="3"/>
      <c r="B518" s="3"/>
      <c r="C518" s="3"/>
      <c r="D518" s="3"/>
      <c r="E518" s="18"/>
      <c r="F518" s="8"/>
      <c r="G518" s="8"/>
      <c r="H518" s="8"/>
      <c r="I518" s="8"/>
    </row>
    <row r="519" spans="1:9" ht="14.25" customHeight="1" x14ac:dyDescent="0.25">
      <c r="A519" s="3"/>
      <c r="B519" s="3"/>
      <c r="C519" s="3"/>
      <c r="D519" s="3"/>
      <c r="E519" s="18"/>
      <c r="F519" s="8"/>
      <c r="G519" s="8"/>
      <c r="H519" s="8"/>
      <c r="I519" s="8"/>
    </row>
    <row r="520" spans="1:9" ht="14.25" customHeight="1" x14ac:dyDescent="0.25">
      <c r="A520" s="3"/>
      <c r="B520" s="3"/>
      <c r="C520" s="3"/>
      <c r="D520" s="3"/>
      <c r="E520" s="18"/>
      <c r="F520" s="8"/>
      <c r="G520" s="8"/>
      <c r="H520" s="8"/>
      <c r="I520" s="8"/>
    </row>
    <row r="521" spans="1:9" ht="14.25" customHeight="1" x14ac:dyDescent="0.25">
      <c r="A521" s="3"/>
      <c r="B521" s="3"/>
      <c r="C521" s="3"/>
      <c r="D521" s="3"/>
      <c r="E521" s="18"/>
      <c r="F521" s="8"/>
      <c r="G521" s="8"/>
      <c r="H521" s="8"/>
      <c r="I521" s="8"/>
    </row>
    <row r="522" spans="1:9" ht="14.25" customHeight="1" x14ac:dyDescent="0.25">
      <c r="A522" s="3"/>
      <c r="B522" s="3"/>
      <c r="C522" s="3"/>
      <c r="D522" s="3"/>
      <c r="E522" s="18"/>
      <c r="F522" s="8"/>
      <c r="G522" s="8"/>
      <c r="H522" s="8"/>
      <c r="I522" s="8"/>
    </row>
    <row r="523" spans="1:9" ht="14.25" customHeight="1" x14ac:dyDescent="0.25">
      <c r="A523" s="3"/>
      <c r="B523" s="3"/>
      <c r="C523" s="3"/>
      <c r="D523" s="3"/>
      <c r="E523" s="18"/>
      <c r="F523" s="8"/>
      <c r="G523" s="8"/>
      <c r="H523" s="8"/>
      <c r="I523" s="8"/>
    </row>
    <row r="524" spans="1:9" ht="14.25" customHeight="1" x14ac:dyDescent="0.25">
      <c r="A524" s="3"/>
      <c r="B524" s="3"/>
      <c r="C524" s="3"/>
      <c r="D524" s="3"/>
      <c r="E524" s="18"/>
      <c r="F524" s="8"/>
      <c r="G524" s="8"/>
      <c r="H524" s="8"/>
      <c r="I524" s="8"/>
    </row>
    <row r="525" spans="1:9" ht="14.25" customHeight="1" x14ac:dyDescent="0.25">
      <c r="A525" s="3"/>
      <c r="B525" s="3"/>
      <c r="C525" s="3"/>
      <c r="D525" s="3"/>
      <c r="E525" s="18"/>
      <c r="F525" s="8"/>
      <c r="G525" s="8"/>
      <c r="H525" s="8"/>
      <c r="I525" s="8"/>
    </row>
    <row r="526" spans="1:9" ht="14.25" customHeight="1" x14ac:dyDescent="0.25">
      <c r="A526" s="3"/>
      <c r="B526" s="3"/>
      <c r="C526" s="3"/>
      <c r="D526" s="3"/>
      <c r="E526" s="18"/>
      <c r="F526" s="8"/>
      <c r="G526" s="8"/>
      <c r="H526" s="8"/>
      <c r="I526" s="8"/>
    </row>
    <row r="527" spans="1:9" ht="14.25" customHeight="1" x14ac:dyDescent="0.25">
      <c r="A527" s="3"/>
      <c r="B527" s="3"/>
      <c r="C527" s="3"/>
      <c r="D527" s="3"/>
      <c r="E527" s="18"/>
      <c r="F527" s="8"/>
      <c r="G527" s="8"/>
      <c r="H527" s="8"/>
      <c r="I527" s="8"/>
    </row>
    <row r="528" spans="1:9" ht="14.25" customHeight="1" x14ac:dyDescent="0.25">
      <c r="A528" s="3"/>
      <c r="B528" s="3"/>
      <c r="C528" s="3"/>
      <c r="D528" s="3"/>
      <c r="E528" s="18"/>
      <c r="F528" s="8"/>
      <c r="G528" s="8"/>
      <c r="H528" s="8"/>
      <c r="I528" s="8"/>
    </row>
    <row r="529" spans="1:9" ht="14.25" customHeight="1" x14ac:dyDescent="0.25">
      <c r="A529" s="3"/>
      <c r="B529" s="3"/>
      <c r="C529" s="3"/>
      <c r="D529" s="3"/>
      <c r="E529" s="18"/>
      <c r="F529" s="8"/>
      <c r="G529" s="8"/>
      <c r="H529" s="8"/>
      <c r="I529" s="8"/>
    </row>
    <row r="530" spans="1:9" ht="14.25" customHeight="1" x14ac:dyDescent="0.25">
      <c r="A530" s="3"/>
      <c r="B530" s="3"/>
      <c r="C530" s="3"/>
      <c r="D530" s="3"/>
      <c r="E530" s="18"/>
      <c r="F530" s="8"/>
      <c r="G530" s="8"/>
      <c r="H530" s="8"/>
      <c r="I530" s="8"/>
    </row>
    <row r="531" spans="1:9" ht="14.25" customHeight="1" x14ac:dyDescent="0.25">
      <c r="A531" s="3"/>
      <c r="B531" s="3"/>
      <c r="C531" s="3"/>
      <c r="D531" s="3"/>
      <c r="E531" s="18"/>
      <c r="F531" s="8"/>
      <c r="G531" s="8"/>
      <c r="H531" s="8"/>
      <c r="I531" s="8"/>
    </row>
    <row r="532" spans="1:9" ht="14.25" customHeight="1" x14ac:dyDescent="0.25">
      <c r="A532" s="3"/>
      <c r="B532" s="3"/>
      <c r="C532" s="3"/>
      <c r="D532" s="3"/>
      <c r="E532" s="18"/>
      <c r="F532" s="8"/>
      <c r="G532" s="8"/>
      <c r="H532" s="8"/>
      <c r="I532" s="8"/>
    </row>
    <row r="533" spans="1:9" ht="14.25" customHeight="1" x14ac:dyDescent="0.25">
      <c r="A533" s="3"/>
      <c r="B533" s="3"/>
      <c r="C533" s="3"/>
      <c r="D533" s="3"/>
      <c r="E533" s="18"/>
      <c r="F533" s="8"/>
      <c r="G533" s="8"/>
      <c r="H533" s="8"/>
      <c r="I533" s="8"/>
    </row>
    <row r="534" spans="1:9" ht="14.25" customHeight="1" x14ac:dyDescent="0.25">
      <c r="A534" s="3"/>
      <c r="B534" s="3"/>
      <c r="C534" s="3"/>
      <c r="D534" s="3"/>
      <c r="E534" s="18"/>
      <c r="F534" s="8"/>
      <c r="G534" s="8"/>
      <c r="H534" s="8"/>
      <c r="I534" s="8"/>
    </row>
    <row r="535" spans="1:9" ht="14.25" customHeight="1" x14ac:dyDescent="0.25">
      <c r="A535" s="3"/>
      <c r="B535" s="3"/>
      <c r="C535" s="3"/>
      <c r="D535" s="3"/>
      <c r="E535" s="18"/>
      <c r="F535" s="8"/>
      <c r="G535" s="8"/>
      <c r="H535" s="8"/>
      <c r="I535" s="8"/>
    </row>
    <row r="536" spans="1:9" ht="14.25" customHeight="1" x14ac:dyDescent="0.25">
      <c r="A536" s="3"/>
      <c r="B536" s="3"/>
      <c r="C536" s="3"/>
      <c r="D536" s="3"/>
      <c r="E536" s="18"/>
      <c r="F536" s="8"/>
      <c r="G536" s="8"/>
      <c r="H536" s="8"/>
      <c r="I536" s="8"/>
    </row>
    <row r="537" spans="1:9" ht="14.25" customHeight="1" x14ac:dyDescent="0.25">
      <c r="A537" s="3"/>
      <c r="B537" s="3"/>
      <c r="C537" s="3"/>
      <c r="D537" s="3"/>
      <c r="E537" s="18"/>
      <c r="F537" s="8"/>
      <c r="G537" s="8"/>
      <c r="H537" s="8"/>
      <c r="I537" s="8"/>
    </row>
    <row r="538" spans="1:9" ht="14.25" customHeight="1" x14ac:dyDescent="0.25">
      <c r="A538" s="3"/>
      <c r="B538" s="3"/>
      <c r="C538" s="3"/>
      <c r="D538" s="3"/>
      <c r="E538" s="18"/>
      <c r="F538" s="8"/>
      <c r="G538" s="8"/>
      <c r="H538" s="8"/>
      <c r="I538" s="8"/>
    </row>
    <row r="539" spans="1:9" ht="14.25" customHeight="1" x14ac:dyDescent="0.25">
      <c r="A539" s="3"/>
      <c r="B539" s="3"/>
      <c r="C539" s="3"/>
      <c r="D539" s="3"/>
      <c r="E539" s="18"/>
      <c r="F539" s="8"/>
      <c r="G539" s="8"/>
      <c r="H539" s="8"/>
      <c r="I539" s="8"/>
    </row>
    <row r="540" spans="1:9" ht="14.25" customHeight="1" x14ac:dyDescent="0.25">
      <c r="A540" s="3"/>
      <c r="B540" s="3"/>
      <c r="C540" s="3"/>
      <c r="D540" s="3"/>
      <c r="E540" s="18"/>
      <c r="F540" s="8"/>
      <c r="G540" s="8"/>
      <c r="H540" s="8"/>
      <c r="I540" s="8"/>
    </row>
    <row r="541" spans="1:9" ht="14.25" customHeight="1" x14ac:dyDescent="0.25">
      <c r="A541" s="3"/>
      <c r="B541" s="3"/>
      <c r="C541" s="3"/>
      <c r="D541" s="3"/>
      <c r="E541" s="18"/>
      <c r="F541" s="8"/>
      <c r="G541" s="8"/>
      <c r="H541" s="8"/>
      <c r="I541" s="8"/>
    </row>
    <row r="542" spans="1:9" ht="14.25" customHeight="1" x14ac:dyDescent="0.25">
      <c r="A542" s="3"/>
      <c r="B542" s="3"/>
      <c r="C542" s="3"/>
      <c r="D542" s="3"/>
      <c r="E542" s="18"/>
      <c r="F542" s="8"/>
      <c r="G542" s="8"/>
      <c r="H542" s="8"/>
      <c r="I542" s="8"/>
    </row>
    <row r="543" spans="1:9" ht="14.25" customHeight="1" x14ac:dyDescent="0.25">
      <c r="A543" s="3"/>
      <c r="B543" s="3"/>
      <c r="C543" s="3"/>
      <c r="D543" s="3"/>
      <c r="E543" s="18"/>
      <c r="F543" s="8"/>
      <c r="G543" s="8"/>
      <c r="H543" s="8"/>
      <c r="I543" s="8"/>
    </row>
    <row r="544" spans="1:9" ht="14.25" customHeight="1" x14ac:dyDescent="0.25">
      <c r="A544" s="3"/>
      <c r="B544" s="3"/>
      <c r="C544" s="3"/>
      <c r="D544" s="3"/>
      <c r="E544" s="18"/>
      <c r="F544" s="8"/>
      <c r="G544" s="8"/>
      <c r="H544" s="8"/>
      <c r="I544" s="8"/>
    </row>
    <row r="545" spans="1:9" ht="14.25" customHeight="1" x14ac:dyDescent="0.25">
      <c r="A545" s="3"/>
      <c r="B545" s="3"/>
      <c r="C545" s="3"/>
      <c r="D545" s="3"/>
      <c r="E545" s="18"/>
      <c r="F545" s="8"/>
      <c r="G545" s="8"/>
      <c r="H545" s="8"/>
      <c r="I545" s="8"/>
    </row>
    <row r="546" spans="1:9" ht="14.25" customHeight="1" x14ac:dyDescent="0.25">
      <c r="A546" s="3"/>
      <c r="B546" s="3"/>
      <c r="C546" s="3"/>
      <c r="D546" s="3"/>
      <c r="E546" s="18"/>
      <c r="F546" s="8"/>
      <c r="G546" s="8"/>
      <c r="H546" s="8"/>
      <c r="I546" s="8"/>
    </row>
    <row r="547" spans="1:9" ht="14.25" customHeight="1" x14ac:dyDescent="0.25">
      <c r="A547" s="3"/>
      <c r="B547" s="3"/>
      <c r="C547" s="3"/>
      <c r="D547" s="3"/>
      <c r="E547" s="18"/>
      <c r="F547" s="8"/>
      <c r="G547" s="8"/>
      <c r="H547" s="8"/>
      <c r="I547" s="8"/>
    </row>
    <row r="548" spans="1:9" ht="14.25" customHeight="1" x14ac:dyDescent="0.25">
      <c r="A548" s="3"/>
      <c r="B548" s="3"/>
      <c r="C548" s="3"/>
      <c r="D548" s="3"/>
      <c r="E548" s="18"/>
      <c r="F548" s="8"/>
      <c r="G548" s="8"/>
      <c r="H548" s="8"/>
      <c r="I548" s="8"/>
    </row>
    <row r="549" spans="1:9" ht="14.25" customHeight="1" x14ac:dyDescent="0.25">
      <c r="A549" s="3"/>
      <c r="B549" s="3"/>
      <c r="C549" s="3"/>
      <c r="D549" s="3"/>
      <c r="E549" s="18"/>
      <c r="F549" s="8"/>
      <c r="G549" s="8"/>
      <c r="H549" s="8"/>
      <c r="I549" s="8"/>
    </row>
    <row r="550" spans="1:9" ht="14.25" customHeight="1" x14ac:dyDescent="0.25">
      <c r="A550" s="3"/>
      <c r="B550" s="3"/>
      <c r="C550" s="3"/>
      <c r="D550" s="3"/>
      <c r="E550" s="18"/>
      <c r="F550" s="8"/>
      <c r="G550" s="8"/>
      <c r="H550" s="8"/>
      <c r="I550" s="8"/>
    </row>
    <row r="551" spans="1:9" ht="14.25" customHeight="1" x14ac:dyDescent="0.25">
      <c r="A551" s="3"/>
      <c r="B551" s="3"/>
      <c r="C551" s="3"/>
      <c r="D551" s="3"/>
      <c r="E551" s="18"/>
      <c r="F551" s="8"/>
      <c r="G551" s="8"/>
      <c r="H551" s="8"/>
      <c r="I551" s="8"/>
    </row>
    <row r="552" spans="1:9" ht="14.25" customHeight="1" x14ac:dyDescent="0.25">
      <c r="A552" s="3"/>
      <c r="B552" s="3"/>
      <c r="C552" s="3"/>
      <c r="D552" s="3"/>
      <c r="E552" s="18"/>
      <c r="F552" s="8"/>
      <c r="G552" s="8"/>
      <c r="H552" s="8"/>
      <c r="I552" s="8"/>
    </row>
    <row r="553" spans="1:9" ht="14.25" customHeight="1" x14ac:dyDescent="0.25">
      <c r="A553" s="3"/>
      <c r="B553" s="3"/>
      <c r="C553" s="3"/>
      <c r="D553" s="3"/>
      <c r="E553" s="18"/>
      <c r="F553" s="8"/>
      <c r="G553" s="8"/>
      <c r="H553" s="8"/>
      <c r="I553" s="8"/>
    </row>
    <row r="554" spans="1:9" ht="14.25" customHeight="1" x14ac:dyDescent="0.25">
      <c r="A554" s="3"/>
      <c r="B554" s="3"/>
      <c r="C554" s="3"/>
      <c r="D554" s="3"/>
      <c r="E554" s="18"/>
      <c r="F554" s="8"/>
      <c r="G554" s="8"/>
      <c r="H554" s="8"/>
      <c r="I554" s="8"/>
    </row>
    <row r="555" spans="1:9" ht="14.25" customHeight="1" x14ac:dyDescent="0.25">
      <c r="A555" s="3"/>
      <c r="B555" s="3"/>
      <c r="C555" s="3"/>
      <c r="D555" s="3"/>
      <c r="E555" s="18"/>
      <c r="F555" s="8"/>
      <c r="G555" s="8"/>
      <c r="H555" s="8"/>
      <c r="I555" s="8"/>
    </row>
    <row r="556" spans="1:9" ht="14.25" customHeight="1" x14ac:dyDescent="0.25">
      <c r="A556" s="3"/>
      <c r="B556" s="3"/>
      <c r="C556" s="3"/>
      <c r="D556" s="3"/>
      <c r="E556" s="18"/>
      <c r="F556" s="8"/>
      <c r="G556" s="8"/>
      <c r="H556" s="8"/>
      <c r="I556" s="8"/>
    </row>
    <row r="557" spans="1:9" ht="14.25" customHeight="1" x14ac:dyDescent="0.25">
      <c r="A557" s="3"/>
      <c r="B557" s="3"/>
      <c r="C557" s="3"/>
      <c r="D557" s="3"/>
      <c r="E557" s="18"/>
      <c r="F557" s="8"/>
      <c r="G557" s="8"/>
      <c r="H557" s="8"/>
      <c r="I557" s="8"/>
    </row>
    <row r="558" spans="1:9" ht="14.25" customHeight="1" x14ac:dyDescent="0.25">
      <c r="A558" s="3"/>
      <c r="B558" s="3"/>
      <c r="C558" s="3"/>
      <c r="D558" s="3"/>
      <c r="E558" s="18"/>
      <c r="F558" s="8"/>
      <c r="G558" s="8"/>
      <c r="H558" s="8"/>
      <c r="I558" s="8"/>
    </row>
    <row r="559" spans="1:9" ht="14.25" customHeight="1" x14ac:dyDescent="0.25">
      <c r="A559" s="3"/>
      <c r="B559" s="3"/>
      <c r="C559" s="3"/>
      <c r="D559" s="3"/>
      <c r="E559" s="18"/>
      <c r="F559" s="8"/>
      <c r="G559" s="8"/>
      <c r="H559" s="8"/>
      <c r="I559" s="8"/>
    </row>
    <row r="560" spans="1:9" ht="14.25" customHeight="1" x14ac:dyDescent="0.25">
      <c r="A560" s="3"/>
      <c r="B560" s="3"/>
      <c r="C560" s="3"/>
      <c r="D560" s="3"/>
      <c r="E560" s="18"/>
      <c r="F560" s="8"/>
      <c r="G560" s="8"/>
      <c r="H560" s="8"/>
      <c r="I560" s="8"/>
    </row>
    <row r="561" spans="1:9" ht="14.25" customHeight="1" x14ac:dyDescent="0.25">
      <c r="A561" s="3"/>
      <c r="B561" s="3"/>
      <c r="C561" s="3"/>
      <c r="D561" s="3"/>
      <c r="E561" s="18"/>
      <c r="F561" s="8"/>
      <c r="G561" s="8"/>
      <c r="H561" s="8"/>
      <c r="I561" s="8"/>
    </row>
    <row r="562" spans="1:9" ht="14.25" customHeight="1" x14ac:dyDescent="0.25">
      <c r="A562" s="3"/>
      <c r="B562" s="3"/>
      <c r="C562" s="3"/>
      <c r="D562" s="3"/>
      <c r="E562" s="18"/>
      <c r="F562" s="8"/>
      <c r="G562" s="8"/>
      <c r="H562" s="8"/>
      <c r="I562" s="8"/>
    </row>
    <row r="563" spans="1:9" ht="14.25" customHeight="1" x14ac:dyDescent="0.25">
      <c r="A563" s="3"/>
      <c r="B563" s="3"/>
      <c r="C563" s="3"/>
      <c r="D563" s="3"/>
      <c r="E563" s="18"/>
      <c r="F563" s="8"/>
      <c r="G563" s="8"/>
      <c r="H563" s="8"/>
      <c r="I563" s="8"/>
    </row>
    <row r="564" spans="1:9" ht="14.25" customHeight="1" x14ac:dyDescent="0.25">
      <c r="A564" s="3"/>
      <c r="B564" s="3"/>
      <c r="C564" s="3"/>
      <c r="D564" s="3"/>
      <c r="E564" s="18"/>
      <c r="F564" s="8"/>
      <c r="G564" s="8"/>
      <c r="H564" s="8"/>
      <c r="I564" s="8"/>
    </row>
    <row r="565" spans="1:9" ht="14.25" customHeight="1" x14ac:dyDescent="0.25">
      <c r="A565" s="3"/>
      <c r="B565" s="3"/>
      <c r="C565" s="3"/>
      <c r="D565" s="3"/>
      <c r="E565" s="18"/>
      <c r="F565" s="8"/>
      <c r="G565" s="8"/>
      <c r="H565" s="8"/>
      <c r="I565" s="8"/>
    </row>
    <row r="566" spans="1:9" ht="14.25" customHeight="1" x14ac:dyDescent="0.25">
      <c r="A566" s="3"/>
      <c r="B566" s="3"/>
      <c r="C566" s="3"/>
      <c r="D566" s="3"/>
      <c r="E566" s="18"/>
      <c r="F566" s="8"/>
      <c r="G566" s="8"/>
      <c r="H566" s="8"/>
      <c r="I566" s="8"/>
    </row>
    <row r="567" spans="1:9" ht="14.25" customHeight="1" x14ac:dyDescent="0.25">
      <c r="A567" s="3"/>
      <c r="B567" s="3"/>
      <c r="C567" s="3"/>
      <c r="D567" s="3"/>
      <c r="E567" s="18"/>
      <c r="F567" s="8"/>
      <c r="G567" s="8"/>
      <c r="H567" s="8"/>
      <c r="I567" s="8"/>
    </row>
    <row r="568" spans="1:9" ht="14.25" customHeight="1" x14ac:dyDescent="0.25">
      <c r="A568" s="3"/>
      <c r="B568" s="3"/>
      <c r="C568" s="3"/>
      <c r="D568" s="3"/>
      <c r="E568" s="18"/>
      <c r="F568" s="8"/>
      <c r="G568" s="8"/>
      <c r="H568" s="8"/>
      <c r="I568" s="8"/>
    </row>
    <row r="569" spans="1:9" ht="14.25" customHeight="1" x14ac:dyDescent="0.25">
      <c r="A569" s="3"/>
      <c r="B569" s="3"/>
      <c r="C569" s="3"/>
      <c r="D569" s="3"/>
      <c r="E569" s="18"/>
      <c r="F569" s="8"/>
      <c r="G569" s="8"/>
      <c r="H569" s="8"/>
      <c r="I569" s="8"/>
    </row>
    <row r="570" spans="1:9" ht="14.25" customHeight="1" x14ac:dyDescent="0.25">
      <c r="A570" s="3"/>
      <c r="B570" s="3"/>
      <c r="C570" s="3"/>
      <c r="D570" s="3"/>
      <c r="E570" s="18"/>
      <c r="F570" s="8"/>
      <c r="G570" s="8"/>
      <c r="H570" s="8"/>
      <c r="I570" s="8"/>
    </row>
    <row r="571" spans="1:9" ht="14.25" customHeight="1" x14ac:dyDescent="0.25">
      <c r="A571" s="3"/>
      <c r="B571" s="3"/>
      <c r="C571" s="3"/>
      <c r="D571" s="3"/>
      <c r="E571" s="18"/>
      <c r="F571" s="8"/>
      <c r="G571" s="8"/>
      <c r="H571" s="8"/>
      <c r="I571" s="8"/>
    </row>
    <row r="572" spans="1:9" ht="14.25" customHeight="1" x14ac:dyDescent="0.25">
      <c r="A572" s="3"/>
      <c r="B572" s="3"/>
      <c r="C572" s="3"/>
      <c r="D572" s="3"/>
      <c r="E572" s="18"/>
      <c r="F572" s="8"/>
      <c r="G572" s="8"/>
      <c r="H572" s="8"/>
      <c r="I572" s="8"/>
    </row>
    <row r="573" spans="1:9" ht="14.25" customHeight="1" x14ac:dyDescent="0.25">
      <c r="A573" s="3"/>
      <c r="B573" s="3"/>
      <c r="C573" s="3"/>
      <c r="D573" s="3"/>
      <c r="E573" s="18"/>
      <c r="F573" s="8"/>
      <c r="G573" s="8"/>
      <c r="H573" s="8"/>
      <c r="I573" s="8"/>
    </row>
    <row r="574" spans="1:9" ht="14.25" customHeight="1" x14ac:dyDescent="0.25">
      <c r="A574" s="3"/>
      <c r="B574" s="3"/>
      <c r="C574" s="3"/>
      <c r="D574" s="3"/>
      <c r="E574" s="18"/>
      <c r="F574" s="8"/>
      <c r="G574" s="8"/>
      <c r="H574" s="8"/>
      <c r="I574" s="8"/>
    </row>
    <row r="575" spans="1:9" ht="14.25" customHeight="1" x14ac:dyDescent="0.25">
      <c r="A575" s="3"/>
      <c r="B575" s="3"/>
      <c r="C575" s="3"/>
      <c r="D575" s="3"/>
      <c r="E575" s="18"/>
      <c r="F575" s="8"/>
      <c r="G575" s="8"/>
      <c r="H575" s="8"/>
      <c r="I575" s="8"/>
    </row>
    <row r="576" spans="1:9" ht="14.25" customHeight="1" x14ac:dyDescent="0.25">
      <c r="A576" s="3"/>
      <c r="B576" s="3"/>
      <c r="C576" s="3"/>
      <c r="D576" s="3"/>
      <c r="E576" s="18"/>
      <c r="F576" s="8"/>
      <c r="G576" s="8"/>
      <c r="H576" s="8"/>
      <c r="I576" s="8"/>
    </row>
    <row r="577" spans="1:9" ht="14.25" customHeight="1" x14ac:dyDescent="0.25">
      <c r="A577" s="3"/>
      <c r="B577" s="3"/>
      <c r="C577" s="3"/>
      <c r="D577" s="3"/>
      <c r="E577" s="18"/>
      <c r="F577" s="8"/>
      <c r="G577" s="8"/>
      <c r="H577" s="8"/>
      <c r="I577" s="8"/>
    </row>
    <row r="578" spans="1:9" ht="14.25" customHeight="1" x14ac:dyDescent="0.25">
      <c r="A578" s="3"/>
      <c r="B578" s="3"/>
      <c r="C578" s="3"/>
      <c r="D578" s="3"/>
      <c r="E578" s="18"/>
      <c r="F578" s="8"/>
      <c r="G578" s="8"/>
      <c r="H578" s="8"/>
      <c r="I578" s="8"/>
    </row>
    <row r="579" spans="1:9" ht="14.25" customHeight="1" x14ac:dyDescent="0.25">
      <c r="A579" s="3"/>
      <c r="B579" s="3"/>
      <c r="C579" s="3"/>
      <c r="D579" s="3"/>
      <c r="E579" s="18"/>
      <c r="F579" s="8"/>
      <c r="G579" s="8"/>
      <c r="H579" s="8"/>
      <c r="I579" s="8"/>
    </row>
    <row r="580" spans="1:9" ht="14.25" customHeight="1" x14ac:dyDescent="0.25">
      <c r="A580" s="3"/>
      <c r="B580" s="3"/>
      <c r="C580" s="3"/>
      <c r="D580" s="3"/>
      <c r="E580" s="18"/>
      <c r="F580" s="8"/>
      <c r="G580" s="8"/>
      <c r="H580" s="8"/>
      <c r="I580" s="8"/>
    </row>
    <row r="581" spans="1:9" ht="14.25" customHeight="1" x14ac:dyDescent="0.25">
      <c r="A581" s="3"/>
      <c r="B581" s="3"/>
      <c r="C581" s="3"/>
      <c r="D581" s="3"/>
      <c r="E581" s="18"/>
      <c r="F581" s="8"/>
      <c r="G581" s="8"/>
      <c r="H581" s="8"/>
      <c r="I581" s="8"/>
    </row>
    <row r="582" spans="1:9" ht="14.25" customHeight="1" x14ac:dyDescent="0.25">
      <c r="A582" s="3"/>
      <c r="B582" s="3"/>
      <c r="C582" s="3"/>
      <c r="D582" s="3"/>
      <c r="E582" s="18"/>
      <c r="F582" s="8"/>
      <c r="G582" s="8"/>
      <c r="H582" s="8"/>
      <c r="I582" s="8"/>
    </row>
    <row r="583" spans="1:9" ht="14.25" customHeight="1" x14ac:dyDescent="0.25">
      <c r="A583" s="3"/>
      <c r="B583" s="3"/>
      <c r="C583" s="3"/>
      <c r="D583" s="3"/>
      <c r="E583" s="18"/>
      <c r="F583" s="8"/>
      <c r="G583" s="8"/>
      <c r="H583" s="8"/>
      <c r="I583" s="8"/>
    </row>
    <row r="584" spans="1:9" ht="14.25" customHeight="1" x14ac:dyDescent="0.25">
      <c r="A584" s="3"/>
      <c r="B584" s="3"/>
      <c r="C584" s="3"/>
      <c r="D584" s="3"/>
      <c r="E584" s="18"/>
      <c r="F584" s="8"/>
      <c r="G584" s="8"/>
      <c r="H584" s="8"/>
      <c r="I584" s="8"/>
    </row>
    <row r="585" spans="1:9" ht="14.25" customHeight="1" x14ac:dyDescent="0.25">
      <c r="A585" s="3"/>
      <c r="B585" s="3"/>
      <c r="C585" s="3"/>
      <c r="D585" s="3"/>
      <c r="E585" s="18"/>
      <c r="F585" s="8"/>
      <c r="G585" s="8"/>
      <c r="H585" s="8"/>
      <c r="I585" s="8"/>
    </row>
    <row r="586" spans="1:9" ht="14.25" customHeight="1" x14ac:dyDescent="0.25">
      <c r="A586" s="3"/>
      <c r="B586" s="3"/>
      <c r="C586" s="3"/>
      <c r="D586" s="3"/>
      <c r="E586" s="18"/>
      <c r="F586" s="8"/>
      <c r="G586" s="8"/>
      <c r="H586" s="8"/>
      <c r="I586" s="8"/>
    </row>
    <row r="587" spans="1:9" ht="14.25" customHeight="1" x14ac:dyDescent="0.25">
      <c r="A587" s="3"/>
      <c r="B587" s="3"/>
      <c r="C587" s="3"/>
      <c r="D587" s="3"/>
      <c r="E587" s="18"/>
      <c r="F587" s="8"/>
      <c r="G587" s="8"/>
      <c r="H587" s="8"/>
      <c r="I587" s="8"/>
    </row>
    <row r="588" spans="1:9" ht="14.25" customHeight="1" x14ac:dyDescent="0.25">
      <c r="A588" s="3"/>
      <c r="B588" s="3"/>
      <c r="C588" s="3"/>
      <c r="D588" s="3"/>
      <c r="E588" s="18"/>
      <c r="F588" s="8"/>
      <c r="G588" s="8"/>
      <c r="H588" s="8"/>
      <c r="I588" s="8"/>
    </row>
    <row r="589" spans="1:9" ht="14.25" customHeight="1" x14ac:dyDescent="0.25">
      <c r="A589" s="3"/>
      <c r="B589" s="3"/>
      <c r="C589" s="3"/>
      <c r="D589" s="3"/>
      <c r="E589" s="18"/>
      <c r="F589" s="8"/>
      <c r="G589" s="8"/>
      <c r="H589" s="8"/>
      <c r="I589" s="8"/>
    </row>
    <row r="590" spans="1:9" ht="14.25" customHeight="1" x14ac:dyDescent="0.25">
      <c r="A590" s="3"/>
      <c r="B590" s="3"/>
      <c r="C590" s="3"/>
      <c r="D590" s="3"/>
      <c r="E590" s="18"/>
      <c r="F590" s="8"/>
      <c r="G590" s="8"/>
      <c r="H590" s="8"/>
      <c r="I590" s="8"/>
    </row>
    <row r="591" spans="1:9" ht="14.25" customHeight="1" x14ac:dyDescent="0.25">
      <c r="A591" s="3"/>
      <c r="B591" s="3"/>
      <c r="C591" s="3"/>
      <c r="D591" s="3"/>
      <c r="E591" s="18"/>
      <c r="F591" s="8"/>
      <c r="G591" s="8"/>
      <c r="H591" s="8"/>
      <c r="I591" s="8"/>
    </row>
    <row r="592" spans="1:9" ht="14.25" customHeight="1" x14ac:dyDescent="0.25">
      <c r="A592" s="3"/>
      <c r="B592" s="3"/>
      <c r="C592" s="3"/>
      <c r="D592" s="3"/>
      <c r="E592" s="18"/>
      <c r="F592" s="8"/>
      <c r="G592" s="8"/>
      <c r="H592" s="8"/>
      <c r="I592" s="8"/>
    </row>
    <row r="593" spans="1:9" ht="14.25" customHeight="1" x14ac:dyDescent="0.25">
      <c r="A593" s="3"/>
      <c r="B593" s="3"/>
      <c r="C593" s="3"/>
      <c r="D593" s="3"/>
      <c r="E593" s="18"/>
      <c r="F593" s="8"/>
      <c r="G593" s="8"/>
      <c r="H593" s="8"/>
      <c r="I593" s="8"/>
    </row>
    <row r="594" spans="1:9" ht="14.25" customHeight="1" x14ac:dyDescent="0.25">
      <c r="A594" s="3"/>
      <c r="B594" s="3"/>
      <c r="C594" s="3"/>
      <c r="D594" s="3"/>
      <c r="E594" s="18"/>
      <c r="F594" s="8"/>
      <c r="G594" s="8"/>
      <c r="H594" s="8"/>
      <c r="I594" s="8"/>
    </row>
    <row r="595" spans="1:9" ht="14.25" customHeight="1" x14ac:dyDescent="0.25">
      <c r="A595" s="3"/>
      <c r="B595" s="3"/>
      <c r="C595" s="3"/>
      <c r="D595" s="3"/>
      <c r="E595" s="18"/>
      <c r="F595" s="8"/>
      <c r="G595" s="8"/>
      <c r="H595" s="8"/>
      <c r="I595" s="8"/>
    </row>
    <row r="596" spans="1:9" ht="14.25" customHeight="1" x14ac:dyDescent="0.25">
      <c r="A596" s="3"/>
      <c r="B596" s="3"/>
      <c r="C596" s="3"/>
      <c r="D596" s="3"/>
      <c r="E596" s="18"/>
      <c r="F596" s="8"/>
      <c r="G596" s="8"/>
      <c r="H596" s="8"/>
      <c r="I596" s="8"/>
    </row>
    <row r="597" spans="1:9" ht="14.25" customHeight="1" x14ac:dyDescent="0.25">
      <c r="A597" s="3"/>
      <c r="B597" s="3"/>
      <c r="C597" s="3"/>
      <c r="D597" s="3"/>
      <c r="E597" s="18"/>
      <c r="F597" s="8"/>
      <c r="G597" s="8"/>
      <c r="H597" s="8"/>
      <c r="I597" s="8"/>
    </row>
    <row r="598" spans="1:9" ht="14.25" customHeight="1" x14ac:dyDescent="0.25">
      <c r="A598" s="3"/>
      <c r="B598" s="3"/>
      <c r="C598" s="3"/>
      <c r="D598" s="3"/>
      <c r="E598" s="18"/>
      <c r="F598" s="8"/>
      <c r="G598" s="8"/>
      <c r="H598" s="8"/>
      <c r="I598" s="8"/>
    </row>
    <row r="599" spans="1:9" ht="14.25" customHeight="1" x14ac:dyDescent="0.25">
      <c r="A599" s="3"/>
      <c r="B599" s="3"/>
      <c r="C599" s="3"/>
      <c r="D599" s="3"/>
      <c r="E599" s="18"/>
      <c r="F599" s="8"/>
      <c r="G599" s="8"/>
      <c r="H599" s="8"/>
      <c r="I599" s="8"/>
    </row>
    <row r="600" spans="1:9" ht="14.25" customHeight="1" x14ac:dyDescent="0.25">
      <c r="A600" s="3"/>
      <c r="B600" s="3"/>
      <c r="C600" s="3"/>
      <c r="D600" s="3"/>
      <c r="E600" s="18"/>
      <c r="F600" s="8"/>
      <c r="G600" s="8"/>
      <c r="H600" s="8"/>
      <c r="I600" s="8"/>
    </row>
    <row r="601" spans="1:9" ht="14.25" customHeight="1" x14ac:dyDescent="0.25">
      <c r="A601" s="3"/>
      <c r="B601" s="3"/>
      <c r="C601" s="3"/>
      <c r="D601" s="3"/>
      <c r="E601" s="18"/>
      <c r="F601" s="8"/>
      <c r="G601" s="8"/>
      <c r="H601" s="8"/>
      <c r="I601" s="8"/>
    </row>
    <row r="602" spans="1:9" ht="14.25" customHeight="1" x14ac:dyDescent="0.25">
      <c r="A602" s="3"/>
      <c r="B602" s="3"/>
      <c r="C602" s="3"/>
      <c r="D602" s="3"/>
      <c r="E602" s="18"/>
      <c r="F602" s="8"/>
      <c r="G602" s="8"/>
      <c r="H602" s="8"/>
      <c r="I602" s="8"/>
    </row>
    <row r="603" spans="1:9" ht="14.25" customHeight="1" x14ac:dyDescent="0.25">
      <c r="A603" s="3"/>
      <c r="B603" s="3"/>
      <c r="C603" s="3"/>
      <c r="D603" s="3"/>
      <c r="E603" s="18"/>
      <c r="F603" s="8"/>
      <c r="G603" s="8"/>
      <c r="H603" s="8"/>
      <c r="I603" s="8"/>
    </row>
    <row r="604" spans="1:9" ht="14.25" customHeight="1" x14ac:dyDescent="0.25">
      <c r="A604" s="3"/>
      <c r="B604" s="3"/>
      <c r="C604" s="3"/>
      <c r="D604" s="3"/>
      <c r="E604" s="18"/>
      <c r="F604" s="8"/>
      <c r="G604" s="8"/>
      <c r="H604" s="8"/>
      <c r="I604" s="8"/>
    </row>
    <row r="605" spans="1:9" ht="14.25" customHeight="1" x14ac:dyDescent="0.25">
      <c r="A605" s="3"/>
      <c r="B605" s="3"/>
      <c r="C605" s="3"/>
      <c r="D605" s="3"/>
      <c r="E605" s="18"/>
      <c r="F605" s="8"/>
      <c r="G605" s="8"/>
      <c r="H605" s="8"/>
      <c r="I605" s="8"/>
    </row>
    <row r="606" spans="1:9" ht="14.25" customHeight="1" x14ac:dyDescent="0.25">
      <c r="A606" s="3"/>
      <c r="B606" s="3"/>
      <c r="C606" s="3"/>
      <c r="D606" s="3"/>
      <c r="E606" s="18"/>
      <c r="F606" s="8"/>
      <c r="G606" s="8"/>
      <c r="H606" s="8"/>
      <c r="I606" s="8"/>
    </row>
    <row r="607" spans="1:9" ht="14.25" customHeight="1" x14ac:dyDescent="0.25">
      <c r="A607" s="3"/>
      <c r="B607" s="3"/>
      <c r="C607" s="3"/>
      <c r="D607" s="3"/>
      <c r="E607" s="18"/>
      <c r="F607" s="8"/>
      <c r="G607" s="8"/>
      <c r="H607" s="8"/>
      <c r="I607" s="8"/>
    </row>
    <row r="608" spans="1:9" ht="14.25" customHeight="1" x14ac:dyDescent="0.25">
      <c r="A608" s="3"/>
      <c r="B608" s="3"/>
      <c r="C608" s="3"/>
      <c r="D608" s="3"/>
      <c r="E608" s="18"/>
      <c r="F608" s="8"/>
      <c r="G608" s="8"/>
      <c r="H608" s="8"/>
      <c r="I608" s="8"/>
    </row>
    <row r="609" spans="1:9" ht="14.25" customHeight="1" x14ac:dyDescent="0.25">
      <c r="A609" s="3"/>
      <c r="B609" s="3"/>
      <c r="C609" s="3"/>
      <c r="D609" s="3"/>
      <c r="E609" s="18"/>
      <c r="F609" s="8"/>
      <c r="G609" s="8"/>
      <c r="H609" s="8"/>
      <c r="I609" s="8"/>
    </row>
    <row r="610" spans="1:9" ht="14.25" customHeight="1" x14ac:dyDescent="0.25">
      <c r="A610" s="3"/>
      <c r="B610" s="3"/>
      <c r="C610" s="3"/>
      <c r="D610" s="3"/>
      <c r="E610" s="18"/>
      <c r="F610" s="8"/>
      <c r="G610" s="8"/>
      <c r="H610" s="8"/>
      <c r="I610" s="8"/>
    </row>
    <row r="611" spans="1:9" ht="14.25" customHeight="1" x14ac:dyDescent="0.25">
      <c r="A611" s="3"/>
      <c r="B611" s="3"/>
      <c r="C611" s="3"/>
      <c r="D611" s="3"/>
      <c r="E611" s="18"/>
      <c r="F611" s="8"/>
      <c r="G611" s="8"/>
      <c r="H611" s="8"/>
      <c r="I611" s="8"/>
    </row>
    <row r="612" spans="1:9" ht="14.25" customHeight="1" x14ac:dyDescent="0.25">
      <c r="A612" s="3"/>
      <c r="B612" s="3"/>
      <c r="C612" s="3"/>
      <c r="D612" s="3"/>
      <c r="E612" s="18"/>
      <c r="F612" s="8"/>
      <c r="G612" s="8"/>
      <c r="H612" s="8"/>
      <c r="I612" s="8"/>
    </row>
    <row r="613" spans="1:9" ht="14.25" customHeight="1" x14ac:dyDescent="0.25">
      <c r="A613" s="3"/>
      <c r="B613" s="3"/>
      <c r="C613" s="3"/>
      <c r="D613" s="3"/>
      <c r="E613" s="18"/>
      <c r="F613" s="8"/>
      <c r="G613" s="8"/>
      <c r="H613" s="8"/>
      <c r="I613" s="8"/>
    </row>
    <row r="614" spans="1:9" ht="14.25" customHeight="1" x14ac:dyDescent="0.25">
      <c r="A614" s="3"/>
      <c r="B614" s="3"/>
      <c r="C614" s="3"/>
      <c r="D614" s="3"/>
      <c r="E614" s="18"/>
      <c r="F614" s="8"/>
      <c r="G614" s="8"/>
      <c r="H614" s="8"/>
      <c r="I614" s="8"/>
    </row>
    <row r="615" spans="1:9" ht="14.25" customHeight="1" x14ac:dyDescent="0.25">
      <c r="A615" s="3"/>
      <c r="B615" s="3"/>
      <c r="C615" s="3"/>
      <c r="D615" s="3"/>
      <c r="E615" s="18"/>
      <c r="F615" s="8"/>
      <c r="G615" s="8"/>
      <c r="H615" s="8"/>
      <c r="I615" s="8"/>
    </row>
    <row r="616" spans="1:9" ht="14.25" customHeight="1" x14ac:dyDescent="0.25">
      <c r="A616" s="3"/>
      <c r="B616" s="3"/>
      <c r="C616" s="3"/>
      <c r="D616" s="3"/>
      <c r="E616" s="18"/>
      <c r="F616" s="8"/>
      <c r="G616" s="8"/>
      <c r="H616" s="8"/>
      <c r="I616" s="8"/>
    </row>
    <row r="617" spans="1:9" ht="14.25" customHeight="1" x14ac:dyDescent="0.25">
      <c r="A617" s="3"/>
      <c r="B617" s="3"/>
      <c r="C617" s="3"/>
      <c r="D617" s="3"/>
      <c r="E617" s="18"/>
      <c r="F617" s="8"/>
      <c r="G617" s="8"/>
      <c r="H617" s="8"/>
      <c r="I617" s="8"/>
    </row>
    <row r="618" spans="1:9" ht="14.25" customHeight="1" x14ac:dyDescent="0.25">
      <c r="A618" s="3"/>
      <c r="B618" s="3"/>
      <c r="C618" s="3"/>
      <c r="D618" s="3"/>
      <c r="E618" s="18"/>
      <c r="F618" s="8"/>
      <c r="G618" s="8"/>
      <c r="H618" s="8"/>
      <c r="I618" s="8"/>
    </row>
    <row r="619" spans="1:9" ht="14.25" customHeight="1" x14ac:dyDescent="0.25">
      <c r="A619" s="3"/>
      <c r="B619" s="3"/>
      <c r="C619" s="3"/>
      <c r="D619" s="3"/>
      <c r="E619" s="18"/>
      <c r="F619" s="8"/>
      <c r="G619" s="8"/>
      <c r="H619" s="8"/>
      <c r="I619" s="8"/>
    </row>
    <row r="620" spans="1:9" ht="14.25" customHeight="1" x14ac:dyDescent="0.25">
      <c r="A620" s="3"/>
      <c r="B620" s="3"/>
      <c r="C620" s="3"/>
      <c r="D620" s="3"/>
      <c r="E620" s="18"/>
      <c r="F620" s="8"/>
      <c r="G620" s="8"/>
      <c r="H620" s="8"/>
      <c r="I620" s="8"/>
    </row>
    <row r="621" spans="1:9" ht="14.25" customHeight="1" x14ac:dyDescent="0.25">
      <c r="A621" s="3"/>
      <c r="B621" s="3"/>
      <c r="C621" s="3"/>
      <c r="D621" s="3"/>
      <c r="E621" s="18"/>
      <c r="F621" s="8"/>
      <c r="G621" s="8"/>
      <c r="H621" s="8"/>
      <c r="I621" s="8"/>
    </row>
    <row r="622" spans="1:9" ht="14.25" customHeight="1" x14ac:dyDescent="0.25">
      <c r="A622" s="3"/>
      <c r="B622" s="3"/>
      <c r="C622" s="3"/>
      <c r="D622" s="3"/>
      <c r="E622" s="18"/>
      <c r="F622" s="8"/>
      <c r="G622" s="8"/>
      <c r="H622" s="8"/>
      <c r="I622" s="8"/>
    </row>
    <row r="623" spans="1:9" ht="14.25" customHeight="1" x14ac:dyDescent="0.25">
      <c r="A623" s="3"/>
      <c r="B623" s="3"/>
      <c r="C623" s="3"/>
      <c r="D623" s="3"/>
      <c r="E623" s="18"/>
      <c r="F623" s="8"/>
      <c r="G623" s="8"/>
      <c r="H623" s="8"/>
      <c r="I623" s="8"/>
    </row>
    <row r="624" spans="1:9" ht="14.25" customHeight="1" x14ac:dyDescent="0.25">
      <c r="A624" s="3"/>
      <c r="B624" s="3"/>
      <c r="C624" s="3"/>
      <c r="D624" s="3"/>
      <c r="E624" s="18"/>
      <c r="F624" s="8"/>
      <c r="G624" s="8"/>
      <c r="H624" s="8"/>
      <c r="I624" s="8"/>
    </row>
    <row r="625" spans="1:9" ht="14.25" customHeight="1" x14ac:dyDescent="0.25">
      <c r="A625" s="3"/>
      <c r="B625" s="3"/>
      <c r="C625" s="3"/>
      <c r="D625" s="3"/>
      <c r="E625" s="18"/>
      <c r="F625" s="8"/>
      <c r="G625" s="8"/>
      <c r="H625" s="8"/>
      <c r="I625" s="8"/>
    </row>
    <row r="626" spans="1:9" ht="14.25" customHeight="1" x14ac:dyDescent="0.25">
      <c r="A626" s="3"/>
      <c r="B626" s="3"/>
      <c r="C626" s="3"/>
      <c r="D626" s="3"/>
      <c r="E626" s="18"/>
      <c r="F626" s="8"/>
      <c r="G626" s="8"/>
      <c r="H626" s="8"/>
      <c r="I626" s="8"/>
    </row>
    <row r="627" spans="1:9" ht="14.25" customHeight="1" x14ac:dyDescent="0.25">
      <c r="A627" s="3"/>
      <c r="B627" s="3"/>
      <c r="C627" s="3"/>
      <c r="D627" s="3"/>
      <c r="E627" s="18"/>
      <c r="F627" s="8"/>
      <c r="G627" s="8"/>
      <c r="H627" s="8"/>
      <c r="I627" s="8"/>
    </row>
    <row r="628" spans="1:9" ht="14.25" customHeight="1" x14ac:dyDescent="0.25">
      <c r="A628" s="3"/>
      <c r="B628" s="3"/>
      <c r="C628" s="3"/>
      <c r="D628" s="3"/>
      <c r="E628" s="18"/>
      <c r="F628" s="8"/>
      <c r="G628" s="8"/>
      <c r="H628" s="8"/>
      <c r="I628" s="8"/>
    </row>
    <row r="629" spans="1:9" ht="14.25" customHeight="1" x14ac:dyDescent="0.25">
      <c r="A629" s="3"/>
      <c r="B629" s="3"/>
      <c r="C629" s="3"/>
      <c r="D629" s="3"/>
      <c r="E629" s="18"/>
      <c r="F629" s="8"/>
      <c r="G629" s="8"/>
      <c r="H629" s="8"/>
      <c r="I629" s="8"/>
    </row>
    <row r="630" spans="1:9" ht="14.25" customHeight="1" x14ac:dyDescent="0.25">
      <c r="A630" s="3"/>
      <c r="B630" s="3"/>
      <c r="C630" s="3"/>
      <c r="D630" s="3"/>
      <c r="E630" s="18"/>
      <c r="F630" s="8"/>
      <c r="G630" s="8"/>
      <c r="H630" s="8"/>
      <c r="I630" s="8"/>
    </row>
    <row r="631" spans="1:9" ht="14.25" customHeight="1" x14ac:dyDescent="0.25">
      <c r="A631" s="3"/>
      <c r="B631" s="3"/>
      <c r="C631" s="3"/>
      <c r="D631" s="3"/>
      <c r="E631" s="18"/>
      <c r="F631" s="8"/>
      <c r="G631" s="8"/>
      <c r="H631" s="8"/>
      <c r="I631" s="8"/>
    </row>
    <row r="632" spans="1:9" ht="14.25" customHeight="1" x14ac:dyDescent="0.25">
      <c r="A632" s="3"/>
      <c r="B632" s="3"/>
      <c r="C632" s="3"/>
      <c r="D632" s="3"/>
      <c r="E632" s="18"/>
      <c r="F632" s="8"/>
      <c r="G632" s="8"/>
      <c r="H632" s="8"/>
      <c r="I632" s="8"/>
    </row>
    <row r="633" spans="1:9" ht="14.25" customHeight="1" x14ac:dyDescent="0.25">
      <c r="A633" s="3"/>
      <c r="B633" s="3"/>
      <c r="C633" s="3"/>
      <c r="D633" s="3"/>
      <c r="E633" s="18"/>
      <c r="F633" s="8"/>
      <c r="G633" s="8"/>
      <c r="H633" s="8"/>
      <c r="I633" s="8"/>
    </row>
    <row r="634" spans="1:9" ht="14.25" customHeight="1" x14ac:dyDescent="0.25">
      <c r="A634" s="3"/>
      <c r="B634" s="3"/>
      <c r="C634" s="3"/>
      <c r="D634" s="3"/>
      <c r="E634" s="18"/>
      <c r="F634" s="8"/>
      <c r="G634" s="8"/>
      <c r="H634" s="8"/>
      <c r="I634" s="8"/>
    </row>
    <row r="635" spans="1:9" ht="14.25" customHeight="1" x14ac:dyDescent="0.25">
      <c r="A635" s="3"/>
      <c r="B635" s="3"/>
      <c r="C635" s="3"/>
      <c r="D635" s="3"/>
      <c r="E635" s="18"/>
      <c r="F635" s="8"/>
      <c r="G635" s="8"/>
      <c r="H635" s="8"/>
      <c r="I635" s="8"/>
    </row>
    <row r="636" spans="1:9" ht="14.25" customHeight="1" x14ac:dyDescent="0.25">
      <c r="A636" s="3"/>
      <c r="B636" s="3"/>
      <c r="C636" s="3"/>
      <c r="D636" s="3"/>
      <c r="E636" s="18"/>
      <c r="F636" s="8"/>
      <c r="G636" s="8"/>
      <c r="H636" s="8"/>
      <c r="I636" s="8"/>
    </row>
    <row r="637" spans="1:9" ht="14.25" customHeight="1" x14ac:dyDescent="0.25">
      <c r="A637" s="3"/>
      <c r="B637" s="3"/>
      <c r="C637" s="3"/>
      <c r="D637" s="3"/>
      <c r="E637" s="18"/>
      <c r="F637" s="8"/>
      <c r="G637" s="8"/>
      <c r="H637" s="8"/>
      <c r="I637" s="8"/>
    </row>
    <row r="638" spans="1:9" ht="14.25" customHeight="1" x14ac:dyDescent="0.25">
      <c r="A638" s="3"/>
      <c r="B638" s="3"/>
      <c r="C638" s="3"/>
      <c r="D638" s="3"/>
      <c r="E638" s="18"/>
      <c r="F638" s="8"/>
      <c r="G638" s="8"/>
      <c r="H638" s="8"/>
      <c r="I638" s="8"/>
    </row>
    <row r="639" spans="1:9" ht="14.25" customHeight="1" x14ac:dyDescent="0.25">
      <c r="A639" s="3"/>
      <c r="B639" s="3"/>
      <c r="C639" s="3"/>
      <c r="D639" s="3"/>
      <c r="E639" s="18"/>
      <c r="F639" s="8"/>
      <c r="G639" s="8"/>
      <c r="H639" s="8"/>
      <c r="I639" s="8"/>
    </row>
    <row r="640" spans="1:9" ht="14.25" customHeight="1" x14ac:dyDescent="0.25">
      <c r="A640" s="3"/>
      <c r="B640" s="3"/>
      <c r="C640" s="3"/>
      <c r="D640" s="3"/>
      <c r="E640" s="18"/>
      <c r="F640" s="8"/>
      <c r="G640" s="8"/>
      <c r="H640" s="8"/>
      <c r="I640" s="8"/>
    </row>
    <row r="641" spans="1:9" ht="14.25" customHeight="1" x14ac:dyDescent="0.25">
      <c r="A641" s="3"/>
      <c r="B641" s="3"/>
      <c r="C641" s="3"/>
      <c r="D641" s="3"/>
      <c r="E641" s="18"/>
      <c r="F641" s="8"/>
      <c r="G641" s="8"/>
      <c r="H641" s="8"/>
      <c r="I641" s="8"/>
    </row>
    <row r="642" spans="1:9" ht="14.25" customHeight="1" x14ac:dyDescent="0.25">
      <c r="A642" s="3"/>
      <c r="B642" s="3"/>
      <c r="C642" s="3"/>
      <c r="D642" s="3"/>
      <c r="E642" s="18"/>
      <c r="F642" s="8"/>
      <c r="G642" s="8"/>
      <c r="H642" s="8"/>
      <c r="I642" s="8"/>
    </row>
    <row r="643" spans="1:9" ht="14.25" customHeight="1" x14ac:dyDescent="0.25">
      <c r="A643" s="3"/>
      <c r="B643" s="3"/>
      <c r="C643" s="3"/>
      <c r="D643" s="3"/>
      <c r="E643" s="18"/>
      <c r="F643" s="8"/>
      <c r="G643" s="8"/>
      <c r="H643" s="8"/>
      <c r="I643" s="8"/>
    </row>
    <row r="644" spans="1:9" ht="14.25" customHeight="1" x14ac:dyDescent="0.25">
      <c r="A644" s="3"/>
      <c r="B644" s="3"/>
      <c r="C644" s="3"/>
      <c r="D644" s="3"/>
      <c r="E644" s="18"/>
      <c r="F644" s="8"/>
      <c r="G644" s="8"/>
      <c r="H644" s="8"/>
      <c r="I644" s="8"/>
    </row>
    <row r="645" spans="1:9" ht="14.25" customHeight="1" x14ac:dyDescent="0.25">
      <c r="A645" s="3"/>
      <c r="B645" s="3"/>
      <c r="C645" s="3"/>
      <c r="D645" s="3"/>
      <c r="E645" s="18"/>
      <c r="F645" s="8"/>
      <c r="G645" s="8"/>
      <c r="H645" s="8"/>
      <c r="I645" s="8"/>
    </row>
    <row r="646" spans="1:9" ht="14.25" customHeight="1" x14ac:dyDescent="0.25">
      <c r="A646" s="3"/>
      <c r="B646" s="3"/>
      <c r="C646" s="3"/>
      <c r="D646" s="3"/>
      <c r="E646" s="18"/>
      <c r="F646" s="8"/>
      <c r="G646" s="8"/>
      <c r="H646" s="8"/>
      <c r="I646" s="8"/>
    </row>
    <row r="647" spans="1:9" ht="14.25" customHeight="1" x14ac:dyDescent="0.25">
      <c r="A647" s="3"/>
      <c r="B647" s="3"/>
      <c r="C647" s="3"/>
      <c r="D647" s="3"/>
      <c r="E647" s="18"/>
      <c r="F647" s="8"/>
      <c r="G647" s="8"/>
      <c r="H647" s="8"/>
      <c r="I647" s="8"/>
    </row>
    <row r="648" spans="1:9" ht="14.25" customHeight="1" x14ac:dyDescent="0.25">
      <c r="A648" s="3"/>
      <c r="B648" s="3"/>
      <c r="C648" s="3"/>
      <c r="D648" s="3"/>
      <c r="E648" s="18"/>
      <c r="F648" s="8"/>
      <c r="G648" s="8"/>
      <c r="H648" s="8"/>
      <c r="I648" s="8"/>
    </row>
    <row r="649" spans="1:9" ht="14.25" customHeight="1" x14ac:dyDescent="0.25">
      <c r="A649" s="3"/>
      <c r="B649" s="3"/>
      <c r="C649" s="3"/>
      <c r="D649" s="3"/>
      <c r="E649" s="18"/>
      <c r="F649" s="8"/>
      <c r="G649" s="8"/>
      <c r="H649" s="8"/>
      <c r="I649" s="8"/>
    </row>
    <row r="650" spans="1:9" ht="14.25" customHeight="1" x14ac:dyDescent="0.25">
      <c r="A650" s="3"/>
      <c r="B650" s="3"/>
      <c r="C650" s="3"/>
      <c r="D650" s="3"/>
      <c r="E650" s="18"/>
      <c r="F650" s="8"/>
      <c r="G650" s="8"/>
      <c r="H650" s="8"/>
      <c r="I650" s="8"/>
    </row>
    <row r="651" spans="1:9" ht="14.25" customHeight="1" x14ac:dyDescent="0.25">
      <c r="A651" s="3"/>
      <c r="B651" s="3"/>
      <c r="C651" s="3"/>
      <c r="D651" s="3"/>
      <c r="E651" s="18"/>
      <c r="F651" s="8"/>
      <c r="G651" s="8"/>
      <c r="H651" s="8"/>
      <c r="I651" s="8"/>
    </row>
    <row r="652" spans="1:9" ht="14.25" customHeight="1" x14ac:dyDescent="0.25">
      <c r="A652" s="3"/>
      <c r="B652" s="3"/>
      <c r="C652" s="3"/>
      <c r="D652" s="3"/>
      <c r="E652" s="18"/>
      <c r="F652" s="8"/>
      <c r="G652" s="8"/>
      <c r="H652" s="8"/>
      <c r="I652" s="8"/>
    </row>
    <row r="653" spans="1:9" ht="14.25" customHeight="1" x14ac:dyDescent="0.25">
      <c r="A653" s="3"/>
      <c r="B653" s="3"/>
      <c r="C653" s="3"/>
      <c r="D653" s="3"/>
      <c r="E653" s="18"/>
      <c r="F653" s="8"/>
      <c r="G653" s="8"/>
      <c r="H653" s="8"/>
      <c r="I653" s="8"/>
    </row>
    <row r="654" spans="1:9" ht="14.25" customHeight="1" x14ac:dyDescent="0.25">
      <c r="A654" s="3"/>
      <c r="B654" s="3"/>
      <c r="C654" s="3"/>
      <c r="D654" s="3"/>
      <c r="E654" s="18"/>
      <c r="F654" s="8"/>
      <c r="G654" s="8"/>
      <c r="H654" s="8"/>
      <c r="I654" s="8"/>
    </row>
    <row r="655" spans="1:9" ht="14.25" customHeight="1" x14ac:dyDescent="0.25">
      <c r="A655" s="3"/>
      <c r="B655" s="3"/>
      <c r="C655" s="3"/>
      <c r="D655" s="3"/>
      <c r="E655" s="18"/>
      <c r="F655" s="8"/>
      <c r="G655" s="8"/>
      <c r="H655" s="8"/>
      <c r="I655" s="8"/>
    </row>
    <row r="656" spans="1:9" ht="14.25" customHeight="1" x14ac:dyDescent="0.25">
      <c r="A656" s="3"/>
      <c r="B656" s="3"/>
      <c r="C656" s="3"/>
      <c r="D656" s="3"/>
      <c r="E656" s="18"/>
      <c r="F656" s="8"/>
      <c r="G656" s="8"/>
      <c r="H656" s="8"/>
      <c r="I656" s="8"/>
    </row>
    <row r="657" spans="1:9" ht="14.25" customHeight="1" x14ac:dyDescent="0.25">
      <c r="A657" s="3"/>
      <c r="B657" s="3"/>
      <c r="C657" s="3"/>
      <c r="D657" s="3"/>
      <c r="E657" s="18"/>
      <c r="F657" s="8"/>
      <c r="G657" s="8"/>
      <c r="H657" s="8"/>
      <c r="I657" s="8"/>
    </row>
    <row r="658" spans="1:9" ht="14.25" customHeight="1" x14ac:dyDescent="0.25">
      <c r="A658" s="3"/>
      <c r="B658" s="3"/>
      <c r="C658" s="3"/>
      <c r="D658" s="3"/>
      <c r="E658" s="18"/>
      <c r="F658" s="8"/>
      <c r="G658" s="8"/>
      <c r="H658" s="8"/>
      <c r="I658" s="8"/>
    </row>
    <row r="659" spans="1:9" ht="14.25" customHeight="1" x14ac:dyDescent="0.25">
      <c r="A659" s="3"/>
      <c r="B659" s="3"/>
      <c r="C659" s="3"/>
      <c r="D659" s="3"/>
      <c r="E659" s="18"/>
      <c r="F659" s="8"/>
      <c r="G659" s="8"/>
      <c r="H659" s="8"/>
      <c r="I659" s="8"/>
    </row>
    <row r="660" spans="1:9" ht="14.25" customHeight="1" x14ac:dyDescent="0.25">
      <c r="A660" s="3"/>
      <c r="B660" s="3"/>
      <c r="C660" s="3"/>
      <c r="D660" s="3"/>
      <c r="E660" s="18"/>
      <c r="F660" s="8"/>
      <c r="G660" s="8"/>
      <c r="H660" s="8"/>
      <c r="I660" s="8"/>
    </row>
    <row r="661" spans="1:9" ht="14.25" customHeight="1" x14ac:dyDescent="0.25">
      <c r="A661" s="3"/>
      <c r="B661" s="3"/>
      <c r="C661" s="3"/>
      <c r="D661" s="3"/>
      <c r="E661" s="18"/>
      <c r="F661" s="8"/>
      <c r="G661" s="8"/>
      <c r="H661" s="8"/>
      <c r="I661" s="8"/>
    </row>
    <row r="662" spans="1:9" ht="14.25" customHeight="1" x14ac:dyDescent="0.25">
      <c r="A662" s="3"/>
      <c r="B662" s="3"/>
      <c r="C662" s="3"/>
      <c r="D662" s="3"/>
      <c r="E662" s="18"/>
      <c r="F662" s="8"/>
      <c r="G662" s="8"/>
      <c r="H662" s="8"/>
      <c r="I662" s="8"/>
    </row>
    <row r="663" spans="1:9" ht="14.25" customHeight="1" x14ac:dyDescent="0.25">
      <c r="A663" s="3"/>
      <c r="B663" s="3"/>
      <c r="C663" s="3"/>
      <c r="D663" s="3"/>
      <c r="E663" s="18"/>
      <c r="F663" s="8"/>
      <c r="G663" s="8"/>
      <c r="H663" s="8"/>
      <c r="I663" s="8"/>
    </row>
    <row r="664" spans="1:9" ht="14.25" customHeight="1" x14ac:dyDescent="0.25">
      <c r="A664" s="3"/>
      <c r="B664" s="3"/>
      <c r="C664" s="3"/>
      <c r="D664" s="3"/>
      <c r="E664" s="18"/>
      <c r="F664" s="8"/>
      <c r="G664" s="8"/>
      <c r="H664" s="8"/>
      <c r="I664" s="8"/>
    </row>
    <row r="665" spans="1:9" ht="14.25" customHeight="1" x14ac:dyDescent="0.25">
      <c r="A665" s="3"/>
      <c r="B665" s="3"/>
      <c r="C665" s="3"/>
      <c r="D665" s="3"/>
      <c r="E665" s="18"/>
      <c r="F665" s="8"/>
      <c r="G665" s="8"/>
      <c r="H665" s="8"/>
      <c r="I665" s="8"/>
    </row>
    <row r="666" spans="1:9" ht="14.25" customHeight="1" x14ac:dyDescent="0.25">
      <c r="A666" s="3"/>
      <c r="B666" s="3"/>
      <c r="C666" s="3"/>
      <c r="D666" s="3"/>
      <c r="E666" s="18"/>
      <c r="F666" s="8"/>
      <c r="G666" s="8"/>
      <c r="H666" s="8"/>
      <c r="I666" s="8"/>
    </row>
    <row r="667" spans="1:9" ht="14.25" customHeight="1" x14ac:dyDescent="0.25">
      <c r="A667" s="3"/>
      <c r="B667" s="3"/>
      <c r="C667" s="3"/>
      <c r="D667" s="3"/>
      <c r="E667" s="18"/>
      <c r="F667" s="8"/>
      <c r="G667" s="8"/>
      <c r="H667" s="8"/>
      <c r="I667" s="8"/>
    </row>
    <row r="668" spans="1:9" ht="14.25" customHeight="1" x14ac:dyDescent="0.25">
      <c r="A668" s="3"/>
      <c r="B668" s="3"/>
      <c r="C668" s="3"/>
      <c r="D668" s="3"/>
      <c r="E668" s="18"/>
      <c r="F668" s="8"/>
      <c r="G668" s="8"/>
      <c r="H668" s="8"/>
      <c r="I668" s="8"/>
    </row>
    <row r="669" spans="1:9" ht="14.25" customHeight="1" x14ac:dyDescent="0.25">
      <c r="A669" s="3"/>
      <c r="B669" s="3"/>
      <c r="C669" s="3"/>
      <c r="D669" s="3"/>
      <c r="E669" s="18"/>
      <c r="F669" s="8"/>
      <c r="G669" s="8"/>
      <c r="H669" s="8"/>
      <c r="I669" s="8"/>
    </row>
    <row r="670" spans="1:9" ht="14.25" customHeight="1" x14ac:dyDescent="0.25">
      <c r="A670" s="3"/>
      <c r="B670" s="3"/>
      <c r="C670" s="3"/>
      <c r="D670" s="3"/>
      <c r="E670" s="18"/>
      <c r="F670" s="8"/>
      <c r="G670" s="8"/>
      <c r="H670" s="8"/>
      <c r="I670" s="8"/>
    </row>
    <row r="671" spans="1:9" ht="14.25" customHeight="1" x14ac:dyDescent="0.25">
      <c r="A671" s="3"/>
      <c r="B671" s="3"/>
      <c r="C671" s="3"/>
      <c r="D671" s="3"/>
      <c r="E671" s="18"/>
      <c r="F671" s="8"/>
      <c r="G671" s="8"/>
      <c r="H671" s="8"/>
      <c r="I671" s="8"/>
    </row>
    <row r="672" spans="1:9" ht="14.25" customHeight="1" x14ac:dyDescent="0.25">
      <c r="A672" s="3"/>
      <c r="B672" s="3"/>
      <c r="C672" s="3"/>
      <c r="D672" s="3"/>
      <c r="E672" s="18"/>
      <c r="F672" s="8"/>
      <c r="G672" s="8"/>
      <c r="H672" s="8"/>
      <c r="I672" s="8"/>
    </row>
    <row r="673" spans="1:9" ht="14.25" customHeight="1" x14ac:dyDescent="0.25">
      <c r="A673" s="3"/>
      <c r="B673" s="3"/>
      <c r="C673" s="3"/>
      <c r="D673" s="3"/>
      <c r="E673" s="18"/>
      <c r="F673" s="8"/>
      <c r="G673" s="8"/>
      <c r="H673" s="8"/>
      <c r="I673" s="8"/>
    </row>
    <row r="674" spans="1:9" ht="14.25" customHeight="1" x14ac:dyDescent="0.25">
      <c r="A674" s="3"/>
      <c r="B674" s="3"/>
      <c r="C674" s="3"/>
      <c r="D674" s="3"/>
      <c r="E674" s="18"/>
      <c r="F674" s="8"/>
      <c r="G674" s="8"/>
      <c r="H674" s="8"/>
      <c r="I674" s="8"/>
    </row>
    <row r="675" spans="1:9" ht="14.25" customHeight="1" x14ac:dyDescent="0.25">
      <c r="A675" s="3"/>
      <c r="B675" s="3"/>
      <c r="C675" s="3"/>
      <c r="D675" s="3"/>
      <c r="E675" s="18"/>
      <c r="F675" s="8"/>
      <c r="G675" s="8"/>
      <c r="H675" s="8"/>
      <c r="I675" s="8"/>
    </row>
    <row r="676" spans="1:9" ht="14.25" customHeight="1" x14ac:dyDescent="0.25">
      <c r="A676" s="3"/>
      <c r="B676" s="3"/>
      <c r="C676" s="3"/>
      <c r="D676" s="3"/>
      <c r="E676" s="18"/>
      <c r="F676" s="8"/>
      <c r="G676" s="8"/>
      <c r="H676" s="8"/>
      <c r="I676" s="8"/>
    </row>
    <row r="677" spans="1:9" ht="14.25" customHeight="1" x14ac:dyDescent="0.25">
      <c r="A677" s="3"/>
      <c r="B677" s="3"/>
      <c r="C677" s="3"/>
      <c r="D677" s="3"/>
      <c r="E677" s="18"/>
      <c r="F677" s="8"/>
      <c r="G677" s="8"/>
      <c r="H677" s="8"/>
      <c r="I677" s="8"/>
    </row>
    <row r="678" spans="1:9" ht="14.25" customHeight="1" x14ac:dyDescent="0.25">
      <c r="A678" s="3"/>
      <c r="B678" s="3"/>
      <c r="C678" s="3"/>
      <c r="D678" s="3"/>
      <c r="E678" s="18"/>
      <c r="F678" s="8"/>
      <c r="G678" s="8"/>
      <c r="H678" s="8"/>
      <c r="I678" s="8"/>
    </row>
    <row r="679" spans="1:9" ht="14.25" customHeight="1" x14ac:dyDescent="0.25">
      <c r="A679" s="3"/>
      <c r="B679" s="3"/>
      <c r="C679" s="3"/>
      <c r="D679" s="3"/>
      <c r="E679" s="18"/>
      <c r="F679" s="8"/>
      <c r="G679" s="8"/>
      <c r="H679" s="8"/>
      <c r="I679" s="8"/>
    </row>
    <row r="680" spans="1:9" ht="14.25" customHeight="1" x14ac:dyDescent="0.25">
      <c r="A680" s="3"/>
      <c r="B680" s="3"/>
      <c r="C680" s="3"/>
      <c r="D680" s="3"/>
      <c r="E680" s="18"/>
      <c r="F680" s="8"/>
      <c r="G680" s="8"/>
      <c r="H680" s="8"/>
      <c r="I680" s="8"/>
    </row>
    <row r="681" spans="1:9" ht="14.25" customHeight="1" x14ac:dyDescent="0.25">
      <c r="A681" s="3"/>
      <c r="B681" s="3"/>
      <c r="C681" s="3"/>
      <c r="D681" s="3"/>
      <c r="E681" s="18"/>
      <c r="F681" s="8"/>
      <c r="G681" s="8"/>
      <c r="H681" s="8"/>
      <c r="I681" s="8"/>
    </row>
    <row r="682" spans="1:9" ht="14.25" customHeight="1" x14ac:dyDescent="0.25">
      <c r="A682" s="3"/>
      <c r="B682" s="3"/>
      <c r="C682" s="3"/>
      <c r="D682" s="3"/>
      <c r="E682" s="18"/>
      <c r="F682" s="8"/>
      <c r="G682" s="8"/>
      <c r="H682" s="8"/>
      <c r="I682" s="8"/>
    </row>
    <row r="683" spans="1:9" ht="14.25" customHeight="1" x14ac:dyDescent="0.25">
      <c r="A683" s="3"/>
      <c r="B683" s="3"/>
      <c r="C683" s="3"/>
      <c r="D683" s="3"/>
      <c r="E683" s="18"/>
      <c r="F683" s="8"/>
      <c r="G683" s="8"/>
      <c r="H683" s="8"/>
      <c r="I683" s="8"/>
    </row>
    <row r="684" spans="1:9" ht="14.25" customHeight="1" x14ac:dyDescent="0.25">
      <c r="A684" s="3"/>
      <c r="B684" s="3"/>
      <c r="C684" s="3"/>
      <c r="D684" s="3"/>
      <c r="E684" s="18"/>
      <c r="F684" s="8"/>
      <c r="G684" s="8"/>
      <c r="H684" s="8"/>
      <c r="I684" s="8"/>
    </row>
    <row r="685" spans="1:9" ht="14.25" customHeight="1" x14ac:dyDescent="0.25">
      <c r="A685" s="3"/>
      <c r="B685" s="3"/>
      <c r="C685" s="3"/>
      <c r="D685" s="3"/>
      <c r="E685" s="18"/>
      <c r="F685" s="8"/>
      <c r="G685" s="8"/>
      <c r="H685" s="8"/>
      <c r="I685" s="8"/>
    </row>
    <row r="686" spans="1:9" ht="14.25" customHeight="1" x14ac:dyDescent="0.25">
      <c r="A686" s="3"/>
      <c r="B686" s="3"/>
      <c r="C686" s="3"/>
      <c r="D686" s="3"/>
      <c r="E686" s="18"/>
      <c r="F686" s="8"/>
      <c r="G686" s="8"/>
      <c r="H686" s="8"/>
      <c r="I686" s="8"/>
    </row>
    <row r="687" spans="1:9" ht="14.25" customHeight="1" x14ac:dyDescent="0.25">
      <c r="A687" s="3"/>
      <c r="B687" s="3"/>
      <c r="C687" s="3"/>
      <c r="D687" s="3"/>
      <c r="E687" s="18"/>
      <c r="F687" s="8"/>
      <c r="G687" s="8"/>
      <c r="H687" s="8"/>
      <c r="I687" s="8"/>
    </row>
    <row r="688" spans="1:9" ht="14.25" customHeight="1" x14ac:dyDescent="0.25">
      <c r="A688" s="3"/>
      <c r="B688" s="3"/>
      <c r="C688" s="3"/>
      <c r="D688" s="3"/>
      <c r="E688" s="18"/>
      <c r="F688" s="8"/>
      <c r="G688" s="8"/>
      <c r="H688" s="8"/>
      <c r="I688" s="8"/>
    </row>
    <row r="689" spans="1:9" ht="14.25" customHeight="1" x14ac:dyDescent="0.25">
      <c r="A689" s="3"/>
      <c r="B689" s="3"/>
      <c r="C689" s="3"/>
      <c r="D689" s="3"/>
      <c r="E689" s="18"/>
      <c r="F689" s="8"/>
      <c r="G689" s="8"/>
      <c r="H689" s="8"/>
      <c r="I689" s="8"/>
    </row>
    <row r="690" spans="1:9" ht="14.25" customHeight="1" x14ac:dyDescent="0.25">
      <c r="A690" s="3"/>
      <c r="B690" s="3"/>
      <c r="C690" s="3"/>
      <c r="D690" s="3"/>
      <c r="E690" s="18"/>
      <c r="F690" s="8"/>
      <c r="G690" s="8"/>
      <c r="H690" s="8"/>
      <c r="I690" s="8"/>
    </row>
    <row r="691" spans="1:9" ht="14.25" customHeight="1" x14ac:dyDescent="0.25">
      <c r="A691" s="3"/>
      <c r="B691" s="3"/>
      <c r="C691" s="3"/>
      <c r="D691" s="3"/>
      <c r="E691" s="18"/>
      <c r="F691" s="8"/>
      <c r="G691" s="8"/>
      <c r="H691" s="8"/>
      <c r="I691" s="8"/>
    </row>
    <row r="692" spans="1:9" ht="14.25" customHeight="1" x14ac:dyDescent="0.25">
      <c r="A692" s="3"/>
      <c r="B692" s="3"/>
      <c r="C692" s="3"/>
      <c r="D692" s="3"/>
      <c r="E692" s="18"/>
      <c r="F692" s="8"/>
      <c r="G692" s="8"/>
      <c r="H692" s="8"/>
      <c r="I692" s="8"/>
    </row>
    <row r="693" spans="1:9" ht="14.25" customHeight="1" x14ac:dyDescent="0.25">
      <c r="A693" s="3"/>
      <c r="B693" s="3"/>
      <c r="C693" s="3"/>
      <c r="D693" s="3"/>
      <c r="E693" s="18"/>
      <c r="F693" s="8"/>
      <c r="G693" s="8"/>
      <c r="H693" s="8"/>
      <c r="I693" s="8"/>
    </row>
    <row r="694" spans="1:9" ht="14.25" customHeight="1" x14ac:dyDescent="0.25">
      <c r="A694" s="3"/>
      <c r="B694" s="3"/>
      <c r="C694" s="3"/>
      <c r="D694" s="3"/>
      <c r="E694" s="18"/>
      <c r="F694" s="8"/>
      <c r="G694" s="8"/>
      <c r="H694" s="8"/>
      <c r="I694" s="8"/>
    </row>
    <row r="695" spans="1:9" ht="14.25" customHeight="1" x14ac:dyDescent="0.25">
      <c r="A695" s="3"/>
      <c r="B695" s="3"/>
      <c r="C695" s="3"/>
      <c r="D695" s="3"/>
      <c r="E695" s="18"/>
      <c r="F695" s="8"/>
      <c r="G695" s="8"/>
      <c r="H695" s="8"/>
      <c r="I695" s="8"/>
    </row>
    <row r="696" spans="1:9" ht="14.25" customHeight="1" x14ac:dyDescent="0.25">
      <c r="A696" s="3"/>
      <c r="B696" s="3"/>
      <c r="C696" s="3"/>
      <c r="D696" s="3"/>
      <c r="E696" s="18"/>
      <c r="F696" s="8"/>
      <c r="G696" s="8"/>
      <c r="H696" s="8"/>
      <c r="I696" s="8"/>
    </row>
    <row r="697" spans="1:9" ht="14.25" customHeight="1" x14ac:dyDescent="0.25">
      <c r="A697" s="3"/>
      <c r="B697" s="3"/>
      <c r="C697" s="3"/>
      <c r="D697" s="3"/>
      <c r="E697" s="18"/>
      <c r="F697" s="8"/>
      <c r="G697" s="8"/>
      <c r="H697" s="8"/>
      <c r="I697" s="8"/>
    </row>
    <row r="698" spans="1:9" ht="14.25" customHeight="1" x14ac:dyDescent="0.25">
      <c r="A698" s="3"/>
      <c r="B698" s="3"/>
      <c r="C698" s="3"/>
      <c r="D698" s="3"/>
      <c r="E698" s="18"/>
      <c r="F698" s="8"/>
      <c r="G698" s="8"/>
      <c r="H698" s="8"/>
      <c r="I698" s="8"/>
    </row>
    <row r="699" spans="1:9" ht="14.25" customHeight="1" x14ac:dyDescent="0.25">
      <c r="A699" s="3"/>
      <c r="B699" s="3"/>
      <c r="C699" s="3"/>
      <c r="D699" s="3"/>
      <c r="E699" s="18"/>
      <c r="F699" s="8"/>
      <c r="G699" s="8"/>
      <c r="H699" s="8"/>
      <c r="I699" s="8"/>
    </row>
    <row r="700" spans="1:9" ht="14.25" customHeight="1" x14ac:dyDescent="0.25">
      <c r="A700" s="3"/>
      <c r="B700" s="3"/>
      <c r="C700" s="3"/>
      <c r="D700" s="3"/>
      <c r="E700" s="18"/>
      <c r="F700" s="8"/>
      <c r="G700" s="8"/>
      <c r="H700" s="8"/>
      <c r="I700" s="8"/>
    </row>
    <row r="701" spans="1:9" ht="14.25" customHeight="1" x14ac:dyDescent="0.25">
      <c r="A701" s="3"/>
      <c r="B701" s="3"/>
      <c r="C701" s="3"/>
      <c r="D701" s="3"/>
      <c r="E701" s="18"/>
      <c r="F701" s="8"/>
      <c r="G701" s="8"/>
      <c r="H701" s="8"/>
      <c r="I701" s="8"/>
    </row>
    <row r="702" spans="1:9" ht="14.25" customHeight="1" x14ac:dyDescent="0.25">
      <c r="A702" s="3"/>
      <c r="B702" s="3"/>
      <c r="C702" s="3"/>
      <c r="D702" s="3"/>
      <c r="E702" s="18"/>
      <c r="F702" s="8"/>
      <c r="G702" s="8"/>
      <c r="H702" s="8"/>
      <c r="I702" s="8"/>
    </row>
    <row r="703" spans="1:9" ht="14.25" customHeight="1" x14ac:dyDescent="0.25">
      <c r="A703" s="3"/>
      <c r="B703" s="3"/>
      <c r="C703" s="3"/>
      <c r="D703" s="3"/>
      <c r="E703" s="18"/>
      <c r="F703" s="8"/>
      <c r="G703" s="8"/>
      <c r="H703" s="8"/>
      <c r="I703" s="8"/>
    </row>
    <row r="704" spans="1:9" ht="14.25" customHeight="1" x14ac:dyDescent="0.25">
      <c r="A704" s="3"/>
      <c r="B704" s="3"/>
      <c r="C704" s="3"/>
      <c r="D704" s="3"/>
      <c r="E704" s="18"/>
      <c r="F704" s="8"/>
      <c r="G704" s="8"/>
      <c r="H704" s="8"/>
      <c r="I704" s="8"/>
    </row>
    <row r="705" spans="1:9" ht="14.25" customHeight="1" x14ac:dyDescent="0.25">
      <c r="A705" s="3"/>
      <c r="B705" s="3"/>
      <c r="C705" s="3"/>
      <c r="D705" s="3"/>
      <c r="E705" s="18"/>
      <c r="F705" s="8"/>
      <c r="G705" s="8"/>
      <c r="H705" s="8"/>
      <c r="I705" s="8"/>
    </row>
    <row r="706" spans="1:9" ht="14.25" customHeight="1" x14ac:dyDescent="0.25">
      <c r="A706" s="3"/>
      <c r="B706" s="3"/>
      <c r="C706" s="3"/>
      <c r="D706" s="3"/>
      <c r="E706" s="18"/>
      <c r="F706" s="8"/>
      <c r="G706" s="8"/>
      <c r="H706" s="8"/>
      <c r="I706" s="8"/>
    </row>
    <row r="707" spans="1:9" ht="14.25" customHeight="1" x14ac:dyDescent="0.25">
      <c r="A707" s="3"/>
      <c r="B707" s="3"/>
      <c r="C707" s="3"/>
      <c r="D707" s="3"/>
      <c r="E707" s="18"/>
      <c r="F707" s="8"/>
      <c r="G707" s="8"/>
      <c r="H707" s="8"/>
      <c r="I707" s="8"/>
    </row>
    <row r="708" spans="1:9" ht="14.25" customHeight="1" x14ac:dyDescent="0.25">
      <c r="A708" s="3"/>
      <c r="B708" s="3"/>
      <c r="C708" s="3"/>
      <c r="D708" s="3"/>
      <c r="E708" s="18"/>
      <c r="F708" s="8"/>
      <c r="G708" s="8"/>
      <c r="H708" s="8"/>
      <c r="I708" s="8"/>
    </row>
    <row r="709" spans="1:9" ht="14.25" customHeight="1" x14ac:dyDescent="0.25">
      <c r="A709" s="3"/>
      <c r="B709" s="3"/>
      <c r="C709" s="3"/>
      <c r="D709" s="3"/>
      <c r="E709" s="18"/>
      <c r="F709" s="8"/>
      <c r="G709" s="8"/>
      <c r="H709" s="8"/>
      <c r="I709" s="8"/>
    </row>
    <row r="710" spans="1:9" ht="14.25" customHeight="1" x14ac:dyDescent="0.25">
      <c r="A710" s="3"/>
      <c r="B710" s="3"/>
      <c r="C710" s="3"/>
      <c r="D710" s="3"/>
      <c r="E710" s="18"/>
      <c r="F710" s="8"/>
      <c r="G710" s="8"/>
      <c r="H710" s="8"/>
      <c r="I710" s="8"/>
    </row>
    <row r="711" spans="1:9" ht="14.25" customHeight="1" x14ac:dyDescent="0.25">
      <c r="A711" s="3"/>
      <c r="B711" s="3"/>
      <c r="C711" s="3"/>
      <c r="D711" s="3"/>
      <c r="E711" s="18"/>
      <c r="F711" s="8"/>
      <c r="G711" s="8"/>
      <c r="H711" s="8"/>
      <c r="I711" s="8"/>
    </row>
    <row r="712" spans="1:9" ht="14.25" customHeight="1" x14ac:dyDescent="0.25">
      <c r="A712" s="3"/>
      <c r="B712" s="3"/>
      <c r="C712" s="3"/>
      <c r="D712" s="3"/>
      <c r="E712" s="18"/>
      <c r="F712" s="8"/>
      <c r="G712" s="8"/>
      <c r="H712" s="8"/>
      <c r="I712" s="8"/>
    </row>
    <row r="713" spans="1:9" ht="14.25" customHeight="1" x14ac:dyDescent="0.25">
      <c r="A713" s="3"/>
      <c r="B713" s="3"/>
      <c r="C713" s="3"/>
      <c r="D713" s="3"/>
      <c r="E713" s="18"/>
      <c r="F713" s="8"/>
      <c r="G713" s="8"/>
      <c r="H713" s="8"/>
      <c r="I713" s="8"/>
    </row>
    <row r="714" spans="1:9" ht="14.25" customHeight="1" x14ac:dyDescent="0.25">
      <c r="A714" s="3"/>
      <c r="B714" s="3"/>
      <c r="C714" s="3"/>
      <c r="D714" s="3"/>
      <c r="E714" s="18"/>
      <c r="F714" s="8"/>
      <c r="G714" s="8"/>
      <c r="H714" s="8"/>
      <c r="I714" s="8"/>
    </row>
    <row r="715" spans="1:9" ht="14.25" customHeight="1" x14ac:dyDescent="0.25">
      <c r="A715" s="3"/>
      <c r="B715" s="3"/>
      <c r="C715" s="3"/>
      <c r="D715" s="3"/>
      <c r="E715" s="18"/>
      <c r="F715" s="8"/>
      <c r="G715" s="8"/>
      <c r="H715" s="8"/>
      <c r="I715" s="8"/>
    </row>
    <row r="716" spans="1:9" ht="14.25" customHeight="1" x14ac:dyDescent="0.25">
      <c r="A716" s="3"/>
      <c r="B716" s="3"/>
      <c r="C716" s="3"/>
      <c r="D716" s="3"/>
      <c r="E716" s="18"/>
      <c r="F716" s="8"/>
      <c r="G716" s="8"/>
      <c r="H716" s="8"/>
      <c r="I716" s="8"/>
    </row>
    <row r="717" spans="1:9" ht="14.25" customHeight="1" x14ac:dyDescent="0.25">
      <c r="A717" s="3"/>
      <c r="B717" s="3"/>
      <c r="C717" s="3"/>
      <c r="D717" s="3"/>
      <c r="E717" s="18"/>
      <c r="F717" s="8"/>
      <c r="G717" s="8"/>
      <c r="H717" s="8"/>
      <c r="I717" s="8"/>
    </row>
    <row r="718" spans="1:9" ht="14.25" customHeight="1" x14ac:dyDescent="0.25">
      <c r="A718" s="3"/>
      <c r="B718" s="3"/>
      <c r="C718" s="3"/>
      <c r="D718" s="3"/>
      <c r="E718" s="18"/>
      <c r="F718" s="8"/>
      <c r="G718" s="8"/>
      <c r="H718" s="8"/>
      <c r="I718" s="8"/>
    </row>
    <row r="719" spans="1:9" ht="14.25" customHeight="1" x14ac:dyDescent="0.25">
      <c r="A719" s="3"/>
      <c r="B719" s="3"/>
      <c r="C719" s="3"/>
      <c r="D719" s="3"/>
      <c r="E719" s="18"/>
      <c r="F719" s="8"/>
      <c r="G719" s="8"/>
      <c r="H719" s="8"/>
      <c r="I719" s="8"/>
    </row>
    <row r="720" spans="1:9" ht="14.25" customHeight="1" x14ac:dyDescent="0.25">
      <c r="A720" s="3"/>
      <c r="B720" s="3"/>
      <c r="C720" s="3"/>
      <c r="D720" s="3"/>
      <c r="E720" s="18"/>
      <c r="F720" s="8"/>
      <c r="G720" s="8"/>
      <c r="H720" s="8"/>
      <c r="I720" s="8"/>
    </row>
    <row r="721" spans="1:9" ht="14.25" customHeight="1" x14ac:dyDescent="0.25">
      <c r="A721" s="3"/>
      <c r="B721" s="3"/>
      <c r="C721" s="3"/>
      <c r="D721" s="3"/>
      <c r="E721" s="18"/>
      <c r="F721" s="8"/>
      <c r="G721" s="8"/>
      <c r="H721" s="8"/>
      <c r="I721" s="8"/>
    </row>
    <row r="722" spans="1:9" ht="14.25" customHeight="1" x14ac:dyDescent="0.25">
      <c r="A722" s="3"/>
      <c r="B722" s="3"/>
      <c r="C722" s="3"/>
      <c r="D722" s="3"/>
      <c r="E722" s="18"/>
      <c r="F722" s="8"/>
      <c r="G722" s="8"/>
      <c r="H722" s="8"/>
      <c r="I722" s="8"/>
    </row>
    <row r="723" spans="1:9" ht="14.25" customHeight="1" x14ac:dyDescent="0.25">
      <c r="A723" s="3"/>
      <c r="B723" s="3"/>
      <c r="C723" s="3"/>
      <c r="D723" s="3"/>
      <c r="E723" s="18"/>
      <c r="F723" s="8"/>
      <c r="G723" s="8"/>
      <c r="H723" s="8"/>
      <c r="I723" s="8"/>
    </row>
    <row r="724" spans="1:9" ht="14.25" customHeight="1" x14ac:dyDescent="0.25">
      <c r="A724" s="3"/>
      <c r="B724" s="3"/>
      <c r="C724" s="3"/>
      <c r="D724" s="3"/>
      <c r="E724" s="18"/>
      <c r="F724" s="8"/>
      <c r="G724" s="8"/>
      <c r="H724" s="8"/>
      <c r="I724" s="8"/>
    </row>
    <row r="725" spans="1:9" ht="14.25" customHeight="1" x14ac:dyDescent="0.25">
      <c r="A725" s="3"/>
      <c r="B725" s="3"/>
      <c r="C725" s="3"/>
      <c r="D725" s="3"/>
      <c r="E725" s="18"/>
      <c r="F725" s="8"/>
      <c r="G725" s="8"/>
      <c r="H725" s="8"/>
      <c r="I725" s="8"/>
    </row>
    <row r="726" spans="1:9" ht="14.25" customHeight="1" x14ac:dyDescent="0.25">
      <c r="A726" s="3"/>
      <c r="B726" s="3"/>
      <c r="C726" s="3"/>
      <c r="D726" s="3"/>
      <c r="E726" s="18"/>
      <c r="F726" s="8"/>
      <c r="G726" s="8"/>
      <c r="H726" s="8"/>
      <c r="I726" s="8"/>
    </row>
    <row r="727" spans="1:9" ht="14.25" customHeight="1" x14ac:dyDescent="0.25">
      <c r="A727" s="3"/>
      <c r="B727" s="3"/>
      <c r="C727" s="3"/>
      <c r="D727" s="3"/>
      <c r="E727" s="18"/>
      <c r="F727" s="8"/>
      <c r="G727" s="8"/>
      <c r="H727" s="8"/>
      <c r="I727" s="8"/>
    </row>
    <row r="728" spans="1:9" ht="14.25" customHeight="1" x14ac:dyDescent="0.25">
      <c r="A728" s="3"/>
      <c r="B728" s="3"/>
      <c r="C728" s="3"/>
      <c r="D728" s="3"/>
      <c r="E728" s="18"/>
      <c r="F728" s="8"/>
      <c r="G728" s="8"/>
      <c r="H728" s="8"/>
      <c r="I728" s="8"/>
    </row>
    <row r="729" spans="1:9" ht="14.25" customHeight="1" x14ac:dyDescent="0.25">
      <c r="A729" s="3"/>
      <c r="B729" s="3"/>
      <c r="C729" s="3"/>
      <c r="D729" s="3"/>
      <c r="E729" s="18"/>
      <c r="F729" s="8"/>
      <c r="G729" s="8"/>
      <c r="H729" s="8"/>
      <c r="I729" s="8"/>
    </row>
    <row r="730" spans="1:9" ht="14.25" customHeight="1" x14ac:dyDescent="0.25">
      <c r="A730" s="3"/>
      <c r="B730" s="3"/>
      <c r="C730" s="3"/>
      <c r="D730" s="3"/>
      <c r="E730" s="18"/>
      <c r="F730" s="8"/>
      <c r="G730" s="8"/>
      <c r="H730" s="8"/>
      <c r="I730" s="8"/>
    </row>
    <row r="731" spans="1:9" ht="14.25" customHeight="1" x14ac:dyDescent="0.25">
      <c r="A731" s="3"/>
      <c r="B731" s="3"/>
      <c r="C731" s="3"/>
      <c r="D731" s="3"/>
      <c r="E731" s="18"/>
      <c r="F731" s="8"/>
      <c r="G731" s="8"/>
      <c r="H731" s="8"/>
      <c r="I731" s="8"/>
    </row>
    <row r="732" spans="1:9" ht="14.25" customHeight="1" x14ac:dyDescent="0.25">
      <c r="A732" s="3"/>
      <c r="B732" s="3"/>
      <c r="C732" s="3"/>
      <c r="D732" s="3"/>
      <c r="E732" s="18"/>
      <c r="F732" s="8"/>
      <c r="G732" s="8"/>
      <c r="H732" s="8"/>
      <c r="I732" s="8"/>
    </row>
    <row r="733" spans="1:9" ht="14.25" customHeight="1" x14ac:dyDescent="0.25">
      <c r="A733" s="3"/>
      <c r="B733" s="3"/>
      <c r="C733" s="3"/>
      <c r="D733" s="3"/>
      <c r="E733" s="18"/>
      <c r="F733" s="8"/>
      <c r="G733" s="8"/>
      <c r="H733" s="8"/>
      <c r="I733" s="8"/>
    </row>
    <row r="734" spans="1:9" ht="14.25" customHeight="1" x14ac:dyDescent="0.25">
      <c r="A734" s="3"/>
      <c r="B734" s="3"/>
      <c r="C734" s="3"/>
      <c r="D734" s="3"/>
      <c r="E734" s="18"/>
      <c r="F734" s="8"/>
      <c r="G734" s="8"/>
      <c r="H734" s="8"/>
      <c r="I734" s="8"/>
    </row>
    <row r="735" spans="1:9" ht="14.25" customHeight="1" x14ac:dyDescent="0.25">
      <c r="A735" s="3"/>
      <c r="B735" s="3"/>
      <c r="C735" s="3"/>
      <c r="D735" s="3"/>
      <c r="E735" s="18"/>
      <c r="F735" s="8"/>
      <c r="G735" s="8"/>
      <c r="H735" s="8"/>
      <c r="I735" s="8"/>
    </row>
    <row r="736" spans="1:9" ht="14.25" customHeight="1" x14ac:dyDescent="0.25">
      <c r="A736" s="3"/>
      <c r="B736" s="3"/>
      <c r="C736" s="3"/>
      <c r="D736" s="3"/>
      <c r="E736" s="18"/>
      <c r="F736" s="8"/>
      <c r="G736" s="8"/>
      <c r="H736" s="8"/>
      <c r="I736" s="8"/>
    </row>
    <row r="737" spans="1:9" ht="14.25" customHeight="1" x14ac:dyDescent="0.25">
      <c r="A737" s="3"/>
      <c r="B737" s="3"/>
      <c r="C737" s="3"/>
      <c r="D737" s="3"/>
      <c r="E737" s="18"/>
      <c r="F737" s="8"/>
      <c r="G737" s="8"/>
      <c r="H737" s="8"/>
      <c r="I737" s="8"/>
    </row>
    <row r="738" spans="1:9" ht="14.25" customHeight="1" x14ac:dyDescent="0.25">
      <c r="A738" s="3"/>
      <c r="B738" s="3"/>
      <c r="C738" s="3"/>
      <c r="D738" s="3"/>
      <c r="E738" s="18"/>
      <c r="F738" s="8"/>
      <c r="G738" s="8"/>
      <c r="H738" s="8"/>
      <c r="I738" s="8"/>
    </row>
    <row r="739" spans="1:9" ht="14.25" customHeight="1" x14ac:dyDescent="0.25">
      <c r="A739" s="3"/>
      <c r="B739" s="3"/>
      <c r="C739" s="3"/>
      <c r="D739" s="3"/>
      <c r="E739" s="18"/>
      <c r="F739" s="8"/>
      <c r="G739" s="8"/>
      <c r="H739" s="8"/>
      <c r="I739" s="8"/>
    </row>
    <row r="740" spans="1:9" ht="14.25" customHeight="1" x14ac:dyDescent="0.25">
      <c r="A740" s="3"/>
      <c r="B740" s="3"/>
      <c r="C740" s="3"/>
      <c r="D740" s="3"/>
      <c r="E740" s="18"/>
      <c r="F740" s="8"/>
      <c r="G740" s="8"/>
      <c r="H740" s="8"/>
      <c r="I740" s="8"/>
    </row>
    <row r="741" spans="1:9" ht="14.25" customHeight="1" x14ac:dyDescent="0.25">
      <c r="A741" s="3"/>
      <c r="B741" s="3"/>
      <c r="C741" s="3"/>
      <c r="D741" s="3"/>
      <c r="E741" s="18"/>
      <c r="F741" s="8"/>
      <c r="G741" s="8"/>
      <c r="H741" s="8"/>
      <c r="I741" s="8"/>
    </row>
    <row r="742" spans="1:9" ht="14.25" customHeight="1" x14ac:dyDescent="0.25">
      <c r="A742" s="3"/>
      <c r="B742" s="3"/>
      <c r="C742" s="3"/>
      <c r="D742" s="3"/>
      <c r="E742" s="18"/>
      <c r="F742" s="8"/>
      <c r="G742" s="8"/>
      <c r="H742" s="8"/>
      <c r="I742" s="8"/>
    </row>
    <row r="743" spans="1:9" ht="14.25" customHeight="1" x14ac:dyDescent="0.25">
      <c r="A743" s="3"/>
      <c r="B743" s="3"/>
      <c r="C743" s="3"/>
      <c r="D743" s="3"/>
      <c r="E743" s="18"/>
      <c r="F743" s="8"/>
      <c r="G743" s="8"/>
      <c r="H743" s="8"/>
      <c r="I743" s="8"/>
    </row>
    <row r="744" spans="1:9" ht="14.25" customHeight="1" x14ac:dyDescent="0.25">
      <c r="A744" s="3"/>
      <c r="B744" s="3"/>
      <c r="C744" s="3"/>
      <c r="D744" s="3"/>
      <c r="E744" s="18"/>
      <c r="F744" s="8"/>
      <c r="G744" s="8"/>
      <c r="H744" s="8"/>
      <c r="I744" s="8"/>
    </row>
    <row r="745" spans="1:9" ht="14.25" customHeight="1" x14ac:dyDescent="0.25">
      <c r="A745" s="3"/>
      <c r="B745" s="3"/>
      <c r="C745" s="3"/>
      <c r="D745" s="3"/>
      <c r="E745" s="18"/>
      <c r="F745" s="8"/>
      <c r="G745" s="8"/>
      <c r="H745" s="8"/>
      <c r="I745" s="8"/>
    </row>
    <row r="746" spans="1:9" ht="14.25" customHeight="1" x14ac:dyDescent="0.25">
      <c r="A746" s="3"/>
      <c r="B746" s="3"/>
      <c r="C746" s="3"/>
      <c r="D746" s="3"/>
      <c r="E746" s="18"/>
      <c r="F746" s="8"/>
      <c r="G746" s="8"/>
      <c r="H746" s="8"/>
      <c r="I746" s="8"/>
    </row>
    <row r="747" spans="1:9" ht="14.25" customHeight="1" x14ac:dyDescent="0.25">
      <c r="A747" s="3"/>
      <c r="B747" s="3"/>
      <c r="C747" s="3"/>
      <c r="D747" s="3"/>
      <c r="E747" s="18"/>
      <c r="F747" s="8"/>
      <c r="G747" s="8"/>
      <c r="H747" s="8"/>
      <c r="I747" s="8"/>
    </row>
    <row r="748" spans="1:9" ht="14.25" customHeight="1" x14ac:dyDescent="0.25">
      <c r="A748" s="3"/>
      <c r="B748" s="3"/>
      <c r="C748" s="3"/>
      <c r="D748" s="3"/>
      <c r="E748" s="18"/>
      <c r="F748" s="8"/>
      <c r="G748" s="8"/>
      <c r="H748" s="8"/>
      <c r="I748" s="8"/>
    </row>
    <row r="749" spans="1:9" ht="14.25" customHeight="1" x14ac:dyDescent="0.25">
      <c r="A749" s="3"/>
      <c r="B749" s="3"/>
      <c r="C749" s="3"/>
      <c r="D749" s="3"/>
      <c r="E749" s="18"/>
      <c r="F749" s="8"/>
      <c r="G749" s="8"/>
      <c r="H749" s="8"/>
      <c r="I749" s="8"/>
    </row>
    <row r="750" spans="1:9" ht="14.25" customHeight="1" x14ac:dyDescent="0.25">
      <c r="A750" s="3"/>
      <c r="B750" s="3"/>
      <c r="C750" s="3"/>
      <c r="D750" s="3"/>
      <c r="E750" s="18"/>
      <c r="F750" s="8"/>
      <c r="G750" s="8"/>
      <c r="H750" s="8"/>
      <c r="I750" s="8"/>
    </row>
    <row r="751" spans="1:9" ht="14.25" customHeight="1" x14ac:dyDescent="0.25">
      <c r="A751" s="3"/>
      <c r="B751" s="3"/>
      <c r="C751" s="3"/>
      <c r="D751" s="3"/>
      <c r="E751" s="18"/>
      <c r="F751" s="8"/>
      <c r="G751" s="8"/>
      <c r="H751" s="8"/>
      <c r="I751" s="8"/>
    </row>
    <row r="752" spans="1:9" ht="14.25" customHeight="1" x14ac:dyDescent="0.25">
      <c r="A752" s="3"/>
      <c r="B752" s="3"/>
      <c r="C752" s="3"/>
      <c r="D752" s="3"/>
      <c r="E752" s="18"/>
      <c r="F752" s="8"/>
      <c r="G752" s="8"/>
      <c r="H752" s="8"/>
      <c r="I752" s="8"/>
    </row>
    <row r="753" spans="1:9" ht="14.25" customHeight="1" x14ac:dyDescent="0.25">
      <c r="A753" s="3"/>
      <c r="B753" s="3"/>
      <c r="C753" s="3"/>
      <c r="D753" s="3"/>
      <c r="E753" s="18"/>
      <c r="F753" s="8"/>
      <c r="G753" s="8"/>
      <c r="H753" s="8"/>
      <c r="I753" s="8"/>
    </row>
    <row r="754" spans="1:9" ht="14.25" customHeight="1" x14ac:dyDescent="0.25">
      <c r="A754" s="3"/>
      <c r="B754" s="3"/>
      <c r="C754" s="3"/>
      <c r="D754" s="3"/>
      <c r="E754" s="18"/>
      <c r="F754" s="8"/>
      <c r="G754" s="8"/>
      <c r="H754" s="8"/>
      <c r="I754" s="8"/>
    </row>
    <row r="755" spans="1:9" ht="14.25" customHeight="1" x14ac:dyDescent="0.25">
      <c r="A755" s="3"/>
      <c r="B755" s="3"/>
      <c r="C755" s="3"/>
      <c r="D755" s="3"/>
      <c r="E755" s="18"/>
      <c r="F755" s="8"/>
      <c r="G755" s="8"/>
      <c r="H755" s="8"/>
      <c r="I755" s="8"/>
    </row>
    <row r="756" spans="1:9" ht="14.25" customHeight="1" x14ac:dyDescent="0.25">
      <c r="A756" s="3"/>
      <c r="B756" s="3"/>
      <c r="C756" s="3"/>
      <c r="D756" s="3"/>
      <c r="E756" s="18"/>
      <c r="F756" s="8"/>
      <c r="G756" s="8"/>
      <c r="H756" s="8"/>
      <c r="I756" s="8"/>
    </row>
    <row r="757" spans="1:9" ht="14.25" customHeight="1" x14ac:dyDescent="0.25">
      <c r="A757" s="3"/>
      <c r="B757" s="3"/>
      <c r="C757" s="3"/>
      <c r="D757" s="3"/>
      <c r="E757" s="18"/>
      <c r="F757" s="8"/>
      <c r="G757" s="8"/>
      <c r="H757" s="8"/>
      <c r="I757" s="8"/>
    </row>
    <row r="758" spans="1:9" ht="14.25" customHeight="1" x14ac:dyDescent="0.25">
      <c r="A758" s="3"/>
      <c r="B758" s="3"/>
      <c r="C758" s="3"/>
      <c r="D758" s="3"/>
      <c r="E758" s="18"/>
      <c r="F758" s="8"/>
      <c r="G758" s="8"/>
      <c r="H758" s="8"/>
      <c r="I758" s="8"/>
    </row>
    <row r="759" spans="1:9" ht="14.25" customHeight="1" x14ac:dyDescent="0.25">
      <c r="A759" s="3"/>
      <c r="B759" s="3"/>
      <c r="C759" s="3"/>
      <c r="D759" s="3"/>
      <c r="E759" s="18"/>
      <c r="F759" s="8"/>
      <c r="G759" s="8"/>
      <c r="H759" s="8"/>
      <c r="I759" s="8"/>
    </row>
    <row r="760" spans="1:9" ht="14.25" customHeight="1" x14ac:dyDescent="0.25">
      <c r="A760" s="3"/>
      <c r="B760" s="3"/>
      <c r="C760" s="3"/>
      <c r="D760" s="3"/>
      <c r="E760" s="18"/>
      <c r="F760" s="8"/>
      <c r="G760" s="8"/>
      <c r="H760" s="8"/>
      <c r="I760" s="8"/>
    </row>
    <row r="761" spans="1:9" ht="14.25" customHeight="1" x14ac:dyDescent="0.25">
      <c r="A761" s="3"/>
      <c r="B761" s="3"/>
      <c r="C761" s="3"/>
      <c r="D761" s="3"/>
      <c r="E761" s="18"/>
      <c r="F761" s="8"/>
      <c r="G761" s="8"/>
      <c r="H761" s="8"/>
      <c r="I761" s="8"/>
    </row>
    <row r="762" spans="1:9" ht="14.25" customHeight="1" x14ac:dyDescent="0.25">
      <c r="A762" s="3"/>
      <c r="B762" s="3"/>
      <c r="C762" s="3"/>
      <c r="D762" s="3"/>
      <c r="E762" s="18"/>
      <c r="F762" s="8"/>
      <c r="G762" s="8"/>
      <c r="H762" s="8"/>
      <c r="I762" s="8"/>
    </row>
    <row r="763" spans="1:9" ht="14.25" customHeight="1" x14ac:dyDescent="0.25">
      <c r="A763" s="3"/>
      <c r="B763" s="3"/>
      <c r="C763" s="3"/>
      <c r="D763" s="3"/>
      <c r="E763" s="18"/>
      <c r="F763" s="8"/>
      <c r="G763" s="8"/>
      <c r="H763" s="8"/>
      <c r="I763" s="8"/>
    </row>
    <row r="764" spans="1:9" ht="14.25" customHeight="1" x14ac:dyDescent="0.25">
      <c r="A764" s="3"/>
      <c r="B764" s="3"/>
      <c r="C764" s="3"/>
      <c r="D764" s="3"/>
      <c r="E764" s="18"/>
      <c r="F764" s="8"/>
      <c r="G764" s="8"/>
      <c r="H764" s="8"/>
      <c r="I764" s="8"/>
    </row>
    <row r="765" spans="1:9" ht="14.25" customHeight="1" x14ac:dyDescent="0.25">
      <c r="A765" s="3"/>
      <c r="B765" s="3"/>
      <c r="C765" s="3"/>
      <c r="D765" s="3"/>
      <c r="E765" s="18"/>
      <c r="F765" s="8"/>
      <c r="G765" s="8"/>
      <c r="H765" s="8"/>
      <c r="I765" s="8"/>
    </row>
    <row r="766" spans="1:9" ht="14.25" customHeight="1" x14ac:dyDescent="0.25">
      <c r="A766" s="3"/>
      <c r="B766" s="3"/>
      <c r="C766" s="3"/>
      <c r="D766" s="3"/>
      <c r="E766" s="18"/>
      <c r="F766" s="8"/>
      <c r="G766" s="8"/>
      <c r="H766" s="8"/>
      <c r="I766" s="8"/>
    </row>
    <row r="767" spans="1:9" ht="14.25" customHeight="1" x14ac:dyDescent="0.25">
      <c r="A767" s="3"/>
      <c r="B767" s="3"/>
      <c r="C767" s="3"/>
      <c r="D767" s="3"/>
      <c r="E767" s="18"/>
      <c r="F767" s="8"/>
      <c r="G767" s="8"/>
      <c r="H767" s="8"/>
      <c r="I767" s="8"/>
    </row>
    <row r="768" spans="1:9" ht="14.25" customHeight="1" x14ac:dyDescent="0.25">
      <c r="A768" s="3"/>
      <c r="B768" s="3"/>
      <c r="C768" s="3"/>
      <c r="D768" s="3"/>
      <c r="E768" s="18"/>
      <c r="F768" s="8"/>
      <c r="G768" s="8"/>
      <c r="H768" s="8"/>
      <c r="I768" s="8"/>
    </row>
    <row r="769" spans="1:9" ht="14.25" customHeight="1" x14ac:dyDescent="0.25">
      <c r="A769" s="3"/>
      <c r="B769" s="3"/>
      <c r="C769" s="3"/>
      <c r="D769" s="3"/>
      <c r="E769" s="18"/>
      <c r="F769" s="8"/>
      <c r="G769" s="8"/>
      <c r="H769" s="8"/>
      <c r="I769" s="8"/>
    </row>
    <row r="770" spans="1:9" ht="14.25" customHeight="1" x14ac:dyDescent="0.25">
      <c r="A770" s="3"/>
      <c r="B770" s="3"/>
      <c r="C770" s="3"/>
      <c r="D770" s="3"/>
      <c r="E770" s="18"/>
      <c r="F770" s="8"/>
      <c r="G770" s="8"/>
      <c r="H770" s="8"/>
      <c r="I770" s="8"/>
    </row>
    <row r="771" spans="1:9" ht="14.25" customHeight="1" x14ac:dyDescent="0.25">
      <c r="A771" s="3"/>
      <c r="B771" s="3"/>
      <c r="C771" s="3"/>
      <c r="D771" s="3"/>
      <c r="E771" s="18"/>
      <c r="F771" s="8"/>
      <c r="G771" s="8"/>
      <c r="H771" s="8"/>
      <c r="I771" s="8"/>
    </row>
    <row r="772" spans="1:9" ht="14.25" customHeight="1" x14ac:dyDescent="0.25">
      <c r="A772" s="3"/>
      <c r="B772" s="3"/>
      <c r="C772" s="3"/>
      <c r="D772" s="3"/>
      <c r="E772" s="18"/>
      <c r="F772" s="8"/>
      <c r="G772" s="8"/>
      <c r="H772" s="8"/>
      <c r="I772" s="8"/>
    </row>
    <row r="773" spans="1:9" ht="14.25" customHeight="1" x14ac:dyDescent="0.25">
      <c r="A773" s="3"/>
      <c r="B773" s="3"/>
      <c r="C773" s="3"/>
      <c r="D773" s="3"/>
      <c r="E773" s="18"/>
      <c r="F773" s="8"/>
      <c r="G773" s="8"/>
      <c r="H773" s="8"/>
      <c r="I773" s="8"/>
    </row>
    <row r="774" spans="1:9" ht="14.25" customHeight="1" x14ac:dyDescent="0.25">
      <c r="A774" s="3"/>
      <c r="B774" s="3"/>
      <c r="C774" s="3"/>
      <c r="D774" s="3"/>
      <c r="E774" s="18"/>
      <c r="F774" s="8"/>
      <c r="G774" s="8"/>
      <c r="H774" s="8"/>
      <c r="I774" s="8"/>
    </row>
    <row r="775" spans="1:9" ht="14.25" customHeight="1" x14ac:dyDescent="0.25">
      <c r="A775" s="3"/>
      <c r="B775" s="3"/>
      <c r="C775" s="3"/>
      <c r="D775" s="3"/>
      <c r="E775" s="18"/>
      <c r="F775" s="8"/>
      <c r="G775" s="8"/>
      <c r="H775" s="8"/>
      <c r="I775" s="8"/>
    </row>
    <row r="776" spans="1:9" ht="14.25" customHeight="1" x14ac:dyDescent="0.25">
      <c r="A776" s="3"/>
      <c r="B776" s="3"/>
      <c r="C776" s="3"/>
      <c r="D776" s="3"/>
      <c r="E776" s="18"/>
      <c r="F776" s="8"/>
      <c r="G776" s="8"/>
      <c r="H776" s="8"/>
      <c r="I776" s="8"/>
    </row>
    <row r="777" spans="1:9" ht="14.25" customHeight="1" x14ac:dyDescent="0.25">
      <c r="A777" s="3"/>
      <c r="B777" s="3"/>
      <c r="C777" s="3"/>
      <c r="D777" s="3"/>
      <c r="E777" s="18"/>
      <c r="F777" s="8"/>
      <c r="G777" s="8"/>
      <c r="H777" s="8"/>
      <c r="I777" s="8"/>
    </row>
    <row r="778" spans="1:9" ht="14.25" customHeight="1" x14ac:dyDescent="0.25">
      <c r="A778" s="3"/>
      <c r="B778" s="3"/>
      <c r="C778" s="3"/>
      <c r="D778" s="3"/>
      <c r="E778" s="18"/>
      <c r="F778" s="8"/>
      <c r="G778" s="8"/>
      <c r="H778" s="8"/>
      <c r="I778" s="8"/>
    </row>
    <row r="779" spans="1:9" ht="14.25" customHeight="1" x14ac:dyDescent="0.25">
      <c r="A779" s="3"/>
      <c r="B779" s="3"/>
      <c r="C779" s="3"/>
      <c r="D779" s="3"/>
      <c r="E779" s="18"/>
      <c r="F779" s="8"/>
      <c r="G779" s="8"/>
      <c r="H779" s="8"/>
      <c r="I779" s="8"/>
    </row>
    <row r="780" spans="1:9" ht="14.25" customHeight="1" x14ac:dyDescent="0.25">
      <c r="A780" s="3"/>
      <c r="B780" s="3"/>
      <c r="C780" s="3"/>
      <c r="D780" s="3"/>
      <c r="E780" s="18"/>
      <c r="F780" s="8"/>
      <c r="G780" s="8"/>
      <c r="H780" s="8"/>
      <c r="I780" s="8"/>
    </row>
    <row r="781" spans="1:9" ht="14.25" customHeight="1" x14ac:dyDescent="0.25">
      <c r="A781" s="3"/>
      <c r="B781" s="3"/>
      <c r="C781" s="3"/>
      <c r="D781" s="3"/>
      <c r="E781" s="18"/>
      <c r="F781" s="8"/>
      <c r="G781" s="8"/>
      <c r="H781" s="8"/>
      <c r="I781" s="8"/>
    </row>
    <row r="782" spans="1:9" ht="14.25" customHeight="1" x14ac:dyDescent="0.25">
      <c r="A782" s="3"/>
      <c r="B782" s="3"/>
      <c r="C782" s="3"/>
      <c r="D782" s="3"/>
      <c r="E782" s="18"/>
      <c r="F782" s="8"/>
      <c r="G782" s="8"/>
      <c r="H782" s="8"/>
      <c r="I782" s="8"/>
    </row>
    <row r="783" spans="1:9" ht="14.25" customHeight="1" x14ac:dyDescent="0.25">
      <c r="A783" s="3"/>
      <c r="B783" s="3"/>
      <c r="C783" s="3"/>
      <c r="D783" s="3"/>
      <c r="E783" s="18"/>
      <c r="F783" s="8"/>
      <c r="G783" s="8"/>
      <c r="H783" s="8"/>
      <c r="I783" s="8"/>
    </row>
    <row r="784" spans="1:9" ht="14.25" customHeight="1" x14ac:dyDescent="0.25">
      <c r="A784" s="3"/>
      <c r="B784" s="3"/>
      <c r="C784" s="3"/>
      <c r="D784" s="3"/>
      <c r="E784" s="18"/>
      <c r="F784" s="8"/>
      <c r="G784" s="8"/>
      <c r="H784" s="8"/>
      <c r="I784" s="8"/>
    </row>
    <row r="785" spans="1:9" ht="14.25" customHeight="1" x14ac:dyDescent="0.25">
      <c r="A785" s="3"/>
      <c r="B785" s="3"/>
      <c r="C785" s="3"/>
      <c r="D785" s="3"/>
      <c r="E785" s="18"/>
      <c r="F785" s="8"/>
      <c r="G785" s="8"/>
      <c r="H785" s="8"/>
      <c r="I785" s="8"/>
    </row>
    <row r="786" spans="1:9" ht="14.25" customHeight="1" x14ac:dyDescent="0.25">
      <c r="A786" s="3"/>
      <c r="B786" s="3"/>
      <c r="C786" s="3"/>
      <c r="D786" s="3"/>
      <c r="E786" s="18"/>
      <c r="F786" s="8"/>
      <c r="G786" s="8"/>
      <c r="H786" s="8"/>
      <c r="I786" s="8"/>
    </row>
    <row r="787" spans="1:9" ht="14.25" customHeight="1" x14ac:dyDescent="0.25">
      <c r="A787" s="3"/>
      <c r="B787" s="3"/>
      <c r="C787" s="3"/>
      <c r="D787" s="3"/>
      <c r="E787" s="18"/>
      <c r="F787" s="8"/>
      <c r="G787" s="8"/>
      <c r="H787" s="8"/>
      <c r="I787" s="8"/>
    </row>
    <row r="788" spans="1:9" ht="14.25" customHeight="1" x14ac:dyDescent="0.25">
      <c r="A788" s="3"/>
      <c r="B788" s="3"/>
      <c r="C788" s="3"/>
      <c r="D788" s="3"/>
      <c r="E788" s="18"/>
      <c r="F788" s="8"/>
      <c r="G788" s="8"/>
      <c r="H788" s="8"/>
      <c r="I788" s="8"/>
    </row>
    <row r="789" spans="1:9" ht="14.25" customHeight="1" x14ac:dyDescent="0.25">
      <c r="A789" s="3"/>
      <c r="B789" s="3"/>
      <c r="C789" s="3"/>
      <c r="D789" s="3"/>
      <c r="E789" s="18"/>
      <c r="F789" s="8"/>
      <c r="G789" s="8"/>
      <c r="H789" s="8"/>
      <c r="I789" s="8"/>
    </row>
    <row r="790" spans="1:9" ht="14.25" customHeight="1" x14ac:dyDescent="0.25">
      <c r="A790" s="3"/>
      <c r="B790" s="3"/>
      <c r="C790" s="3"/>
      <c r="D790" s="3"/>
      <c r="E790" s="18"/>
      <c r="F790" s="8"/>
      <c r="G790" s="8"/>
      <c r="H790" s="8"/>
      <c r="I790" s="8"/>
    </row>
    <row r="791" spans="1:9" ht="14.25" customHeight="1" x14ac:dyDescent="0.25">
      <c r="A791" s="3"/>
      <c r="B791" s="3"/>
      <c r="C791" s="3"/>
      <c r="D791" s="3"/>
      <c r="E791" s="18"/>
      <c r="F791" s="8"/>
      <c r="G791" s="8"/>
      <c r="H791" s="8"/>
      <c r="I791" s="8"/>
    </row>
    <row r="792" spans="1:9" ht="14.25" customHeight="1" x14ac:dyDescent="0.25">
      <c r="A792" s="3"/>
      <c r="B792" s="3"/>
      <c r="C792" s="3"/>
      <c r="D792" s="3"/>
      <c r="E792" s="18"/>
      <c r="F792" s="8"/>
      <c r="G792" s="8"/>
      <c r="H792" s="8"/>
      <c r="I792" s="8"/>
    </row>
    <row r="793" spans="1:9" ht="14.25" customHeight="1" x14ac:dyDescent="0.25">
      <c r="A793" s="3"/>
      <c r="B793" s="3"/>
      <c r="C793" s="3"/>
      <c r="D793" s="3"/>
      <c r="E793" s="18"/>
      <c r="F793" s="8"/>
      <c r="G793" s="8"/>
      <c r="H793" s="8"/>
      <c r="I793" s="8"/>
    </row>
    <row r="794" spans="1:9" ht="14.25" customHeight="1" x14ac:dyDescent="0.25">
      <c r="A794" s="3"/>
      <c r="B794" s="3"/>
      <c r="C794" s="3"/>
      <c r="D794" s="3"/>
      <c r="E794" s="18"/>
      <c r="F794" s="8"/>
      <c r="G794" s="8"/>
      <c r="H794" s="8"/>
      <c r="I794" s="8"/>
    </row>
    <row r="795" spans="1:9" ht="14.25" customHeight="1" x14ac:dyDescent="0.25">
      <c r="A795" s="3"/>
      <c r="B795" s="3"/>
      <c r="C795" s="3"/>
      <c r="D795" s="3"/>
      <c r="E795" s="18"/>
      <c r="F795" s="8"/>
      <c r="G795" s="8"/>
      <c r="H795" s="8"/>
      <c r="I795" s="8"/>
    </row>
    <row r="796" spans="1:9" ht="14.25" customHeight="1" x14ac:dyDescent="0.25">
      <c r="A796" s="3"/>
      <c r="B796" s="3"/>
      <c r="C796" s="3"/>
      <c r="D796" s="3"/>
      <c r="E796" s="18"/>
      <c r="F796" s="8"/>
      <c r="G796" s="8"/>
      <c r="H796" s="8"/>
      <c r="I796" s="8"/>
    </row>
    <row r="797" spans="1:9" ht="14.25" customHeight="1" x14ac:dyDescent="0.25">
      <c r="A797" s="3"/>
      <c r="B797" s="3"/>
      <c r="C797" s="3"/>
      <c r="D797" s="3"/>
      <c r="E797" s="18"/>
      <c r="F797" s="8"/>
      <c r="G797" s="8"/>
      <c r="H797" s="8"/>
      <c r="I797" s="8"/>
    </row>
    <row r="798" spans="1:9" ht="14.25" customHeight="1" x14ac:dyDescent="0.25">
      <c r="A798" s="3"/>
      <c r="B798" s="3"/>
      <c r="C798" s="3"/>
      <c r="D798" s="3"/>
      <c r="E798" s="18"/>
      <c r="F798" s="8"/>
      <c r="G798" s="8"/>
      <c r="H798" s="8"/>
      <c r="I798" s="8"/>
    </row>
    <row r="799" spans="1:9" ht="14.25" customHeight="1" x14ac:dyDescent="0.25">
      <c r="A799" s="3"/>
      <c r="B799" s="3"/>
      <c r="C799" s="3"/>
      <c r="D799" s="3"/>
      <c r="E799" s="18"/>
      <c r="F799" s="8"/>
      <c r="G799" s="8"/>
      <c r="H799" s="8"/>
      <c r="I799" s="8"/>
    </row>
    <row r="800" spans="1:9" ht="14.25" customHeight="1" x14ac:dyDescent="0.25">
      <c r="A800" s="3"/>
      <c r="B800" s="3"/>
      <c r="C800" s="3"/>
      <c r="D800" s="3"/>
      <c r="E800" s="18"/>
      <c r="F800" s="8"/>
      <c r="G800" s="8"/>
      <c r="H800" s="8"/>
      <c r="I800" s="8"/>
    </row>
    <row r="801" spans="1:9" ht="14.25" customHeight="1" x14ac:dyDescent="0.25">
      <c r="A801" s="3"/>
      <c r="B801" s="3"/>
      <c r="C801" s="3"/>
      <c r="D801" s="3"/>
      <c r="E801" s="18"/>
      <c r="F801" s="8"/>
      <c r="G801" s="8"/>
      <c r="H801" s="8"/>
      <c r="I801" s="8"/>
    </row>
    <row r="802" spans="1:9" ht="14.25" customHeight="1" x14ac:dyDescent="0.25">
      <c r="A802" s="3"/>
      <c r="B802" s="3"/>
      <c r="C802" s="3"/>
      <c r="D802" s="3"/>
      <c r="E802" s="18"/>
      <c r="F802" s="8"/>
      <c r="G802" s="8"/>
      <c r="H802" s="8"/>
      <c r="I802" s="8"/>
    </row>
    <row r="803" spans="1:9" ht="14.25" customHeight="1" x14ac:dyDescent="0.25">
      <c r="A803" s="3"/>
      <c r="B803" s="3"/>
      <c r="C803" s="3"/>
      <c r="D803" s="3"/>
      <c r="E803" s="18"/>
      <c r="F803" s="8"/>
      <c r="G803" s="8"/>
      <c r="H803" s="8"/>
      <c r="I803" s="8"/>
    </row>
    <row r="804" spans="1:9" ht="14.25" customHeight="1" x14ac:dyDescent="0.25">
      <c r="A804" s="3"/>
      <c r="B804" s="3"/>
      <c r="C804" s="3"/>
      <c r="D804" s="3"/>
      <c r="E804" s="18"/>
      <c r="F804" s="8"/>
      <c r="G804" s="8"/>
      <c r="H804" s="8"/>
      <c r="I804" s="8"/>
    </row>
    <row r="805" spans="1:9" ht="14.25" customHeight="1" x14ac:dyDescent="0.25">
      <c r="A805" s="3"/>
      <c r="B805" s="3"/>
      <c r="C805" s="3"/>
      <c r="D805" s="3"/>
      <c r="E805" s="18"/>
      <c r="F805" s="8"/>
      <c r="G805" s="8"/>
      <c r="H805" s="8"/>
      <c r="I805" s="8"/>
    </row>
    <row r="806" spans="1:9" ht="14.25" customHeight="1" x14ac:dyDescent="0.25">
      <c r="A806" s="3"/>
      <c r="B806" s="3"/>
      <c r="C806" s="3"/>
      <c r="D806" s="3"/>
      <c r="E806" s="18"/>
      <c r="F806" s="8"/>
      <c r="G806" s="8"/>
      <c r="H806" s="8"/>
      <c r="I806" s="8"/>
    </row>
    <row r="807" spans="1:9" ht="14.25" customHeight="1" x14ac:dyDescent="0.25">
      <c r="A807" s="3"/>
      <c r="B807" s="3"/>
      <c r="C807" s="3"/>
      <c r="D807" s="3"/>
      <c r="E807" s="18"/>
      <c r="F807" s="8"/>
      <c r="G807" s="8"/>
      <c r="H807" s="8"/>
      <c r="I807" s="8"/>
    </row>
    <row r="808" spans="1:9" ht="14.25" customHeight="1" x14ac:dyDescent="0.25">
      <c r="A808" s="3"/>
      <c r="B808" s="3"/>
      <c r="C808" s="3"/>
      <c r="D808" s="3"/>
      <c r="E808" s="18"/>
      <c r="F808" s="8"/>
      <c r="G808" s="8"/>
      <c r="H808" s="8"/>
      <c r="I808" s="8"/>
    </row>
    <row r="809" spans="1:9" ht="14.25" customHeight="1" x14ac:dyDescent="0.25">
      <c r="A809" s="3"/>
      <c r="B809" s="3"/>
      <c r="C809" s="3"/>
      <c r="D809" s="3"/>
      <c r="E809" s="18"/>
      <c r="F809" s="8"/>
      <c r="G809" s="8"/>
      <c r="H809" s="8"/>
      <c r="I809" s="8"/>
    </row>
    <row r="810" spans="1:9" ht="14.25" customHeight="1" x14ac:dyDescent="0.25">
      <c r="A810" s="3"/>
      <c r="B810" s="3"/>
      <c r="C810" s="3"/>
      <c r="D810" s="3"/>
      <c r="E810" s="18"/>
      <c r="F810" s="8"/>
      <c r="G810" s="8"/>
      <c r="H810" s="8"/>
      <c r="I810" s="8"/>
    </row>
    <row r="811" spans="1:9" ht="14.25" customHeight="1" x14ac:dyDescent="0.25">
      <c r="A811" s="3"/>
      <c r="B811" s="3"/>
      <c r="C811" s="3"/>
      <c r="D811" s="3"/>
      <c r="E811" s="18"/>
      <c r="F811" s="8"/>
      <c r="G811" s="8"/>
      <c r="H811" s="8"/>
      <c r="I811" s="8"/>
    </row>
    <row r="812" spans="1:9" ht="14.25" customHeight="1" x14ac:dyDescent="0.25">
      <c r="A812" s="3"/>
      <c r="B812" s="3"/>
      <c r="C812" s="3"/>
      <c r="D812" s="3"/>
      <c r="E812" s="18"/>
      <c r="F812" s="8"/>
      <c r="G812" s="8"/>
      <c r="H812" s="8"/>
      <c r="I812" s="8"/>
    </row>
    <row r="813" spans="1:9" ht="14.25" customHeight="1" x14ac:dyDescent="0.25">
      <c r="A813" s="3"/>
      <c r="B813" s="3"/>
      <c r="C813" s="3"/>
      <c r="D813" s="3"/>
      <c r="E813" s="18"/>
      <c r="F813" s="8"/>
      <c r="G813" s="8"/>
      <c r="H813" s="8"/>
      <c r="I813" s="8"/>
    </row>
    <row r="814" spans="1:9" ht="14.25" customHeight="1" x14ac:dyDescent="0.25">
      <c r="A814" s="3"/>
      <c r="B814" s="3"/>
      <c r="C814" s="3"/>
      <c r="D814" s="3"/>
      <c r="E814" s="18"/>
      <c r="F814" s="8"/>
      <c r="G814" s="8"/>
      <c r="H814" s="8"/>
      <c r="I814" s="8"/>
    </row>
    <row r="815" spans="1:9" ht="14.25" customHeight="1" x14ac:dyDescent="0.25">
      <c r="A815" s="3"/>
      <c r="B815" s="3"/>
      <c r="C815" s="3"/>
      <c r="D815" s="3"/>
      <c r="E815" s="18"/>
      <c r="F815" s="8"/>
      <c r="G815" s="8"/>
      <c r="H815" s="8"/>
      <c r="I815" s="8"/>
    </row>
    <row r="816" spans="1:9" ht="14.25" customHeight="1" x14ac:dyDescent="0.25">
      <c r="A816" s="3"/>
      <c r="B816" s="3"/>
      <c r="C816" s="3"/>
      <c r="D816" s="3"/>
      <c r="E816" s="18"/>
      <c r="F816" s="8"/>
      <c r="G816" s="8"/>
      <c r="H816" s="8"/>
      <c r="I816" s="8"/>
    </row>
    <row r="817" spans="1:9" ht="14.25" customHeight="1" x14ac:dyDescent="0.25">
      <c r="A817" s="3"/>
      <c r="B817" s="3"/>
      <c r="C817" s="3"/>
      <c r="D817" s="3"/>
      <c r="E817" s="18"/>
      <c r="F817" s="8"/>
      <c r="G817" s="8"/>
      <c r="H817" s="8"/>
      <c r="I817" s="8"/>
    </row>
    <row r="818" spans="1:9" ht="14.25" customHeight="1" x14ac:dyDescent="0.25">
      <c r="A818" s="3"/>
      <c r="B818" s="3"/>
      <c r="C818" s="3"/>
      <c r="D818" s="3"/>
      <c r="E818" s="18"/>
      <c r="F818" s="8"/>
      <c r="G818" s="8"/>
      <c r="H818" s="8"/>
      <c r="I818" s="8"/>
    </row>
    <row r="819" spans="1:9" ht="14.25" customHeight="1" x14ac:dyDescent="0.25">
      <c r="A819" s="3"/>
      <c r="B819" s="3"/>
      <c r="C819" s="3"/>
      <c r="D819" s="3"/>
      <c r="E819" s="18"/>
      <c r="F819" s="8"/>
      <c r="G819" s="8"/>
      <c r="H819" s="8"/>
      <c r="I819" s="8"/>
    </row>
    <row r="820" spans="1:9" ht="14.25" customHeight="1" x14ac:dyDescent="0.25">
      <c r="A820" s="3"/>
      <c r="B820" s="3"/>
      <c r="C820" s="3"/>
      <c r="D820" s="3"/>
      <c r="E820" s="18"/>
      <c r="F820" s="8"/>
      <c r="G820" s="8"/>
      <c r="H820" s="8"/>
      <c r="I820" s="8"/>
    </row>
    <row r="821" spans="1:9" ht="14.25" customHeight="1" x14ac:dyDescent="0.25">
      <c r="A821" s="3"/>
      <c r="B821" s="3"/>
      <c r="C821" s="3"/>
      <c r="D821" s="3"/>
      <c r="E821" s="18"/>
      <c r="F821" s="8"/>
      <c r="G821" s="8"/>
      <c r="H821" s="8"/>
      <c r="I821" s="8"/>
    </row>
    <row r="822" spans="1:9" ht="14.25" customHeight="1" x14ac:dyDescent="0.25">
      <c r="A822" s="3"/>
      <c r="B822" s="3"/>
      <c r="C822" s="3"/>
      <c r="D822" s="3"/>
      <c r="E822" s="18"/>
      <c r="F822" s="8"/>
      <c r="G822" s="8"/>
      <c r="H822" s="8"/>
      <c r="I822" s="8"/>
    </row>
    <row r="823" spans="1:9" ht="14.25" customHeight="1" x14ac:dyDescent="0.25">
      <c r="A823" s="3"/>
      <c r="B823" s="3"/>
      <c r="C823" s="3"/>
      <c r="D823" s="3"/>
      <c r="E823" s="18"/>
      <c r="F823" s="8"/>
      <c r="G823" s="8"/>
      <c r="H823" s="8"/>
      <c r="I823" s="8"/>
    </row>
    <row r="824" spans="1:9" ht="14.25" customHeight="1" x14ac:dyDescent="0.25">
      <c r="A824" s="3"/>
      <c r="B824" s="3"/>
      <c r="C824" s="3"/>
      <c r="D824" s="3"/>
      <c r="E824" s="18"/>
      <c r="F824" s="8"/>
      <c r="G824" s="8"/>
      <c r="H824" s="8"/>
      <c r="I824" s="8"/>
    </row>
    <row r="825" spans="1:9" ht="14.25" customHeight="1" x14ac:dyDescent="0.25">
      <c r="A825" s="3"/>
      <c r="B825" s="3"/>
      <c r="C825" s="3"/>
      <c r="D825" s="3"/>
      <c r="E825" s="18"/>
      <c r="F825" s="8"/>
      <c r="G825" s="8"/>
      <c r="H825" s="8"/>
      <c r="I825" s="8"/>
    </row>
    <row r="826" spans="1:9" ht="14.25" customHeight="1" x14ac:dyDescent="0.25">
      <c r="A826" s="3"/>
      <c r="B826" s="3"/>
      <c r="C826" s="3"/>
      <c r="D826" s="3"/>
      <c r="E826" s="18"/>
      <c r="F826" s="8"/>
      <c r="G826" s="8"/>
      <c r="H826" s="8"/>
      <c r="I826" s="8"/>
    </row>
    <row r="827" spans="1:9" ht="14.25" customHeight="1" x14ac:dyDescent="0.25">
      <c r="A827" s="3"/>
      <c r="B827" s="3"/>
      <c r="C827" s="3"/>
      <c r="D827" s="3"/>
      <c r="E827" s="18"/>
      <c r="F827" s="8"/>
      <c r="G827" s="8"/>
      <c r="H827" s="8"/>
      <c r="I827" s="8"/>
    </row>
    <row r="828" spans="1:9" ht="14.25" customHeight="1" x14ac:dyDescent="0.25">
      <c r="A828" s="3"/>
      <c r="B828" s="3"/>
      <c r="C828" s="3"/>
      <c r="D828" s="3"/>
      <c r="E828" s="18"/>
      <c r="F828" s="8"/>
      <c r="G828" s="8"/>
      <c r="H828" s="8"/>
      <c r="I828" s="8"/>
    </row>
    <row r="829" spans="1:9" ht="14.25" customHeight="1" x14ac:dyDescent="0.25">
      <c r="A829" s="3"/>
      <c r="B829" s="3"/>
      <c r="C829" s="3"/>
      <c r="D829" s="3"/>
      <c r="E829" s="18"/>
      <c r="F829" s="8"/>
      <c r="G829" s="8"/>
      <c r="H829" s="8"/>
      <c r="I829" s="8"/>
    </row>
    <row r="830" spans="1:9" ht="14.25" customHeight="1" x14ac:dyDescent="0.25">
      <c r="A830" s="3"/>
      <c r="B830" s="3"/>
      <c r="C830" s="3"/>
      <c r="D830" s="3"/>
      <c r="E830" s="18"/>
      <c r="F830" s="8"/>
      <c r="G830" s="8"/>
      <c r="H830" s="8"/>
      <c r="I830" s="8"/>
    </row>
    <row r="831" spans="1:9" ht="14.25" customHeight="1" x14ac:dyDescent="0.25">
      <c r="A831" s="3"/>
      <c r="B831" s="3"/>
      <c r="C831" s="3"/>
      <c r="D831" s="3"/>
      <c r="E831" s="18"/>
      <c r="F831" s="8"/>
      <c r="G831" s="8"/>
      <c r="H831" s="8"/>
      <c r="I831" s="8"/>
    </row>
    <row r="832" spans="1:9" ht="14.25" customHeight="1" x14ac:dyDescent="0.25">
      <c r="A832" s="3"/>
      <c r="B832" s="3"/>
      <c r="C832" s="3"/>
      <c r="D832" s="3"/>
      <c r="E832" s="18"/>
      <c r="F832" s="8"/>
      <c r="G832" s="8"/>
      <c r="H832" s="8"/>
      <c r="I832" s="8"/>
    </row>
    <row r="833" spans="1:9" ht="14.25" customHeight="1" x14ac:dyDescent="0.25">
      <c r="A833" s="3"/>
      <c r="B833" s="3"/>
      <c r="C833" s="3"/>
      <c r="D833" s="3"/>
      <c r="E833" s="18"/>
      <c r="F833" s="8"/>
      <c r="G833" s="8"/>
      <c r="H833" s="8"/>
      <c r="I833" s="8"/>
    </row>
    <row r="834" spans="1:9" ht="14.25" customHeight="1" x14ac:dyDescent="0.25">
      <c r="A834" s="3"/>
      <c r="B834" s="3"/>
      <c r="C834" s="3"/>
      <c r="D834" s="3"/>
      <c r="E834" s="18"/>
      <c r="F834" s="8"/>
      <c r="G834" s="8"/>
      <c r="H834" s="8"/>
      <c r="I834" s="8"/>
    </row>
    <row r="835" spans="1:9" ht="14.25" customHeight="1" x14ac:dyDescent="0.25">
      <c r="A835" s="3"/>
      <c r="B835" s="3"/>
      <c r="C835" s="3"/>
      <c r="D835" s="3"/>
      <c r="E835" s="18"/>
      <c r="F835" s="8"/>
      <c r="G835" s="8"/>
      <c r="H835" s="8"/>
      <c r="I835" s="8"/>
    </row>
    <row r="836" spans="1:9" ht="14.25" customHeight="1" x14ac:dyDescent="0.25">
      <c r="A836" s="3"/>
      <c r="B836" s="3"/>
      <c r="C836" s="3"/>
      <c r="D836" s="3"/>
      <c r="E836" s="18"/>
      <c r="F836" s="8"/>
      <c r="G836" s="8"/>
      <c r="H836" s="8"/>
      <c r="I836" s="8"/>
    </row>
    <row r="837" spans="1:9" ht="14.25" customHeight="1" x14ac:dyDescent="0.25">
      <c r="A837" s="3"/>
      <c r="B837" s="3"/>
      <c r="C837" s="3"/>
      <c r="D837" s="3"/>
      <c r="E837" s="18"/>
      <c r="F837" s="8"/>
      <c r="G837" s="8"/>
      <c r="H837" s="8"/>
      <c r="I837" s="8"/>
    </row>
    <row r="838" spans="1:9" ht="14.25" customHeight="1" x14ac:dyDescent="0.25">
      <c r="A838" s="3"/>
      <c r="B838" s="3"/>
      <c r="C838" s="3"/>
      <c r="D838" s="3"/>
      <c r="E838" s="18"/>
      <c r="F838" s="8"/>
      <c r="G838" s="8"/>
      <c r="H838" s="8"/>
      <c r="I838" s="8"/>
    </row>
    <row r="839" spans="1:9" ht="14.25" customHeight="1" x14ac:dyDescent="0.25">
      <c r="A839" s="3"/>
      <c r="B839" s="3"/>
      <c r="C839" s="3"/>
      <c r="D839" s="3"/>
      <c r="E839" s="18"/>
      <c r="F839" s="8"/>
      <c r="G839" s="8"/>
      <c r="H839" s="8"/>
      <c r="I839" s="8"/>
    </row>
    <row r="840" spans="1:9" ht="14.25" customHeight="1" x14ac:dyDescent="0.25">
      <c r="A840" s="3"/>
      <c r="B840" s="3"/>
      <c r="C840" s="3"/>
      <c r="D840" s="3"/>
      <c r="E840" s="18"/>
      <c r="F840" s="8"/>
      <c r="G840" s="8"/>
      <c r="H840" s="8"/>
      <c r="I840" s="8"/>
    </row>
    <row r="841" spans="1:9" ht="14.25" customHeight="1" x14ac:dyDescent="0.25">
      <c r="A841" s="3"/>
      <c r="B841" s="3"/>
      <c r="C841" s="3"/>
      <c r="D841" s="3"/>
      <c r="E841" s="18"/>
      <c r="F841" s="8"/>
      <c r="G841" s="8"/>
      <c r="H841" s="8"/>
      <c r="I841" s="8"/>
    </row>
    <row r="842" spans="1:9" ht="14.25" customHeight="1" x14ac:dyDescent="0.25">
      <c r="A842" s="3"/>
      <c r="B842" s="3"/>
      <c r="C842" s="3"/>
      <c r="D842" s="3"/>
      <c r="E842" s="18"/>
      <c r="F842" s="8"/>
      <c r="G842" s="8"/>
      <c r="H842" s="8"/>
      <c r="I842" s="8"/>
    </row>
    <row r="843" spans="1:9" ht="14.25" customHeight="1" x14ac:dyDescent="0.25">
      <c r="A843" s="3"/>
      <c r="B843" s="3"/>
      <c r="C843" s="3"/>
      <c r="D843" s="3"/>
      <c r="E843" s="18"/>
      <c r="F843" s="8"/>
      <c r="G843" s="8"/>
      <c r="H843" s="8"/>
      <c r="I843" s="8"/>
    </row>
    <row r="844" spans="1:9" ht="14.25" customHeight="1" x14ac:dyDescent="0.25">
      <c r="A844" s="3"/>
      <c r="B844" s="3"/>
      <c r="C844" s="3"/>
      <c r="D844" s="3"/>
      <c r="E844" s="18"/>
      <c r="F844" s="8"/>
      <c r="G844" s="8"/>
      <c r="H844" s="8"/>
      <c r="I844" s="8"/>
    </row>
    <row r="845" spans="1:9" ht="14.25" customHeight="1" x14ac:dyDescent="0.25">
      <c r="A845" s="3"/>
      <c r="B845" s="3"/>
      <c r="C845" s="3"/>
      <c r="D845" s="3"/>
      <c r="E845" s="18"/>
      <c r="F845" s="8"/>
      <c r="G845" s="8"/>
      <c r="H845" s="8"/>
      <c r="I845" s="8"/>
    </row>
    <row r="846" spans="1:9" ht="14.25" customHeight="1" x14ac:dyDescent="0.25">
      <c r="A846" s="3"/>
      <c r="B846" s="3"/>
      <c r="C846" s="3"/>
      <c r="D846" s="3"/>
      <c r="E846" s="18"/>
      <c r="F846" s="8"/>
      <c r="G846" s="8"/>
      <c r="H846" s="8"/>
      <c r="I846" s="8"/>
    </row>
    <row r="847" spans="1:9" ht="14.25" customHeight="1" x14ac:dyDescent="0.25">
      <c r="A847" s="3"/>
      <c r="B847" s="3"/>
      <c r="C847" s="3"/>
      <c r="D847" s="3"/>
      <c r="E847" s="18"/>
      <c r="F847" s="8"/>
      <c r="G847" s="8"/>
      <c r="H847" s="8"/>
      <c r="I847" s="8"/>
    </row>
    <row r="848" spans="1:9" ht="14.25" customHeight="1" x14ac:dyDescent="0.25">
      <c r="A848" s="3"/>
      <c r="B848" s="3"/>
      <c r="C848" s="3"/>
      <c r="D848" s="3"/>
      <c r="E848" s="18"/>
      <c r="F848" s="8"/>
      <c r="G848" s="8"/>
      <c r="H848" s="8"/>
      <c r="I848" s="8"/>
    </row>
    <row r="849" spans="1:9" ht="14.25" customHeight="1" x14ac:dyDescent="0.25">
      <c r="A849" s="3"/>
      <c r="B849" s="3"/>
      <c r="C849" s="3"/>
      <c r="D849" s="3"/>
      <c r="E849" s="18"/>
      <c r="F849" s="8"/>
      <c r="G849" s="8"/>
      <c r="H849" s="8"/>
      <c r="I849" s="8"/>
    </row>
    <row r="850" spans="1:9" ht="14.25" customHeight="1" x14ac:dyDescent="0.25">
      <c r="A850" s="3"/>
      <c r="B850" s="3"/>
      <c r="C850" s="3"/>
      <c r="D850" s="3"/>
      <c r="E850" s="18"/>
      <c r="F850" s="8"/>
      <c r="G850" s="8"/>
      <c r="H850" s="8"/>
      <c r="I850" s="8"/>
    </row>
    <row r="851" spans="1:9" ht="14.25" customHeight="1" x14ac:dyDescent="0.25">
      <c r="A851" s="3"/>
      <c r="B851" s="3"/>
      <c r="C851" s="3"/>
      <c r="D851" s="3"/>
      <c r="E851" s="18"/>
      <c r="F851" s="8"/>
      <c r="G851" s="8"/>
      <c r="H851" s="8"/>
      <c r="I851" s="8"/>
    </row>
    <row r="852" spans="1:9" ht="14.25" customHeight="1" x14ac:dyDescent="0.25">
      <c r="A852" s="3"/>
      <c r="B852" s="3"/>
      <c r="C852" s="3"/>
      <c r="D852" s="3"/>
      <c r="E852" s="18"/>
      <c r="F852" s="8"/>
      <c r="G852" s="8"/>
      <c r="H852" s="8"/>
      <c r="I852" s="8"/>
    </row>
    <row r="853" spans="1:9" ht="14.25" customHeight="1" x14ac:dyDescent="0.25">
      <c r="A853" s="3"/>
      <c r="B853" s="3"/>
      <c r="C853" s="3"/>
      <c r="D853" s="3"/>
      <c r="E853" s="18"/>
      <c r="F853" s="8"/>
      <c r="G853" s="8"/>
      <c r="H853" s="8"/>
      <c r="I853" s="8"/>
    </row>
    <row r="854" spans="1:9" ht="14.25" customHeight="1" x14ac:dyDescent="0.25">
      <c r="A854" s="3"/>
      <c r="B854" s="3"/>
      <c r="C854" s="3"/>
      <c r="D854" s="3"/>
      <c r="E854" s="18"/>
      <c r="F854" s="8"/>
      <c r="G854" s="8"/>
      <c r="H854" s="8"/>
      <c r="I854" s="8"/>
    </row>
    <row r="855" spans="1:9" ht="14.25" customHeight="1" x14ac:dyDescent="0.25">
      <c r="A855" s="3"/>
      <c r="B855" s="3"/>
      <c r="C855" s="3"/>
      <c r="D855" s="3"/>
      <c r="E855" s="18"/>
      <c r="F855" s="8"/>
      <c r="G855" s="8"/>
      <c r="H855" s="8"/>
      <c r="I855" s="8"/>
    </row>
    <row r="856" spans="1:9" ht="14.25" customHeight="1" x14ac:dyDescent="0.25">
      <c r="A856" s="3"/>
      <c r="B856" s="3"/>
      <c r="C856" s="3"/>
      <c r="D856" s="3"/>
      <c r="E856" s="18"/>
      <c r="F856" s="8"/>
      <c r="G856" s="8"/>
      <c r="H856" s="8"/>
      <c r="I856" s="8"/>
    </row>
    <row r="857" spans="1:9" ht="14.25" customHeight="1" x14ac:dyDescent="0.25">
      <c r="A857" s="3"/>
      <c r="B857" s="3"/>
      <c r="C857" s="3"/>
      <c r="D857" s="3"/>
      <c r="E857" s="18"/>
      <c r="F857" s="8"/>
      <c r="G857" s="8"/>
      <c r="H857" s="8"/>
      <c r="I857" s="8"/>
    </row>
    <row r="858" spans="1:9" ht="14.25" customHeight="1" x14ac:dyDescent="0.25">
      <c r="A858" s="3"/>
      <c r="B858" s="3"/>
      <c r="C858" s="3"/>
      <c r="D858" s="3"/>
      <c r="E858" s="18"/>
      <c r="F858" s="8"/>
      <c r="G858" s="8"/>
      <c r="H858" s="8"/>
      <c r="I858" s="8"/>
    </row>
    <row r="859" spans="1:9" ht="14.25" customHeight="1" x14ac:dyDescent="0.25">
      <c r="A859" s="3"/>
      <c r="B859" s="3"/>
      <c r="C859" s="3"/>
      <c r="D859" s="3"/>
      <c r="E859" s="18"/>
      <c r="F859" s="8"/>
      <c r="G859" s="8"/>
      <c r="H859" s="8"/>
      <c r="I859" s="8"/>
    </row>
    <row r="860" spans="1:9" ht="14.25" customHeight="1" x14ac:dyDescent="0.25">
      <c r="A860" s="3"/>
      <c r="B860" s="3"/>
      <c r="C860" s="3"/>
      <c r="D860" s="3"/>
      <c r="E860" s="18"/>
      <c r="F860" s="8"/>
      <c r="G860" s="8"/>
      <c r="H860" s="8"/>
      <c r="I860" s="8"/>
    </row>
    <row r="861" spans="1:9" ht="14.25" customHeight="1" x14ac:dyDescent="0.25">
      <c r="A861" s="3"/>
      <c r="B861" s="3"/>
      <c r="C861" s="3"/>
      <c r="D861" s="3"/>
      <c r="E861" s="18"/>
      <c r="F861" s="8"/>
      <c r="G861" s="8"/>
      <c r="H861" s="8"/>
      <c r="I861" s="8"/>
    </row>
    <row r="862" spans="1:9" ht="14.25" customHeight="1" x14ac:dyDescent="0.25">
      <c r="A862" s="3"/>
      <c r="B862" s="3"/>
      <c r="C862" s="3"/>
      <c r="D862" s="3"/>
      <c r="E862" s="18"/>
      <c r="F862" s="8"/>
      <c r="G862" s="8"/>
      <c r="H862" s="8"/>
      <c r="I862" s="8"/>
    </row>
    <row r="863" spans="1:9" ht="14.25" customHeight="1" x14ac:dyDescent="0.25">
      <c r="A863" s="3"/>
      <c r="B863" s="3"/>
      <c r="C863" s="3"/>
      <c r="D863" s="3"/>
      <c r="E863" s="18"/>
      <c r="F863" s="8"/>
      <c r="G863" s="8"/>
      <c r="H863" s="8"/>
      <c r="I863" s="8"/>
    </row>
    <row r="864" spans="1:9" ht="14.25" customHeight="1" x14ac:dyDescent="0.25">
      <c r="A864" s="3"/>
      <c r="B864" s="3"/>
      <c r="C864" s="3"/>
      <c r="D864" s="3"/>
      <c r="E864" s="18"/>
      <c r="F864" s="8"/>
      <c r="G864" s="8"/>
      <c r="H864" s="8"/>
      <c r="I864" s="8"/>
    </row>
    <row r="865" spans="1:9" ht="14.25" customHeight="1" x14ac:dyDescent="0.25">
      <c r="A865" s="3"/>
      <c r="B865" s="3"/>
      <c r="C865" s="3"/>
      <c r="D865" s="3"/>
      <c r="E865" s="18"/>
      <c r="F865" s="8"/>
      <c r="G865" s="8"/>
      <c r="H865" s="8"/>
      <c r="I865" s="8"/>
    </row>
    <row r="866" spans="1:9" ht="14.25" customHeight="1" x14ac:dyDescent="0.25">
      <c r="A866" s="3"/>
      <c r="B866" s="3"/>
      <c r="C866" s="3"/>
      <c r="D866" s="3"/>
      <c r="E866" s="18"/>
      <c r="F866" s="8"/>
      <c r="G866" s="8"/>
      <c r="H866" s="8"/>
      <c r="I866" s="8"/>
    </row>
    <row r="867" spans="1:9" ht="14.25" customHeight="1" x14ac:dyDescent="0.25">
      <c r="A867" s="3"/>
      <c r="B867" s="3"/>
      <c r="C867" s="3"/>
      <c r="D867" s="3"/>
      <c r="E867" s="18"/>
      <c r="F867" s="8"/>
      <c r="G867" s="8"/>
      <c r="H867" s="8"/>
      <c r="I867" s="8"/>
    </row>
    <row r="868" spans="1:9" ht="14.25" customHeight="1" x14ac:dyDescent="0.25">
      <c r="A868" s="3"/>
      <c r="B868" s="3"/>
      <c r="C868" s="3"/>
      <c r="D868" s="3"/>
      <c r="E868" s="18"/>
      <c r="F868" s="8"/>
      <c r="G868" s="8"/>
      <c r="H868" s="8"/>
      <c r="I868" s="8"/>
    </row>
    <row r="869" spans="1:9" ht="14.25" customHeight="1" x14ac:dyDescent="0.25">
      <c r="A869" s="3"/>
      <c r="B869" s="3"/>
      <c r="C869" s="3"/>
      <c r="D869" s="3"/>
      <c r="E869" s="18"/>
      <c r="F869" s="8"/>
      <c r="G869" s="8"/>
      <c r="H869" s="8"/>
      <c r="I869" s="8"/>
    </row>
    <row r="870" spans="1:9" ht="14.25" customHeight="1" x14ac:dyDescent="0.25">
      <c r="A870" s="3"/>
      <c r="B870" s="3"/>
      <c r="C870" s="3"/>
      <c r="D870" s="3"/>
      <c r="E870" s="18"/>
      <c r="F870" s="8"/>
      <c r="G870" s="8"/>
      <c r="H870" s="8"/>
      <c r="I870" s="8"/>
    </row>
    <row r="871" spans="1:9" ht="14.25" customHeight="1" x14ac:dyDescent="0.25">
      <c r="A871" s="3"/>
      <c r="B871" s="3"/>
      <c r="C871" s="3"/>
      <c r="D871" s="3"/>
      <c r="E871" s="18"/>
      <c r="F871" s="8"/>
      <c r="G871" s="8"/>
      <c r="H871" s="8"/>
      <c r="I871" s="8"/>
    </row>
    <row r="872" spans="1:9" ht="14.25" customHeight="1" x14ac:dyDescent="0.25">
      <c r="A872" s="3"/>
      <c r="B872" s="3"/>
      <c r="C872" s="3"/>
      <c r="D872" s="3"/>
      <c r="E872" s="18"/>
      <c r="F872" s="8"/>
      <c r="G872" s="8"/>
      <c r="H872" s="8"/>
      <c r="I872" s="8"/>
    </row>
    <row r="873" spans="1:9" ht="14.25" customHeight="1" x14ac:dyDescent="0.25">
      <c r="A873" s="3"/>
      <c r="B873" s="3"/>
      <c r="C873" s="3"/>
      <c r="D873" s="3"/>
      <c r="E873" s="18"/>
      <c r="F873" s="8"/>
      <c r="G873" s="8"/>
      <c r="H873" s="8"/>
      <c r="I873" s="8"/>
    </row>
    <row r="874" spans="1:9" ht="14.25" customHeight="1" x14ac:dyDescent="0.25">
      <c r="A874" s="3"/>
      <c r="B874" s="3"/>
      <c r="C874" s="3"/>
      <c r="D874" s="3"/>
      <c r="E874" s="18"/>
      <c r="F874" s="8"/>
      <c r="G874" s="8"/>
      <c r="H874" s="8"/>
      <c r="I874" s="8"/>
    </row>
    <row r="875" spans="1:9" ht="14.25" customHeight="1" x14ac:dyDescent="0.25">
      <c r="A875" s="3"/>
      <c r="B875" s="3"/>
      <c r="C875" s="3"/>
      <c r="D875" s="3"/>
      <c r="E875" s="18"/>
      <c r="F875" s="8"/>
      <c r="G875" s="8"/>
      <c r="H875" s="8"/>
      <c r="I875" s="8"/>
    </row>
    <row r="876" spans="1:9" ht="14.25" customHeight="1" x14ac:dyDescent="0.25">
      <c r="A876" s="3"/>
      <c r="B876" s="3"/>
      <c r="C876" s="3"/>
      <c r="D876" s="3"/>
      <c r="E876" s="18"/>
      <c r="F876" s="8"/>
      <c r="G876" s="8"/>
      <c r="H876" s="8"/>
      <c r="I876" s="8"/>
    </row>
    <row r="877" spans="1:9" ht="14.25" customHeight="1" x14ac:dyDescent="0.25">
      <c r="A877" s="3"/>
      <c r="B877" s="3"/>
      <c r="C877" s="3"/>
      <c r="D877" s="3"/>
      <c r="E877" s="18"/>
      <c r="F877" s="8"/>
      <c r="G877" s="8"/>
      <c r="H877" s="8"/>
      <c r="I877" s="8"/>
    </row>
    <row r="878" spans="1:9" ht="14.25" customHeight="1" x14ac:dyDescent="0.25">
      <c r="A878" s="3"/>
      <c r="B878" s="3"/>
      <c r="C878" s="3"/>
      <c r="D878" s="3"/>
      <c r="E878" s="18"/>
      <c r="F878" s="8"/>
      <c r="G878" s="8"/>
      <c r="H878" s="8"/>
      <c r="I878" s="8"/>
    </row>
    <row r="879" spans="1:9" ht="14.25" customHeight="1" x14ac:dyDescent="0.25">
      <c r="A879" s="3"/>
      <c r="B879" s="3"/>
      <c r="C879" s="3"/>
      <c r="D879" s="3"/>
      <c r="E879" s="18"/>
      <c r="F879" s="8"/>
      <c r="G879" s="8"/>
      <c r="H879" s="8"/>
      <c r="I879" s="8"/>
    </row>
    <row r="880" spans="1:9" ht="14.25" customHeight="1" x14ac:dyDescent="0.25">
      <c r="A880" s="3"/>
      <c r="B880" s="3"/>
      <c r="C880" s="3"/>
      <c r="D880" s="3"/>
      <c r="E880" s="18"/>
      <c r="F880" s="8"/>
      <c r="G880" s="8"/>
      <c r="H880" s="8"/>
      <c r="I880" s="8"/>
    </row>
    <row r="881" spans="1:9" ht="14.25" customHeight="1" x14ac:dyDescent="0.25">
      <c r="A881" s="3"/>
      <c r="B881" s="3"/>
      <c r="C881" s="3"/>
      <c r="D881" s="3"/>
      <c r="E881" s="18"/>
      <c r="F881" s="8"/>
      <c r="G881" s="8"/>
      <c r="H881" s="8"/>
      <c r="I881" s="8"/>
    </row>
    <row r="882" spans="1:9" ht="14.25" customHeight="1" x14ac:dyDescent="0.25">
      <c r="A882" s="3"/>
      <c r="B882" s="3"/>
      <c r="C882" s="3"/>
      <c r="D882" s="3"/>
      <c r="E882" s="18"/>
      <c r="F882" s="8"/>
      <c r="G882" s="8"/>
      <c r="H882" s="8"/>
      <c r="I882" s="8"/>
    </row>
    <row r="883" spans="1:9" ht="14.25" customHeight="1" x14ac:dyDescent="0.25">
      <c r="A883" s="3"/>
      <c r="B883" s="3"/>
      <c r="C883" s="3"/>
      <c r="D883" s="3"/>
      <c r="E883" s="18"/>
      <c r="F883" s="8"/>
      <c r="G883" s="8"/>
      <c r="H883" s="8"/>
      <c r="I883" s="8"/>
    </row>
    <row r="884" spans="1:9" ht="14.25" customHeight="1" x14ac:dyDescent="0.25">
      <c r="A884" s="3"/>
      <c r="B884" s="3"/>
      <c r="C884" s="3"/>
      <c r="D884" s="3"/>
      <c r="E884" s="18"/>
      <c r="F884" s="8"/>
      <c r="G884" s="8"/>
      <c r="H884" s="8"/>
      <c r="I884" s="8"/>
    </row>
    <row r="885" spans="1:9" ht="14.25" customHeight="1" x14ac:dyDescent="0.25">
      <c r="A885" s="3"/>
      <c r="B885" s="3"/>
      <c r="C885" s="3"/>
      <c r="D885" s="3"/>
      <c r="E885" s="18"/>
      <c r="F885" s="8"/>
      <c r="G885" s="8"/>
      <c r="H885" s="8"/>
      <c r="I885" s="8"/>
    </row>
    <row r="886" spans="1:9" ht="14.25" customHeight="1" x14ac:dyDescent="0.25">
      <c r="A886" s="3"/>
      <c r="B886" s="3"/>
      <c r="C886" s="3"/>
      <c r="D886" s="3"/>
      <c r="E886" s="18"/>
      <c r="F886" s="8"/>
      <c r="G886" s="8"/>
      <c r="H886" s="8"/>
      <c r="I886" s="8"/>
    </row>
    <row r="887" spans="1:9" ht="14.25" customHeight="1" x14ac:dyDescent="0.25">
      <c r="A887" s="3"/>
      <c r="B887" s="3"/>
      <c r="C887" s="3"/>
      <c r="D887" s="3"/>
      <c r="E887" s="18"/>
      <c r="F887" s="8"/>
      <c r="G887" s="8"/>
      <c r="H887" s="8"/>
      <c r="I887" s="8"/>
    </row>
    <row r="888" spans="1:9" ht="14.25" customHeight="1" x14ac:dyDescent="0.25">
      <c r="A888" s="3"/>
      <c r="B888" s="3"/>
      <c r="C888" s="3"/>
      <c r="D888" s="3"/>
      <c r="E888" s="18"/>
      <c r="F888" s="8"/>
      <c r="G888" s="8"/>
      <c r="H888" s="8"/>
      <c r="I888" s="8"/>
    </row>
    <row r="889" spans="1:9" ht="14.25" customHeight="1" x14ac:dyDescent="0.25">
      <c r="A889" s="3"/>
      <c r="B889" s="3"/>
      <c r="C889" s="3"/>
      <c r="D889" s="3"/>
      <c r="E889" s="18"/>
      <c r="F889" s="8"/>
      <c r="G889" s="8"/>
      <c r="H889" s="8"/>
      <c r="I889" s="8"/>
    </row>
    <row r="890" spans="1:9" ht="14.25" customHeight="1" x14ac:dyDescent="0.25">
      <c r="A890" s="3"/>
      <c r="B890" s="3"/>
      <c r="C890" s="3"/>
      <c r="D890" s="3"/>
      <c r="E890" s="18"/>
      <c r="F890" s="8"/>
      <c r="G890" s="8"/>
      <c r="H890" s="8"/>
      <c r="I890" s="8"/>
    </row>
    <row r="891" spans="1:9" ht="14.25" customHeight="1" x14ac:dyDescent="0.25">
      <c r="A891" s="3"/>
      <c r="B891" s="3"/>
      <c r="C891" s="3"/>
      <c r="D891" s="3"/>
      <c r="E891" s="18"/>
      <c r="F891" s="8"/>
      <c r="G891" s="8"/>
      <c r="H891" s="8"/>
      <c r="I891" s="8"/>
    </row>
    <row r="892" spans="1:9" ht="14.25" customHeight="1" x14ac:dyDescent="0.25">
      <c r="A892" s="3"/>
      <c r="B892" s="3"/>
      <c r="C892" s="3"/>
      <c r="D892" s="3"/>
      <c r="E892" s="18"/>
      <c r="F892" s="8"/>
      <c r="G892" s="8"/>
      <c r="H892" s="8"/>
      <c r="I892" s="8"/>
    </row>
    <row r="893" spans="1:9" ht="14.25" customHeight="1" x14ac:dyDescent="0.25">
      <c r="A893" s="3"/>
      <c r="B893" s="3"/>
      <c r="C893" s="3"/>
      <c r="D893" s="3"/>
      <c r="E893" s="18"/>
      <c r="F893" s="8"/>
      <c r="G893" s="8"/>
      <c r="H893" s="8"/>
      <c r="I893" s="8"/>
    </row>
    <row r="894" spans="1:9" ht="14.25" customHeight="1" x14ac:dyDescent="0.25">
      <c r="A894" s="3"/>
      <c r="B894" s="3"/>
      <c r="C894" s="3"/>
      <c r="D894" s="3"/>
      <c r="E894" s="18"/>
      <c r="F894" s="8"/>
      <c r="G894" s="8"/>
      <c r="H894" s="8"/>
      <c r="I894" s="8"/>
    </row>
    <row r="895" spans="1:9" ht="14.25" customHeight="1" x14ac:dyDescent="0.25">
      <c r="A895" s="3"/>
      <c r="B895" s="3"/>
      <c r="C895" s="3"/>
      <c r="D895" s="3"/>
      <c r="E895" s="18"/>
      <c r="F895" s="8"/>
      <c r="G895" s="8"/>
      <c r="H895" s="8"/>
      <c r="I895" s="8"/>
    </row>
    <row r="896" spans="1:9" ht="14.25" customHeight="1" x14ac:dyDescent="0.25">
      <c r="A896" s="3"/>
      <c r="B896" s="3"/>
      <c r="C896" s="3"/>
      <c r="D896" s="3"/>
      <c r="E896" s="18"/>
      <c r="F896" s="8"/>
      <c r="G896" s="8"/>
      <c r="H896" s="8"/>
      <c r="I896" s="8"/>
    </row>
    <row r="897" spans="1:9" ht="14.25" customHeight="1" x14ac:dyDescent="0.25">
      <c r="A897" s="3"/>
      <c r="B897" s="3"/>
      <c r="C897" s="3"/>
      <c r="D897" s="3"/>
      <c r="E897" s="18"/>
      <c r="F897" s="8"/>
      <c r="G897" s="8"/>
      <c r="H897" s="8"/>
      <c r="I897" s="8"/>
    </row>
    <row r="898" spans="1:9" ht="14.25" customHeight="1" x14ac:dyDescent="0.25">
      <c r="A898" s="3"/>
      <c r="B898" s="3"/>
      <c r="C898" s="3"/>
      <c r="D898" s="3"/>
      <c r="E898" s="18"/>
      <c r="F898" s="8"/>
      <c r="G898" s="8"/>
      <c r="H898" s="8"/>
      <c r="I898" s="8"/>
    </row>
    <row r="899" spans="1:9" ht="14.25" customHeight="1" x14ac:dyDescent="0.25">
      <c r="A899" s="3"/>
      <c r="B899" s="3"/>
      <c r="C899" s="3"/>
      <c r="D899" s="3"/>
      <c r="E899" s="18"/>
      <c r="F899" s="8"/>
      <c r="G899" s="8"/>
      <c r="H899" s="8"/>
      <c r="I899" s="8"/>
    </row>
    <row r="900" spans="1:9" ht="14.25" customHeight="1" x14ac:dyDescent="0.25">
      <c r="A900" s="3"/>
      <c r="B900" s="3"/>
      <c r="C900" s="3"/>
      <c r="D900" s="3"/>
      <c r="E900" s="18"/>
      <c r="F900" s="8"/>
      <c r="G900" s="8"/>
      <c r="H900" s="8"/>
      <c r="I900" s="8"/>
    </row>
    <row r="901" spans="1:9" ht="14.25" customHeight="1" x14ac:dyDescent="0.25">
      <c r="A901" s="3"/>
      <c r="B901" s="3"/>
      <c r="C901" s="3"/>
      <c r="D901" s="3"/>
      <c r="E901" s="18"/>
      <c r="F901" s="8"/>
      <c r="G901" s="8"/>
      <c r="H901" s="8"/>
      <c r="I901" s="8"/>
    </row>
    <row r="902" spans="1:9" ht="14.25" customHeight="1" x14ac:dyDescent="0.25">
      <c r="A902" s="3"/>
      <c r="B902" s="3"/>
      <c r="C902" s="3"/>
      <c r="D902" s="3"/>
      <c r="E902" s="18"/>
      <c r="F902" s="8"/>
      <c r="G902" s="8"/>
      <c r="H902" s="8"/>
      <c r="I902" s="8"/>
    </row>
    <row r="903" spans="1:9" ht="14.25" customHeight="1" x14ac:dyDescent="0.25">
      <c r="A903" s="3"/>
      <c r="B903" s="3"/>
      <c r="C903" s="3"/>
      <c r="D903" s="3"/>
      <c r="E903" s="18"/>
      <c r="F903" s="8"/>
      <c r="G903" s="8"/>
      <c r="H903" s="8"/>
      <c r="I903" s="8"/>
    </row>
    <row r="904" spans="1:9" ht="14.25" customHeight="1" x14ac:dyDescent="0.25">
      <c r="A904" s="3"/>
      <c r="B904" s="3"/>
      <c r="C904" s="3"/>
      <c r="D904" s="3"/>
      <c r="E904" s="18"/>
      <c r="F904" s="8"/>
      <c r="G904" s="8"/>
      <c r="H904" s="8"/>
      <c r="I904" s="8"/>
    </row>
    <row r="905" spans="1:9" ht="14.25" customHeight="1" x14ac:dyDescent="0.25">
      <c r="A905" s="3"/>
      <c r="B905" s="3"/>
      <c r="C905" s="3"/>
      <c r="D905" s="3"/>
      <c r="E905" s="18"/>
      <c r="F905" s="8"/>
      <c r="G905" s="8"/>
      <c r="H905" s="8"/>
      <c r="I905" s="8"/>
    </row>
    <row r="906" spans="1:9" ht="14.25" customHeight="1" x14ac:dyDescent="0.25">
      <c r="A906" s="3"/>
      <c r="B906" s="3"/>
      <c r="C906" s="3"/>
      <c r="D906" s="3"/>
      <c r="E906" s="18"/>
      <c r="F906" s="8"/>
      <c r="G906" s="8"/>
      <c r="H906" s="8"/>
      <c r="I906" s="8"/>
    </row>
    <row r="907" spans="1:9" ht="14.25" customHeight="1" x14ac:dyDescent="0.25">
      <c r="A907" s="3"/>
      <c r="B907" s="3"/>
      <c r="C907" s="3"/>
      <c r="D907" s="3"/>
      <c r="E907" s="18"/>
      <c r="F907" s="8"/>
      <c r="G907" s="8"/>
      <c r="H907" s="8"/>
      <c r="I907" s="8"/>
    </row>
    <row r="908" spans="1:9" ht="14.25" customHeight="1" x14ac:dyDescent="0.25">
      <c r="A908" s="3"/>
      <c r="B908" s="3"/>
      <c r="C908" s="3"/>
      <c r="D908" s="3"/>
      <c r="E908" s="18"/>
      <c r="F908" s="8"/>
      <c r="G908" s="8"/>
      <c r="H908" s="8"/>
      <c r="I908" s="8"/>
    </row>
    <row r="909" spans="1:9" ht="14.25" customHeight="1" x14ac:dyDescent="0.25">
      <c r="A909" s="3"/>
      <c r="B909" s="3"/>
      <c r="C909" s="3"/>
      <c r="D909" s="3"/>
      <c r="E909" s="18"/>
      <c r="F909" s="8"/>
      <c r="G909" s="8"/>
      <c r="H909" s="8"/>
      <c r="I909" s="8"/>
    </row>
    <row r="910" spans="1:9" ht="14.25" customHeight="1" x14ac:dyDescent="0.25">
      <c r="A910" s="3"/>
      <c r="B910" s="3"/>
      <c r="C910" s="3"/>
      <c r="D910" s="3"/>
      <c r="E910" s="18"/>
      <c r="F910" s="8"/>
      <c r="G910" s="8"/>
      <c r="H910" s="8"/>
      <c r="I910" s="8"/>
    </row>
    <row r="911" spans="1:9" ht="14.25" customHeight="1" x14ac:dyDescent="0.25">
      <c r="A911" s="3"/>
      <c r="B911" s="3"/>
      <c r="C911" s="3"/>
      <c r="D911" s="3"/>
      <c r="E911" s="18"/>
      <c r="F911" s="8"/>
      <c r="G911" s="8"/>
      <c r="H911" s="8"/>
      <c r="I911" s="8"/>
    </row>
    <row r="912" spans="1:9" ht="14.25" customHeight="1" x14ac:dyDescent="0.25">
      <c r="A912" s="3"/>
      <c r="B912" s="3"/>
      <c r="C912" s="3"/>
      <c r="D912" s="3"/>
      <c r="E912" s="18"/>
      <c r="F912" s="8"/>
      <c r="G912" s="8"/>
      <c r="H912" s="8"/>
      <c r="I912" s="8"/>
    </row>
    <row r="913" spans="1:9" ht="14.25" customHeight="1" x14ac:dyDescent="0.25">
      <c r="A913" s="3"/>
      <c r="B913" s="3"/>
      <c r="C913" s="3"/>
      <c r="D913" s="3"/>
      <c r="E913" s="18"/>
      <c r="F913" s="8"/>
      <c r="G913" s="8"/>
      <c r="H913" s="8"/>
      <c r="I913" s="8"/>
    </row>
    <row r="914" spans="1:9" ht="14.25" customHeight="1" x14ac:dyDescent="0.25">
      <c r="A914" s="3"/>
      <c r="B914" s="3"/>
      <c r="C914" s="3"/>
      <c r="D914" s="3"/>
      <c r="E914" s="18"/>
      <c r="F914" s="8"/>
      <c r="G914" s="8"/>
      <c r="H914" s="8"/>
      <c r="I914" s="8"/>
    </row>
    <row r="915" spans="1:9" ht="14.25" customHeight="1" x14ac:dyDescent="0.25">
      <c r="A915" s="3"/>
      <c r="B915" s="3"/>
      <c r="C915" s="3"/>
      <c r="D915" s="3"/>
      <c r="E915" s="18"/>
      <c r="F915" s="8"/>
      <c r="G915" s="8"/>
      <c r="H915" s="8"/>
      <c r="I915" s="8"/>
    </row>
    <row r="916" spans="1:9" ht="14.25" customHeight="1" x14ac:dyDescent="0.25">
      <c r="A916" s="3"/>
      <c r="B916" s="3"/>
      <c r="C916" s="3"/>
      <c r="D916" s="3"/>
      <c r="E916" s="18"/>
      <c r="F916" s="8"/>
      <c r="G916" s="8"/>
      <c r="H916" s="8"/>
      <c r="I916" s="8"/>
    </row>
    <row r="917" spans="1:9" ht="14.25" customHeight="1" x14ac:dyDescent="0.25">
      <c r="A917" s="3"/>
      <c r="B917" s="3"/>
      <c r="C917" s="3"/>
      <c r="D917" s="3"/>
      <c r="E917" s="18"/>
      <c r="F917" s="8"/>
      <c r="G917" s="8"/>
      <c r="H917" s="8"/>
      <c r="I917" s="8"/>
    </row>
    <row r="918" spans="1:9" ht="14.25" customHeight="1" x14ac:dyDescent="0.25">
      <c r="A918" s="3"/>
      <c r="B918" s="3"/>
      <c r="C918" s="3"/>
      <c r="D918" s="3"/>
      <c r="E918" s="18"/>
      <c r="F918" s="8"/>
      <c r="G918" s="8"/>
      <c r="H918" s="8"/>
      <c r="I918" s="8"/>
    </row>
    <row r="919" spans="1:9" ht="14.25" customHeight="1" x14ac:dyDescent="0.25">
      <c r="A919" s="3"/>
      <c r="B919" s="3"/>
      <c r="C919" s="3"/>
      <c r="D919" s="3"/>
      <c r="E919" s="18"/>
      <c r="F919" s="8"/>
      <c r="G919" s="8"/>
      <c r="H919" s="8"/>
      <c r="I919" s="8"/>
    </row>
    <row r="920" spans="1:9" ht="14.25" customHeight="1" x14ac:dyDescent="0.25">
      <c r="A920" s="3"/>
      <c r="B920" s="3"/>
      <c r="C920" s="3"/>
      <c r="D920" s="3"/>
      <c r="E920" s="18"/>
      <c r="F920" s="8"/>
      <c r="G920" s="8"/>
      <c r="H920" s="8"/>
      <c r="I920" s="8"/>
    </row>
    <row r="921" spans="1:9" ht="14.25" customHeight="1" x14ac:dyDescent="0.25">
      <c r="A921" s="3"/>
      <c r="B921" s="3"/>
      <c r="C921" s="3"/>
      <c r="D921" s="3"/>
      <c r="E921" s="18"/>
      <c r="F921" s="8"/>
      <c r="G921" s="8"/>
      <c r="H921" s="8"/>
      <c r="I921" s="8"/>
    </row>
    <row r="922" spans="1:9" ht="14.25" customHeight="1" x14ac:dyDescent="0.25">
      <c r="A922" s="3"/>
      <c r="B922" s="3"/>
      <c r="C922" s="3"/>
      <c r="D922" s="3"/>
      <c r="E922" s="18"/>
      <c r="F922" s="8"/>
      <c r="G922" s="8"/>
      <c r="H922" s="8"/>
      <c r="I922" s="8"/>
    </row>
    <row r="923" spans="1:9" ht="14.25" customHeight="1" x14ac:dyDescent="0.25">
      <c r="A923" s="3"/>
      <c r="B923" s="3"/>
      <c r="C923" s="3"/>
      <c r="D923" s="3"/>
      <c r="E923" s="18"/>
      <c r="F923" s="8"/>
      <c r="G923" s="8"/>
      <c r="H923" s="8"/>
      <c r="I923" s="8"/>
    </row>
    <row r="924" spans="1:9" ht="14.25" customHeight="1" x14ac:dyDescent="0.25">
      <c r="A924" s="3"/>
      <c r="B924" s="3"/>
      <c r="C924" s="3"/>
      <c r="D924" s="3"/>
      <c r="E924" s="18"/>
      <c r="F924" s="8"/>
      <c r="G924" s="8"/>
      <c r="H924" s="8"/>
      <c r="I924" s="8"/>
    </row>
    <row r="925" spans="1:9" ht="14.25" customHeight="1" x14ac:dyDescent="0.25">
      <c r="A925" s="3"/>
      <c r="B925" s="3"/>
      <c r="C925" s="3"/>
      <c r="D925" s="3"/>
      <c r="E925" s="18"/>
      <c r="F925" s="8"/>
      <c r="G925" s="8"/>
      <c r="H925" s="8"/>
      <c r="I925" s="8"/>
    </row>
    <row r="926" spans="1:9" ht="14.25" customHeight="1" x14ac:dyDescent="0.25">
      <c r="A926" s="3"/>
      <c r="B926" s="3"/>
      <c r="C926" s="3"/>
      <c r="D926" s="3"/>
      <c r="E926" s="18"/>
      <c r="F926" s="8"/>
      <c r="G926" s="8"/>
      <c r="H926" s="8"/>
      <c r="I926" s="8"/>
    </row>
    <row r="927" spans="1:9" ht="14.25" customHeight="1" x14ac:dyDescent="0.25">
      <c r="A927" s="3"/>
      <c r="B927" s="3"/>
      <c r="C927" s="3"/>
      <c r="D927" s="3"/>
      <c r="E927" s="18"/>
      <c r="F927" s="8"/>
      <c r="G927" s="8"/>
      <c r="H927" s="8"/>
      <c r="I927" s="8"/>
    </row>
    <row r="928" spans="1:9" ht="14.25" customHeight="1" x14ac:dyDescent="0.25">
      <c r="A928" s="3"/>
      <c r="B928" s="3"/>
      <c r="C928" s="3"/>
      <c r="D928" s="3"/>
      <c r="E928" s="18"/>
      <c r="F928" s="8"/>
      <c r="G928" s="8"/>
      <c r="H928" s="8"/>
      <c r="I928" s="8"/>
    </row>
    <row r="929" spans="1:9" ht="14.25" customHeight="1" x14ac:dyDescent="0.25">
      <c r="A929" s="3"/>
      <c r="B929" s="3"/>
      <c r="C929" s="3"/>
      <c r="D929" s="3"/>
      <c r="E929" s="18"/>
      <c r="F929" s="8"/>
      <c r="G929" s="8"/>
      <c r="H929" s="8"/>
      <c r="I929" s="8"/>
    </row>
    <row r="930" spans="1:9" ht="14.25" customHeight="1" x14ac:dyDescent="0.25">
      <c r="A930" s="3"/>
      <c r="B930" s="3"/>
      <c r="C930" s="3"/>
      <c r="D930" s="3"/>
      <c r="E930" s="18"/>
      <c r="F930" s="8"/>
      <c r="G930" s="8"/>
      <c r="H930" s="8"/>
      <c r="I930" s="8"/>
    </row>
    <row r="931" spans="1:9" ht="14.25" customHeight="1" x14ac:dyDescent="0.25">
      <c r="A931" s="3"/>
      <c r="B931" s="3"/>
      <c r="C931" s="3"/>
      <c r="D931" s="3"/>
      <c r="E931" s="18"/>
      <c r="F931" s="8"/>
      <c r="G931" s="8"/>
      <c r="H931" s="8"/>
      <c r="I931" s="8"/>
    </row>
    <row r="932" spans="1:9" ht="14.25" customHeight="1" x14ac:dyDescent="0.25">
      <c r="A932" s="3"/>
      <c r="B932" s="3"/>
      <c r="C932" s="3"/>
      <c r="D932" s="3"/>
      <c r="E932" s="18"/>
      <c r="F932" s="8"/>
      <c r="G932" s="8"/>
      <c r="H932" s="8"/>
      <c r="I932" s="8"/>
    </row>
    <row r="933" spans="1:9" ht="14.25" customHeight="1" x14ac:dyDescent="0.25">
      <c r="A933" s="3"/>
      <c r="B933" s="3"/>
      <c r="C933" s="3"/>
      <c r="D933" s="3"/>
      <c r="E933" s="18"/>
      <c r="F933" s="8"/>
      <c r="G933" s="8"/>
      <c r="H933" s="8"/>
      <c r="I933" s="8"/>
    </row>
    <row r="934" spans="1:9" ht="14.25" customHeight="1" x14ac:dyDescent="0.25">
      <c r="A934" s="3"/>
      <c r="B934" s="3"/>
      <c r="C934" s="3"/>
      <c r="D934" s="3"/>
      <c r="E934" s="18"/>
      <c r="F934" s="8"/>
      <c r="G934" s="8"/>
      <c r="H934" s="8"/>
      <c r="I934" s="8"/>
    </row>
    <row r="935" spans="1:9" ht="14.25" customHeight="1" x14ac:dyDescent="0.25">
      <c r="A935" s="3"/>
      <c r="B935" s="3"/>
      <c r="C935" s="3"/>
      <c r="D935" s="3"/>
      <c r="E935" s="18"/>
      <c r="F935" s="8"/>
      <c r="G935" s="8"/>
      <c r="H935" s="8"/>
      <c r="I935" s="8"/>
    </row>
    <row r="936" spans="1:9" ht="14.25" customHeight="1" x14ac:dyDescent="0.25">
      <c r="A936" s="3"/>
      <c r="B936" s="3"/>
      <c r="C936" s="3"/>
      <c r="D936" s="3"/>
      <c r="E936" s="18"/>
      <c r="F936" s="8"/>
      <c r="G936" s="8"/>
      <c r="H936" s="8"/>
      <c r="I936" s="8"/>
    </row>
    <row r="937" spans="1:9" ht="14.25" customHeight="1" x14ac:dyDescent="0.25">
      <c r="A937" s="3"/>
      <c r="B937" s="3"/>
      <c r="C937" s="3"/>
      <c r="D937" s="3"/>
      <c r="E937" s="18"/>
      <c r="F937" s="8"/>
      <c r="G937" s="8"/>
      <c r="H937" s="8"/>
      <c r="I937" s="8"/>
    </row>
    <row r="938" spans="1:9" ht="14.25" customHeight="1" x14ac:dyDescent="0.25">
      <c r="A938" s="3"/>
      <c r="B938" s="3"/>
      <c r="C938" s="3"/>
      <c r="D938" s="3"/>
      <c r="E938" s="18"/>
      <c r="F938" s="8"/>
      <c r="G938" s="8"/>
      <c r="H938" s="8"/>
      <c r="I938" s="8"/>
    </row>
    <row r="939" spans="1:9" ht="14.25" customHeight="1" x14ac:dyDescent="0.25">
      <c r="A939" s="3"/>
      <c r="B939" s="3"/>
      <c r="C939" s="3"/>
      <c r="D939" s="3"/>
      <c r="E939" s="18"/>
      <c r="F939" s="8"/>
      <c r="G939" s="8"/>
      <c r="H939" s="8"/>
      <c r="I939" s="8"/>
    </row>
    <row r="940" spans="1:9" ht="14.25" customHeight="1" x14ac:dyDescent="0.25">
      <c r="A940" s="3"/>
      <c r="B940" s="3"/>
      <c r="C940" s="3"/>
      <c r="D940" s="3"/>
      <c r="E940" s="18"/>
      <c r="F940" s="8"/>
      <c r="G940" s="8"/>
      <c r="H940" s="8"/>
      <c r="I940" s="8"/>
    </row>
    <row r="941" spans="1:9" ht="14.25" customHeight="1" x14ac:dyDescent="0.25">
      <c r="A941" s="3"/>
      <c r="B941" s="3"/>
      <c r="C941" s="3"/>
      <c r="D941" s="3"/>
      <c r="E941" s="18"/>
      <c r="F941" s="8"/>
      <c r="G941" s="8"/>
      <c r="H941" s="8"/>
      <c r="I941" s="8"/>
    </row>
    <row r="942" spans="1:9" ht="14.25" customHeight="1" x14ac:dyDescent="0.25">
      <c r="A942" s="3"/>
      <c r="B942" s="3"/>
      <c r="C942" s="3"/>
      <c r="D942" s="3"/>
      <c r="E942" s="18"/>
      <c r="F942" s="8"/>
      <c r="G942" s="8"/>
      <c r="H942" s="8"/>
      <c r="I942" s="8"/>
    </row>
    <row r="943" spans="1:9" ht="14.25" customHeight="1" x14ac:dyDescent="0.25">
      <c r="A943" s="3"/>
      <c r="B943" s="3"/>
      <c r="C943" s="3"/>
      <c r="D943" s="3"/>
      <c r="E943" s="18"/>
      <c r="F943" s="8"/>
      <c r="G943" s="8"/>
      <c r="H943" s="8"/>
      <c r="I943" s="8"/>
    </row>
    <row r="944" spans="1:9" ht="14.25" customHeight="1" x14ac:dyDescent="0.25">
      <c r="A944" s="3"/>
      <c r="B944" s="3"/>
      <c r="C944" s="3"/>
      <c r="D944" s="3"/>
      <c r="E944" s="18"/>
      <c r="F944" s="8"/>
      <c r="G944" s="8"/>
      <c r="H944" s="8"/>
      <c r="I944" s="8"/>
    </row>
    <row r="945" spans="1:9" ht="14.25" customHeight="1" x14ac:dyDescent="0.25">
      <c r="A945" s="3"/>
      <c r="B945" s="3"/>
      <c r="C945" s="3"/>
      <c r="D945" s="3"/>
      <c r="E945" s="18"/>
      <c r="F945" s="8"/>
      <c r="G945" s="8"/>
      <c r="H945" s="8"/>
      <c r="I945" s="8"/>
    </row>
    <row r="946" spans="1:9" ht="14.25" customHeight="1" x14ac:dyDescent="0.25">
      <c r="A946" s="3"/>
      <c r="B946" s="3"/>
      <c r="C946" s="3"/>
      <c r="D946" s="3"/>
      <c r="E946" s="18"/>
      <c r="F946" s="8"/>
      <c r="G946" s="8"/>
      <c r="H946" s="8"/>
      <c r="I946" s="8"/>
    </row>
    <row r="947" spans="1:9" ht="14.25" customHeight="1" x14ac:dyDescent="0.25">
      <c r="A947" s="3"/>
      <c r="B947" s="3"/>
      <c r="C947" s="3"/>
      <c r="D947" s="3"/>
      <c r="E947" s="18"/>
      <c r="F947" s="8"/>
      <c r="G947" s="8"/>
      <c r="H947" s="8"/>
      <c r="I947" s="8"/>
    </row>
    <row r="948" spans="1:9" ht="14.25" customHeight="1" x14ac:dyDescent="0.25">
      <c r="A948" s="3"/>
      <c r="B948" s="3"/>
      <c r="C948" s="3"/>
      <c r="D948" s="3"/>
      <c r="E948" s="18"/>
      <c r="F948" s="8"/>
      <c r="G948" s="8"/>
      <c r="H948" s="8"/>
      <c r="I948" s="8"/>
    </row>
    <row r="949" spans="1:9" ht="14.25" customHeight="1" x14ac:dyDescent="0.25">
      <c r="A949" s="3"/>
      <c r="B949" s="3"/>
      <c r="C949" s="3"/>
      <c r="D949" s="3"/>
      <c r="E949" s="18"/>
      <c r="F949" s="8"/>
      <c r="G949" s="8"/>
      <c r="H949" s="8"/>
      <c r="I949" s="8"/>
    </row>
    <row r="950" spans="1:9" ht="14.25" customHeight="1" x14ac:dyDescent="0.25">
      <c r="A950" s="3"/>
      <c r="B950" s="3"/>
      <c r="C950" s="3"/>
      <c r="D950" s="3"/>
      <c r="E950" s="18"/>
      <c r="F950" s="8"/>
      <c r="G950" s="8"/>
      <c r="H950" s="8"/>
      <c r="I950" s="8"/>
    </row>
    <row r="951" spans="1:9" ht="14.25" customHeight="1" x14ac:dyDescent="0.25">
      <c r="A951" s="3"/>
      <c r="B951" s="3"/>
      <c r="C951" s="3"/>
      <c r="D951" s="3"/>
      <c r="E951" s="18"/>
      <c r="F951" s="8"/>
      <c r="G951" s="8"/>
      <c r="H951" s="8"/>
      <c r="I951" s="8"/>
    </row>
    <row r="952" spans="1:9" ht="14.25" customHeight="1" x14ac:dyDescent="0.25">
      <c r="A952" s="3"/>
      <c r="B952" s="3"/>
      <c r="C952" s="3"/>
      <c r="D952" s="3"/>
      <c r="E952" s="18"/>
      <c r="F952" s="8"/>
      <c r="G952" s="8"/>
      <c r="H952" s="8"/>
      <c r="I952" s="8"/>
    </row>
    <row r="953" spans="1:9" ht="14.25" customHeight="1" x14ac:dyDescent="0.25">
      <c r="A953" s="3"/>
      <c r="B953" s="3"/>
      <c r="C953" s="3"/>
      <c r="D953" s="3"/>
      <c r="E953" s="18"/>
      <c r="F953" s="8"/>
      <c r="G953" s="8"/>
      <c r="H953" s="8"/>
      <c r="I953" s="8"/>
    </row>
    <row r="954" spans="1:9" ht="14.25" customHeight="1" x14ac:dyDescent="0.25">
      <c r="A954" s="3"/>
      <c r="B954" s="3"/>
      <c r="C954" s="3"/>
      <c r="D954" s="3"/>
      <c r="E954" s="18"/>
      <c r="F954" s="8"/>
      <c r="G954" s="8"/>
      <c r="H954" s="8"/>
      <c r="I954" s="8"/>
    </row>
    <row r="955" spans="1:9" ht="14.25" customHeight="1" x14ac:dyDescent="0.25">
      <c r="A955" s="3"/>
      <c r="B955" s="3"/>
      <c r="C955" s="3"/>
      <c r="D955" s="3"/>
      <c r="E955" s="18"/>
      <c r="F955" s="8"/>
      <c r="G955" s="8"/>
      <c r="H955" s="8"/>
      <c r="I955" s="8"/>
    </row>
    <row r="956" spans="1:9" ht="14.25" customHeight="1" x14ac:dyDescent="0.25">
      <c r="A956" s="3"/>
      <c r="B956" s="3"/>
      <c r="C956" s="3"/>
      <c r="D956" s="3"/>
      <c r="E956" s="18"/>
      <c r="F956" s="8"/>
      <c r="G956" s="8"/>
      <c r="H956" s="8"/>
      <c r="I956" s="8"/>
    </row>
    <row r="957" spans="1:9" ht="14.25" customHeight="1" x14ac:dyDescent="0.25">
      <c r="A957" s="3"/>
      <c r="B957" s="3"/>
      <c r="C957" s="3"/>
      <c r="D957" s="3"/>
      <c r="E957" s="18"/>
      <c r="F957" s="8"/>
      <c r="G957" s="8"/>
      <c r="H957" s="8"/>
      <c r="I957" s="8"/>
    </row>
    <row r="958" spans="1:9" ht="14.25" customHeight="1" x14ac:dyDescent="0.25">
      <c r="A958" s="3"/>
      <c r="B958" s="3"/>
      <c r="C958" s="3"/>
      <c r="D958" s="3"/>
      <c r="E958" s="18"/>
      <c r="F958" s="8"/>
      <c r="G958" s="8"/>
      <c r="H958" s="8"/>
      <c r="I958" s="8"/>
    </row>
    <row r="959" spans="1:9" ht="14.25" customHeight="1" x14ac:dyDescent="0.25">
      <c r="A959" s="3"/>
      <c r="B959" s="3"/>
      <c r="C959" s="3"/>
      <c r="D959" s="3"/>
      <c r="E959" s="18"/>
      <c r="F959" s="8"/>
      <c r="G959" s="8"/>
      <c r="H959" s="8"/>
      <c r="I959" s="8"/>
    </row>
    <row r="960" spans="1:9" ht="14.25" customHeight="1" x14ac:dyDescent="0.25">
      <c r="A960" s="3"/>
      <c r="B960" s="3"/>
      <c r="C960" s="3"/>
      <c r="D960" s="3"/>
      <c r="E960" s="18"/>
      <c r="F960" s="8"/>
      <c r="G960" s="8"/>
      <c r="H960" s="8"/>
      <c r="I960" s="8"/>
    </row>
    <row r="961" spans="1:9" ht="14.25" customHeight="1" x14ac:dyDescent="0.25">
      <c r="A961" s="3"/>
      <c r="B961" s="3"/>
      <c r="C961" s="3"/>
      <c r="D961" s="3"/>
      <c r="E961" s="18"/>
      <c r="F961" s="8"/>
      <c r="G961" s="8"/>
      <c r="H961" s="8"/>
      <c r="I961" s="8"/>
    </row>
    <row r="962" spans="1:9" ht="14.25" customHeight="1" x14ac:dyDescent="0.25">
      <c r="A962" s="3"/>
      <c r="B962" s="3"/>
      <c r="C962" s="3"/>
      <c r="D962" s="3"/>
      <c r="E962" s="18"/>
      <c r="F962" s="8"/>
      <c r="G962" s="8"/>
      <c r="H962" s="8"/>
      <c r="I962" s="8"/>
    </row>
    <row r="963" spans="1:9" ht="14.25" customHeight="1" x14ac:dyDescent="0.25">
      <c r="A963" s="3"/>
      <c r="B963" s="3"/>
      <c r="C963" s="3"/>
      <c r="D963" s="3"/>
      <c r="E963" s="18"/>
      <c r="F963" s="8"/>
      <c r="G963" s="8"/>
      <c r="H963" s="8"/>
      <c r="I963" s="8"/>
    </row>
    <row r="964" spans="1:9" ht="14.25" customHeight="1" x14ac:dyDescent="0.25">
      <c r="A964" s="3"/>
      <c r="B964" s="3"/>
      <c r="C964" s="3"/>
      <c r="D964" s="3"/>
      <c r="E964" s="18"/>
      <c r="F964" s="8"/>
      <c r="G964" s="8"/>
      <c r="H964" s="8"/>
      <c r="I964" s="8"/>
    </row>
    <row r="965" spans="1:9" ht="14.25" customHeight="1" x14ac:dyDescent="0.25">
      <c r="A965" s="3"/>
      <c r="B965" s="3"/>
      <c r="C965" s="3"/>
      <c r="D965" s="3"/>
      <c r="E965" s="18"/>
      <c r="F965" s="8"/>
      <c r="G965" s="8"/>
      <c r="H965" s="8"/>
      <c r="I965" s="8"/>
    </row>
    <row r="966" spans="1:9" ht="14.25" customHeight="1" x14ac:dyDescent="0.25">
      <c r="A966" s="3"/>
      <c r="B966" s="3"/>
      <c r="C966" s="3"/>
      <c r="D966" s="3"/>
      <c r="E966" s="18"/>
      <c r="F966" s="8"/>
      <c r="G966" s="8"/>
      <c r="H966" s="8"/>
      <c r="I966" s="8"/>
    </row>
    <row r="967" spans="1:9" ht="14.25" customHeight="1" x14ac:dyDescent="0.25">
      <c r="A967" s="3"/>
      <c r="B967" s="3"/>
      <c r="C967" s="3"/>
      <c r="D967" s="3"/>
      <c r="E967" s="18"/>
      <c r="F967" s="8"/>
      <c r="G967" s="8"/>
      <c r="H967" s="8"/>
      <c r="I967" s="8"/>
    </row>
    <row r="968" spans="1:9" ht="14.25" customHeight="1" x14ac:dyDescent="0.25">
      <c r="A968" s="3"/>
      <c r="B968" s="3"/>
      <c r="C968" s="3"/>
      <c r="D968" s="3"/>
      <c r="E968" s="18"/>
      <c r="F968" s="8"/>
      <c r="G968" s="8"/>
      <c r="H968" s="8"/>
      <c r="I968" s="8"/>
    </row>
    <row r="969" spans="1:9" ht="14.25" customHeight="1" x14ac:dyDescent="0.25">
      <c r="A969" s="3"/>
      <c r="B969" s="3"/>
      <c r="C969" s="3"/>
      <c r="D969" s="3"/>
      <c r="E969" s="18"/>
      <c r="F969" s="8"/>
      <c r="G969" s="8"/>
      <c r="H969" s="8"/>
      <c r="I969" s="8"/>
    </row>
    <row r="970" spans="1:9" ht="14.25" customHeight="1" x14ac:dyDescent="0.25">
      <c r="A970" s="3"/>
      <c r="B970" s="3"/>
      <c r="C970" s="3"/>
      <c r="D970" s="3"/>
      <c r="E970" s="18"/>
      <c r="F970" s="8"/>
      <c r="G970" s="8"/>
      <c r="H970" s="8"/>
      <c r="I970" s="8"/>
    </row>
    <row r="971" spans="1:9" ht="14.25" customHeight="1" x14ac:dyDescent="0.25">
      <c r="A971" s="3"/>
      <c r="B971" s="3"/>
      <c r="C971" s="3"/>
      <c r="D971" s="3"/>
      <c r="E971" s="18"/>
      <c r="F971" s="8"/>
      <c r="G971" s="8"/>
      <c r="H971" s="8"/>
      <c r="I971" s="8"/>
    </row>
    <row r="972" spans="1:9" ht="14.25" customHeight="1" x14ac:dyDescent="0.25">
      <c r="A972" s="3"/>
      <c r="B972" s="3"/>
      <c r="C972" s="3"/>
      <c r="D972" s="3"/>
      <c r="E972" s="18"/>
      <c r="F972" s="8"/>
      <c r="G972" s="8"/>
      <c r="H972" s="8"/>
      <c r="I972" s="8"/>
    </row>
    <row r="973" spans="1:9" ht="14.25" customHeight="1" x14ac:dyDescent="0.25">
      <c r="A973" s="3"/>
      <c r="B973" s="3"/>
      <c r="C973" s="3"/>
      <c r="D973" s="3"/>
      <c r="E973" s="18"/>
      <c r="F973" s="8"/>
      <c r="G973" s="8"/>
      <c r="H973" s="8"/>
      <c r="I973" s="8"/>
    </row>
    <row r="974" spans="1:9" ht="14.25" customHeight="1" x14ac:dyDescent="0.25">
      <c r="A974" s="3"/>
      <c r="B974" s="3"/>
      <c r="C974" s="3"/>
      <c r="D974" s="3"/>
      <c r="E974" s="18"/>
      <c r="F974" s="8"/>
      <c r="G974" s="8"/>
      <c r="H974" s="8"/>
      <c r="I974" s="8"/>
    </row>
    <row r="975" spans="1:9" ht="14.25" customHeight="1" x14ac:dyDescent="0.25">
      <c r="A975" s="3"/>
      <c r="B975" s="3"/>
      <c r="C975" s="3"/>
      <c r="D975" s="3"/>
      <c r="E975" s="18"/>
      <c r="F975" s="8"/>
      <c r="G975" s="8"/>
      <c r="H975" s="8"/>
      <c r="I975" s="8"/>
    </row>
    <row r="976" spans="1:9" ht="14.25" customHeight="1" x14ac:dyDescent="0.25">
      <c r="A976" s="3"/>
      <c r="B976" s="3"/>
      <c r="C976" s="3"/>
      <c r="D976" s="3"/>
      <c r="E976" s="18"/>
      <c r="F976" s="8"/>
      <c r="G976" s="8"/>
      <c r="H976" s="8"/>
      <c r="I976" s="8"/>
    </row>
    <row r="977" spans="1:9" ht="14.25" customHeight="1" x14ac:dyDescent="0.25">
      <c r="A977" s="3"/>
      <c r="B977" s="3"/>
      <c r="C977" s="3"/>
      <c r="D977" s="3"/>
      <c r="E977" s="18"/>
      <c r="F977" s="8"/>
      <c r="G977" s="8"/>
      <c r="H977" s="8"/>
      <c r="I977" s="8"/>
    </row>
    <row r="978" spans="1:9" ht="14.25" customHeight="1" x14ac:dyDescent="0.25">
      <c r="A978" s="3"/>
      <c r="B978" s="3"/>
      <c r="C978" s="3"/>
      <c r="D978" s="3"/>
      <c r="E978" s="18"/>
      <c r="F978" s="8"/>
      <c r="G978" s="8"/>
      <c r="H978" s="8"/>
      <c r="I978" s="8"/>
    </row>
    <row r="979" spans="1:9" ht="14.25" customHeight="1" x14ac:dyDescent="0.25">
      <c r="A979" s="3"/>
      <c r="B979" s="3"/>
      <c r="C979" s="3"/>
      <c r="D979" s="3"/>
      <c r="E979" s="18"/>
      <c r="F979" s="8"/>
      <c r="G979" s="8"/>
      <c r="H979" s="8"/>
      <c r="I979" s="8"/>
    </row>
    <row r="980" spans="1:9" ht="14.25" customHeight="1" x14ac:dyDescent="0.25">
      <c r="A980" s="3"/>
      <c r="B980" s="3"/>
      <c r="C980" s="3"/>
      <c r="D980" s="3"/>
      <c r="E980" s="18"/>
      <c r="F980" s="8"/>
      <c r="G980" s="8"/>
      <c r="H980" s="8"/>
      <c r="I980" s="8"/>
    </row>
    <row r="981" spans="1:9" ht="14.25" customHeight="1" x14ac:dyDescent="0.25">
      <c r="A981" s="3"/>
      <c r="B981" s="3"/>
      <c r="C981" s="3"/>
      <c r="D981" s="3"/>
      <c r="E981" s="18"/>
      <c r="F981" s="8"/>
      <c r="G981" s="8"/>
      <c r="H981" s="8"/>
      <c r="I981" s="8"/>
    </row>
    <row r="982" spans="1:9" ht="14.25" customHeight="1" x14ac:dyDescent="0.25">
      <c r="A982" s="3"/>
      <c r="B982" s="3"/>
      <c r="C982" s="3"/>
      <c r="D982" s="3"/>
      <c r="E982" s="18"/>
      <c r="F982" s="8"/>
      <c r="G982" s="8"/>
      <c r="H982" s="8"/>
      <c r="I982" s="8"/>
    </row>
    <row r="983" spans="1:9" ht="14.25" customHeight="1" x14ac:dyDescent="0.25">
      <c r="A983" s="3"/>
      <c r="B983" s="3"/>
      <c r="C983" s="3"/>
      <c r="D983" s="3"/>
      <c r="E983" s="18"/>
      <c r="F983" s="8"/>
      <c r="G983" s="8"/>
      <c r="H983" s="8"/>
      <c r="I983" s="8"/>
    </row>
    <row r="984" spans="1:9" ht="14.25" customHeight="1" x14ac:dyDescent="0.25">
      <c r="A984" s="3"/>
      <c r="B984" s="3"/>
      <c r="C984" s="3"/>
      <c r="D984" s="3"/>
      <c r="E984" s="18"/>
      <c r="F984" s="8"/>
      <c r="G984" s="8"/>
      <c r="H984" s="8"/>
      <c r="I984" s="8"/>
    </row>
    <row r="985" spans="1:9" ht="14.25" customHeight="1" x14ac:dyDescent="0.25">
      <c r="A985" s="3"/>
      <c r="B985" s="3"/>
      <c r="C985" s="3"/>
      <c r="D985" s="3"/>
      <c r="E985" s="18"/>
      <c r="F985" s="8"/>
      <c r="G985" s="8"/>
      <c r="H985" s="8"/>
      <c r="I985" s="8"/>
    </row>
    <row r="986" spans="1:9" ht="14.25" customHeight="1" x14ac:dyDescent="0.25">
      <c r="A986" s="3"/>
      <c r="B986" s="3"/>
      <c r="C986" s="3"/>
      <c r="D986" s="3"/>
      <c r="E986" s="18"/>
      <c r="F986" s="8"/>
      <c r="G986" s="8"/>
      <c r="H986" s="8"/>
      <c r="I986" s="8"/>
    </row>
    <row r="987" spans="1:9" ht="14.25" customHeight="1" x14ac:dyDescent="0.25">
      <c r="A987" s="3"/>
      <c r="B987" s="3"/>
      <c r="C987" s="3"/>
      <c r="D987" s="3"/>
      <c r="E987" s="18"/>
      <c r="F987" s="8"/>
      <c r="G987" s="8"/>
      <c r="H987" s="8"/>
      <c r="I987" s="8"/>
    </row>
    <row r="988" spans="1:9" ht="14.25" customHeight="1" x14ac:dyDescent="0.25">
      <c r="A988" s="3"/>
      <c r="B988" s="3"/>
      <c r="C988" s="3"/>
      <c r="D988" s="3"/>
      <c r="E988" s="18"/>
      <c r="F988" s="8"/>
      <c r="G988" s="8"/>
      <c r="H988" s="8"/>
      <c r="I988" s="8"/>
    </row>
    <row r="989" spans="1:9" ht="14.25" customHeight="1" x14ac:dyDescent="0.25">
      <c r="A989" s="3"/>
      <c r="B989" s="3"/>
      <c r="C989" s="3"/>
      <c r="D989" s="3"/>
      <c r="E989" s="18"/>
      <c r="F989" s="8"/>
      <c r="G989" s="8"/>
      <c r="H989" s="8"/>
      <c r="I989" s="8"/>
    </row>
    <row r="990" spans="1:9" ht="14.25" customHeight="1" x14ac:dyDescent="0.25">
      <c r="A990" s="3"/>
      <c r="B990" s="3"/>
      <c r="C990" s="3"/>
      <c r="D990" s="3"/>
      <c r="E990" s="18"/>
      <c r="F990" s="8"/>
      <c r="G990" s="8"/>
      <c r="H990" s="8"/>
      <c r="I990" s="8"/>
    </row>
    <row r="991" spans="1:9" ht="14.25" customHeight="1" x14ac:dyDescent="0.25">
      <c r="A991" s="3"/>
      <c r="B991" s="3"/>
      <c r="C991" s="3"/>
      <c r="D991" s="3"/>
      <c r="E991" s="18"/>
      <c r="F991" s="8"/>
      <c r="G991" s="8"/>
      <c r="H991" s="8"/>
      <c r="I991" s="8"/>
    </row>
    <row r="992" spans="1:9" ht="14.25" customHeight="1" x14ac:dyDescent="0.25">
      <c r="A992" s="3"/>
      <c r="B992" s="3"/>
      <c r="C992" s="3"/>
      <c r="D992" s="3"/>
      <c r="E992" s="18"/>
      <c r="F992" s="8"/>
      <c r="G992" s="8"/>
      <c r="H992" s="8"/>
      <c r="I992" s="8"/>
    </row>
    <row r="993" spans="1:9" ht="14.25" customHeight="1" x14ac:dyDescent="0.25">
      <c r="A993" s="3"/>
      <c r="B993" s="3"/>
      <c r="C993" s="3"/>
      <c r="D993" s="3"/>
      <c r="E993" s="18"/>
      <c r="F993" s="8"/>
      <c r="G993" s="8"/>
      <c r="H993" s="8"/>
      <c r="I993" s="8"/>
    </row>
    <row r="994" spans="1:9" ht="14.25" customHeight="1" x14ac:dyDescent="0.25">
      <c r="A994" s="3"/>
      <c r="B994" s="3"/>
      <c r="C994" s="3"/>
      <c r="D994" s="3"/>
      <c r="E994" s="18"/>
      <c r="F994" s="8"/>
      <c r="G994" s="8"/>
      <c r="H994" s="8"/>
      <c r="I994" s="8"/>
    </row>
    <row r="995" spans="1:9" ht="14.25" customHeight="1" x14ac:dyDescent="0.25">
      <c r="A995" s="3"/>
      <c r="B995" s="3"/>
      <c r="C995" s="3"/>
      <c r="D995" s="3"/>
      <c r="E995" s="18"/>
      <c r="F995" s="8"/>
      <c r="G995" s="8"/>
      <c r="H995" s="8"/>
      <c r="I995" s="8"/>
    </row>
    <row r="996" spans="1:9" ht="14.25" customHeight="1" x14ac:dyDescent="0.25">
      <c r="A996" s="3"/>
      <c r="B996" s="3"/>
      <c r="C996" s="3"/>
      <c r="D996" s="3"/>
      <c r="E996" s="18"/>
      <c r="F996" s="8"/>
      <c r="G996" s="8"/>
      <c r="H996" s="8"/>
      <c r="I996" s="8"/>
    </row>
    <row r="997" spans="1:9" ht="14.25" customHeight="1" x14ac:dyDescent="0.25">
      <c r="A997" s="3"/>
      <c r="B997" s="3"/>
      <c r="C997" s="3"/>
      <c r="D997" s="3"/>
      <c r="E997" s="18"/>
      <c r="F997" s="8"/>
      <c r="G997" s="8"/>
      <c r="H997" s="8"/>
      <c r="I997" s="8"/>
    </row>
    <row r="998" spans="1:9" ht="14.25" customHeight="1" x14ac:dyDescent="0.25">
      <c r="A998" s="3"/>
      <c r="B998" s="3"/>
      <c r="C998" s="3"/>
      <c r="D998" s="3"/>
      <c r="E998" s="18"/>
      <c r="F998" s="8"/>
      <c r="G998" s="8"/>
      <c r="H998" s="8"/>
      <c r="I998" s="8"/>
    </row>
    <row r="999" spans="1:9" ht="14.25" customHeight="1" x14ac:dyDescent="0.25">
      <c r="A999" s="3"/>
      <c r="B999" s="3"/>
      <c r="C999" s="3"/>
      <c r="D999" s="3"/>
      <c r="E999" s="18"/>
      <c r="F999" s="8"/>
      <c r="G999" s="8"/>
      <c r="H999" s="8"/>
      <c r="I999" s="8"/>
    </row>
    <row r="1000" spans="1:9" ht="14.25" customHeight="1" x14ac:dyDescent="0.25">
      <c r="A1000" s="3"/>
      <c r="B1000" s="3"/>
      <c r="C1000" s="3"/>
      <c r="D1000" s="3"/>
      <c r="E1000" s="18"/>
      <c r="F1000" s="8"/>
      <c r="G1000" s="8"/>
      <c r="H1000" s="8"/>
      <c r="I1000" s="8"/>
    </row>
    <row r="1001" spans="1:9" ht="14.25" customHeight="1" x14ac:dyDescent="0.25">
      <c r="A1001" s="3"/>
      <c r="B1001" s="3"/>
      <c r="C1001" s="3"/>
      <c r="D1001" s="3"/>
      <c r="E1001" s="18"/>
      <c r="F1001" s="8"/>
      <c r="G1001" s="8"/>
      <c r="H1001" s="8"/>
      <c r="I1001" s="8"/>
    </row>
    <row r="1002" spans="1:9" ht="14.25" customHeight="1" x14ac:dyDescent="0.25">
      <c r="A1002" s="3"/>
      <c r="B1002" s="3"/>
      <c r="C1002" s="3"/>
      <c r="D1002" s="3"/>
      <c r="E1002" s="18"/>
      <c r="F1002" s="8"/>
      <c r="G1002" s="8"/>
      <c r="H1002" s="8"/>
      <c r="I1002" s="8"/>
    </row>
    <row r="1003" spans="1:9" ht="14.25" customHeight="1" x14ac:dyDescent="0.25">
      <c r="A1003" s="3"/>
      <c r="B1003" s="3"/>
      <c r="C1003" s="3"/>
      <c r="D1003" s="3"/>
      <c r="E1003" s="18"/>
      <c r="F1003" s="8"/>
      <c r="G1003" s="8"/>
      <c r="H1003" s="8"/>
      <c r="I1003" s="8"/>
    </row>
    <row r="1004" spans="1:9" ht="14.25" customHeight="1" x14ac:dyDescent="0.25">
      <c r="A1004" s="3"/>
      <c r="B1004" s="3"/>
      <c r="C1004" s="3"/>
      <c r="D1004" s="3"/>
      <c r="E1004" s="18"/>
      <c r="F1004" s="8"/>
      <c r="G1004" s="8"/>
      <c r="H1004" s="8"/>
      <c r="I1004" s="8"/>
    </row>
    <row r="1005" spans="1:9" ht="14.25" customHeight="1" x14ac:dyDescent="0.25">
      <c r="A1005" s="3"/>
      <c r="B1005" s="3"/>
      <c r="C1005" s="3"/>
      <c r="D1005" s="3"/>
      <c r="E1005" s="18"/>
      <c r="F1005" s="8"/>
      <c r="G1005" s="8"/>
      <c r="H1005" s="8"/>
      <c r="I1005" s="8"/>
    </row>
    <row r="1006" spans="1:9" ht="14.25" customHeight="1" x14ac:dyDescent="0.25">
      <c r="A1006" s="3"/>
      <c r="B1006" s="3"/>
      <c r="C1006" s="3"/>
      <c r="D1006" s="3"/>
      <c r="E1006" s="18"/>
      <c r="F1006" s="8"/>
      <c r="G1006" s="8"/>
      <c r="H1006" s="8"/>
      <c r="I1006" s="8"/>
    </row>
    <row r="1007" spans="1:9" ht="14.25" customHeight="1" x14ac:dyDescent="0.25">
      <c r="A1007" s="3"/>
      <c r="B1007" s="3"/>
      <c r="C1007" s="3"/>
      <c r="D1007" s="3"/>
      <c r="E1007" s="18"/>
      <c r="F1007" s="8"/>
      <c r="G1007" s="8"/>
      <c r="H1007" s="8"/>
      <c r="I1007" s="8"/>
    </row>
    <row r="1008" spans="1:9" ht="14.25" customHeight="1" x14ac:dyDescent="0.25">
      <c r="A1008" s="3"/>
      <c r="B1008" s="3"/>
      <c r="C1008" s="3"/>
      <c r="D1008" s="3"/>
      <c r="E1008" s="18"/>
      <c r="F1008" s="8"/>
      <c r="G1008" s="8"/>
      <c r="H1008" s="8"/>
      <c r="I1008" s="8"/>
    </row>
    <row r="1009" spans="1:9" ht="14.25" customHeight="1" x14ac:dyDescent="0.25">
      <c r="A1009" s="3"/>
      <c r="B1009" s="3"/>
      <c r="C1009" s="3"/>
      <c r="D1009" s="3"/>
      <c r="E1009" s="18"/>
      <c r="F1009" s="8"/>
      <c r="G1009" s="8"/>
      <c r="H1009" s="8"/>
      <c r="I1009" s="8"/>
    </row>
    <row r="1010" spans="1:9" ht="14.25" customHeight="1" x14ac:dyDescent="0.25">
      <c r="A1010" s="3"/>
      <c r="B1010" s="3"/>
      <c r="C1010" s="3"/>
      <c r="D1010" s="3"/>
      <c r="E1010" s="18"/>
      <c r="F1010" s="8"/>
      <c r="G1010" s="8"/>
      <c r="H1010" s="8"/>
      <c r="I1010" s="8"/>
    </row>
    <row r="1011" spans="1:9" ht="14.25" customHeight="1" x14ac:dyDescent="0.25">
      <c r="A1011" s="3"/>
      <c r="B1011" s="3"/>
      <c r="C1011" s="3"/>
      <c r="D1011" s="3"/>
      <c r="E1011" s="18"/>
      <c r="F1011" s="8"/>
      <c r="G1011" s="8"/>
      <c r="H1011" s="8"/>
      <c r="I1011" s="8"/>
    </row>
    <row r="1012" spans="1:9" ht="14.25" customHeight="1" x14ac:dyDescent="0.25">
      <c r="A1012" s="3"/>
      <c r="B1012" s="3"/>
      <c r="C1012" s="3"/>
      <c r="D1012" s="3"/>
      <c r="E1012" s="18"/>
      <c r="F1012" s="8"/>
      <c r="G1012" s="8"/>
      <c r="H1012" s="8"/>
      <c r="I1012" s="8"/>
    </row>
    <row r="1013" spans="1:9" ht="14.25" customHeight="1" x14ac:dyDescent="0.25">
      <c r="A1013" s="3"/>
      <c r="B1013" s="3"/>
      <c r="C1013" s="3"/>
      <c r="D1013" s="3"/>
      <c r="E1013" s="18"/>
      <c r="F1013" s="8"/>
      <c r="G1013" s="8"/>
      <c r="H1013" s="8"/>
      <c r="I1013" s="8"/>
    </row>
    <row r="1014" spans="1:9" ht="14.25" customHeight="1" x14ac:dyDescent="0.25">
      <c r="A1014" s="3"/>
      <c r="B1014" s="3"/>
      <c r="C1014" s="3"/>
      <c r="D1014" s="3"/>
      <c r="E1014" s="18"/>
      <c r="F1014" s="8"/>
      <c r="G1014" s="8"/>
      <c r="H1014" s="8"/>
      <c r="I1014" s="8"/>
    </row>
    <row r="1015" spans="1:9" ht="14.25" customHeight="1" x14ac:dyDescent="0.25">
      <c r="A1015" s="3"/>
      <c r="B1015" s="3"/>
      <c r="C1015" s="3"/>
      <c r="D1015" s="3"/>
      <c r="E1015" s="18"/>
      <c r="F1015" s="8"/>
      <c r="G1015" s="8"/>
      <c r="H1015" s="8"/>
      <c r="I1015" s="8"/>
    </row>
    <row r="1016" spans="1:9" ht="14.25" customHeight="1" x14ac:dyDescent="0.25">
      <c r="A1016" s="3"/>
      <c r="B1016" s="3"/>
      <c r="C1016" s="3"/>
      <c r="D1016" s="3"/>
      <c r="E1016" s="18"/>
      <c r="F1016" s="8"/>
      <c r="G1016" s="8"/>
      <c r="H1016" s="8"/>
      <c r="I1016" s="8"/>
    </row>
    <row r="1017" spans="1:9" ht="14.25" customHeight="1" x14ac:dyDescent="0.25">
      <c r="A1017" s="3"/>
      <c r="B1017" s="3"/>
      <c r="C1017" s="3"/>
      <c r="D1017" s="3"/>
      <c r="E1017" s="18"/>
      <c r="F1017" s="8"/>
      <c r="G1017" s="8"/>
      <c r="H1017" s="8"/>
      <c r="I1017" s="8"/>
    </row>
    <row r="1018" spans="1:9" ht="14.25" customHeight="1" x14ac:dyDescent="0.25">
      <c r="A1018" s="3"/>
      <c r="B1018" s="3"/>
      <c r="C1018" s="3"/>
      <c r="D1018" s="3"/>
      <c r="E1018" s="18"/>
      <c r="F1018" s="8"/>
      <c r="G1018" s="8"/>
      <c r="H1018" s="8"/>
      <c r="I1018" s="8"/>
    </row>
    <row r="1019" spans="1:9" ht="14.25" customHeight="1" x14ac:dyDescent="0.25">
      <c r="A1019" s="3"/>
      <c r="B1019" s="3"/>
      <c r="C1019" s="3"/>
      <c r="D1019" s="3"/>
      <c r="E1019" s="18"/>
      <c r="F1019" s="8"/>
      <c r="G1019" s="8"/>
      <c r="H1019" s="8"/>
      <c r="I1019" s="8"/>
    </row>
    <row r="1020" spans="1:9" ht="14.25" customHeight="1" x14ac:dyDescent="0.25">
      <c r="A1020" s="3"/>
      <c r="B1020" s="3"/>
      <c r="C1020" s="3"/>
      <c r="D1020" s="3"/>
      <c r="E1020" s="18"/>
      <c r="F1020" s="8"/>
      <c r="G1020" s="8"/>
      <c r="H1020" s="8"/>
      <c r="I1020" s="8"/>
    </row>
    <row r="1021" spans="1:9" ht="14.25" customHeight="1" x14ac:dyDescent="0.25">
      <c r="A1021" s="3"/>
      <c r="B1021" s="3"/>
      <c r="C1021" s="3"/>
      <c r="D1021" s="3"/>
      <c r="E1021" s="18"/>
      <c r="F1021" s="8"/>
      <c r="G1021" s="8"/>
      <c r="H1021" s="8"/>
      <c r="I1021" s="8"/>
    </row>
    <row r="1022" spans="1:9" ht="14.25" customHeight="1" x14ac:dyDescent="0.25">
      <c r="A1022" s="3"/>
      <c r="B1022" s="3"/>
      <c r="C1022" s="3"/>
      <c r="D1022" s="3"/>
      <c r="E1022" s="18"/>
      <c r="F1022" s="8"/>
      <c r="G1022" s="8"/>
      <c r="H1022" s="8"/>
      <c r="I1022" s="8"/>
    </row>
    <row r="1023" spans="1:9" ht="14.25" customHeight="1" x14ac:dyDescent="0.25">
      <c r="A1023" s="3"/>
      <c r="B1023" s="3"/>
      <c r="C1023" s="3"/>
      <c r="D1023" s="3"/>
      <c r="E1023" s="18"/>
      <c r="F1023" s="8"/>
      <c r="G1023" s="8"/>
      <c r="H1023" s="8"/>
      <c r="I1023" s="8"/>
    </row>
    <row r="1024" spans="1:9" ht="14.25" customHeight="1" x14ac:dyDescent="0.25">
      <c r="A1024" s="3"/>
      <c r="B1024" s="3"/>
      <c r="C1024" s="3"/>
      <c r="D1024" s="3"/>
      <c r="E1024" s="18"/>
      <c r="F1024" s="8"/>
      <c r="G1024" s="8"/>
      <c r="H1024" s="8"/>
      <c r="I1024" s="8"/>
    </row>
    <row r="1025" spans="1:9" ht="14.25" customHeight="1" x14ac:dyDescent="0.25">
      <c r="A1025" s="3"/>
      <c r="B1025" s="3"/>
      <c r="C1025" s="3"/>
      <c r="D1025" s="3"/>
      <c r="E1025" s="18"/>
      <c r="F1025" s="8"/>
      <c r="G1025" s="8"/>
      <c r="H1025" s="8"/>
      <c r="I1025" s="8"/>
    </row>
    <row r="1026" spans="1:9" ht="14.25" customHeight="1" x14ac:dyDescent="0.25">
      <c r="A1026" s="3"/>
      <c r="B1026" s="3"/>
      <c r="C1026" s="3"/>
      <c r="D1026" s="3"/>
      <c r="E1026" s="18"/>
      <c r="F1026" s="8"/>
      <c r="G1026" s="8"/>
      <c r="H1026" s="8"/>
      <c r="I1026" s="8"/>
    </row>
    <row r="1027" spans="1:9" ht="14.25" customHeight="1" x14ac:dyDescent="0.25">
      <c r="A1027" s="3"/>
      <c r="B1027" s="3"/>
      <c r="C1027" s="3"/>
      <c r="D1027" s="3"/>
      <c r="E1027" s="18"/>
      <c r="F1027" s="8"/>
      <c r="G1027" s="8"/>
      <c r="H1027" s="8"/>
      <c r="I1027" s="8"/>
    </row>
    <row r="1028" spans="1:9" ht="14.25" customHeight="1" x14ac:dyDescent="0.25">
      <c r="A1028" s="3"/>
      <c r="B1028" s="3"/>
      <c r="C1028" s="3"/>
      <c r="D1028" s="3"/>
      <c r="E1028" s="18"/>
      <c r="F1028" s="8"/>
      <c r="G1028" s="8"/>
      <c r="H1028" s="8"/>
      <c r="I1028" s="8"/>
    </row>
    <row r="1029" spans="1:9" ht="14.25" customHeight="1" x14ac:dyDescent="0.25">
      <c r="A1029" s="3"/>
      <c r="B1029" s="3"/>
      <c r="C1029" s="3"/>
      <c r="D1029" s="3"/>
      <c r="E1029" s="18"/>
      <c r="F1029" s="8"/>
      <c r="G1029" s="8"/>
      <c r="H1029" s="8"/>
      <c r="I1029" s="8"/>
    </row>
  </sheetData>
  <phoneticPr fontId="1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00"/>
  <sheetViews>
    <sheetView workbookViewId="0"/>
  </sheetViews>
  <sheetFormatPr defaultColWidth="14.42578125" defaultRowHeight="15" x14ac:dyDescent="0.25"/>
  <cols>
    <col min="1" max="26" width="8.7109375" customWidth="1"/>
  </cols>
  <sheetData>
    <row r="1" spans="1:13" ht="14.25" customHeight="1" x14ac:dyDescent="0.25">
      <c r="A1" s="36" t="s">
        <v>38</v>
      </c>
      <c r="B1" s="41">
        <f>MIN(Speed!G:G)</f>
        <v>50</v>
      </c>
      <c r="C1" s="36" t="s">
        <v>414</v>
      </c>
      <c r="D1" s="36" t="s">
        <v>415</v>
      </c>
      <c r="M1" s="7"/>
    </row>
    <row r="2" spans="1:13" ht="14.25" customHeight="1" x14ac:dyDescent="0.25">
      <c r="A2" s="36" t="s">
        <v>39</v>
      </c>
      <c r="B2" s="41">
        <f>MAX(Speed!H:H)</f>
        <v>450</v>
      </c>
      <c r="C2" s="36" t="s">
        <v>414</v>
      </c>
      <c r="D2" s="36" t="s">
        <v>416</v>
      </c>
    </row>
    <row r="3" spans="1:13" ht="14.25" customHeight="1" x14ac:dyDescent="0.25">
      <c r="A3" s="42" t="s">
        <v>54</v>
      </c>
      <c r="B3" s="41" t="s">
        <v>56</v>
      </c>
      <c r="C3" s="36" t="s">
        <v>36</v>
      </c>
      <c r="D3" s="36" t="s">
        <v>302</v>
      </c>
    </row>
    <row r="4" spans="1:13" ht="14.25" customHeight="1" x14ac:dyDescent="0.25">
      <c r="A4" s="36" t="s">
        <v>75</v>
      </c>
      <c r="B4" s="41">
        <f>AVERAGE(Speed!I2,Speed!I8,Speed!I9,Speed!I20,Speed!I25,Speed!I26,Speed!I27,Speed!I32,Speed!I35,Speed!I36,Speed!I43,Speed!I54,Speed!I55,Speed!I63,Speed!I64,Speed!I65,Speed!I67,Speed!I68,Speed!I69,Speed!I71,Speed!I73,Speed!I89,Speed!I92,Speed!I93,Speed!I95,Speed!I96)</f>
        <v>210.61615384615385</v>
      </c>
      <c r="C4" s="36">
        <f>_xlfn.STDEV.P(Speed!I2,Speed!I9,Speed!I20,Speed!I8,Speed!I25,Speed!I26,Speed!I27,Speed!I32,Speed!I35,Speed!I36,Speed!I43,Speed!I54,Speed!I55,Speed!I63,Speed!I64,Speed!I65,Speed!I67,Speed!I68,Speed!I69,Speed!I71,Speed!I73,Speed!I89,Speed!I92,Speed!I93,Speed!I95,Speed!I96)</f>
        <v>51.787446360983154</v>
      </c>
      <c r="D4" s="36">
        <f>COUNTA(Speed!I2,Speed!I9,Speed!I20,Speed!I8,Speed!I25,Speed!I26,Speed!I27,Speed!I32,Speed!I35,Speed!I36,Speed!I43,Speed!I54,Speed!I55,Speed!I63,Speed!I64,Speed!I65,Speed!I67,Speed!I68,Speed!I69,Speed!I71,Speed!I73,Speed!I89,Speed!I92,Speed!I93,Speed!I95,Speed!I96)</f>
        <v>26</v>
      </c>
    </row>
    <row r="5" spans="1:13" ht="14.25" customHeight="1" x14ac:dyDescent="0.25">
      <c r="A5" s="36" t="s">
        <v>97</v>
      </c>
      <c r="B5" s="41">
        <f>AVERAGE(Speed!I7,Speed!I12,Speed!I16,Speed!I17,Speed!I18,Speed!I19,Speed!I37,Speed!I38,Speed!I42,Speed!I44,Speed!I51,Speed!I52,Speed!I53,Speed!I56,Speed!I57,Speed!I58,Speed!I59,Speed!I60,Speed!I66,Speed!I70,Speed!I74,Speed!I75,Speed!I76,Speed!I77,Speed!I78,Speed!I79,Speed!I81,Speed!I82,Speed!I83,Speed!I84,Speed!I85,Speed!I86,Speed!I87,Speed!I88,Speed!I90,Speed!I91,Speed!I94)</f>
        <v>160.50675675675674</v>
      </c>
      <c r="C5" s="36">
        <f>_xlfn.STDEV.P(Speed!I7,Speed!I12,Speed!I16,Speed!I17,Speed!I18,Speed!I19,Speed!I37,Speed!I38,Speed!I42,Speed!I44,Speed!I51,Speed!I52,Speed!I53,Speed!I56,Speed!I57,Speed!I58,Speed!I59,Speed!I60,Speed!I66,Speed!I70,Speed!I74,Speed!I75,Speed!I76,Speed!I77,Speed!I78,Speed!I79,Speed!I81,Speed!I82,Speed!I83,Speed!I84,Speed!I85,Speed!I86,Speed!I87,Speed!I88,Speed!I90,Speed!I91,Speed!I94)</f>
        <v>52.487272797294295</v>
      </c>
      <c r="D5" s="36">
        <f>COUNT(Speed!I7,Speed!I12,Speed!I16,Speed!I17,Speed!I18,Speed!I19,Speed!I37,Speed!I38,Speed!I42,Speed!I44,Speed!I51,Speed!I52,Speed!I53,Speed!I56,Speed!I57,Speed!I58,Speed!I59,Speed!I60,Speed!I66,Speed!I70,Speed!I74,Speed!I75,Speed!I76,Speed!I77,Speed!I78,Speed!I79,Speed!I81,Speed!I82,Speed!I83,Speed!I84,Speed!I85,Speed!I86,Speed!I87,Speed!I88,Speed!I90,Speed!I91,Speed!I94)</f>
        <v>37</v>
      </c>
    </row>
    <row r="6" spans="1:13" ht="14.25" customHeight="1" x14ac:dyDescent="0.25">
      <c r="A6" s="36" t="s">
        <v>66</v>
      </c>
      <c r="B6" s="41">
        <f>AVERAGEA(Speed!I3,Speed!I4,Speed!I5,Speed!I6,Speed!I10,Speed!I11,Speed!I13,Speed!I14,Speed!I15,Speed!I22,Speed!I21,Speed!I23,Speed!I24,Speed!I28,Speed!I29,Speed!I30,Speed!I33,Speed!I34,Speed!I39,Speed!I40,Speed!I41,Speed!I45,Speed!I46,Speed!I47,Speed!I48,Speed!I49,Speed!I50,Speed!I72)</f>
        <v>150</v>
      </c>
      <c r="C6" s="36">
        <f>_xlfn.STDEV.P(Speed!I3,Speed!I4,Speed!I5,Speed!I6,Speed!I10,Speed!I11,Speed!I13,Speed!I14,Speed!I15,Speed!I22,Speed!I21,Speed!I23,Speed!I24,Speed!I28,Speed!I29,Speed!I30,Speed!I33,Speed!I34,Speed!I39,Speed!I40,Speed!I41,Speed!I45,Speed!I46,Speed!I47,Speed!I48,Speed!I49,Speed!I50,Speed!I72)</f>
        <v>33.407655239053049</v>
      </c>
      <c r="D6" s="36">
        <f>COUNT(Speed!I3,Speed!I4,Speed!I5,Speed!I6,Speed!I10,Speed!I11,Speed!I13,Speed!I14,Speed!I15,Speed!I22,Speed!I21,Speed!I23,Speed!I24,Speed!I28,Speed!I29,Speed!I30,Speed!I33,Speed!I34,Speed!I39,Speed!I40,Speed!I41,Speed!I45,Speed!I46,Speed!I47,Speed!I48,Speed!I49,Speed!I50,Speed!I72)</f>
        <v>28</v>
      </c>
    </row>
    <row r="7" spans="1:13" ht="14.25" customHeight="1" x14ac:dyDescent="0.25">
      <c r="A7" s="36" t="s">
        <v>201</v>
      </c>
      <c r="B7" s="41">
        <f>AVERAGE(Speed!I31,Speed!I61,Speed!I62,Speed!I80)</f>
        <v>175</v>
      </c>
      <c r="C7" s="36">
        <f>_xlfn.STDEV.P(Speed!I31,Speed!I61,Speed!I62,Speed!I80)</f>
        <v>65.383484153110103</v>
      </c>
      <c r="D7" s="36">
        <f>COUNT(Speed!I31,Speed!I61,Speed!I62,Speed!I80)</f>
        <v>4</v>
      </c>
    </row>
    <row r="8" spans="1:13" ht="14.25" customHeight="1" x14ac:dyDescent="0.25">
      <c r="A8" s="42" t="s">
        <v>55</v>
      </c>
      <c r="B8" s="41" t="s">
        <v>56</v>
      </c>
      <c r="C8" s="36" t="s">
        <v>36</v>
      </c>
      <c r="D8" s="36" t="s">
        <v>302</v>
      </c>
    </row>
    <row r="9" spans="1:13" ht="14.25" customHeight="1" x14ac:dyDescent="0.25">
      <c r="A9" s="36" t="s">
        <v>46</v>
      </c>
      <c r="B9" s="41">
        <f>AVERAGE(Speed!I4,Speed!I10,Speed!I5,Speed!I14,Speed!I16,Speed!I20,Speed!I28,Speed!I29,Speed!I30,Speed!I31,Speed!I32,Speed!I33,Speed!I35,Speed!I37,Speed!I39,Speed!I42,Speed!I45,Speed!I46,Speed!I48,Speed!I51,Speed!I53,Speed!I54,Speed!I55,Speed!I58,Speed!I61,Speed!I62,Speed!I64,Speed!I65,Speed!I67,Speed!I72,Speed!I73,Speed!I74,Speed!I77,Speed!I80,Speed!I81,Speed!I84,Speed!I87,Speed!I89,Speed!I90,Speed!I92,Speed!I93)</f>
        <v>178.8719512195122</v>
      </c>
      <c r="C9" s="36">
        <f>_xlfn.STDEV.P(Speed!I4,Speed!I5,Speed!I10,Speed!I14,Speed!I16,Speed!I20,Speed!I28,Speed!I29,Speed!I30,Speed!I31,Speed!I32,Speed!I33,Speed!I35,Speed!I37,Speed!I39,Speed!I42,Speed!I45,Speed!I46,Speed!I48,Speed!I51,Speed!I53,Speed!I54,Speed!I55,Speed!I58,Speed!I61,Speed!I62,Speed!I64,Speed!I65,Speed!I67,Speed!I72,Speed!I73,Speed!I74,Speed!I77,Speed!I80,Speed!I81,Speed!I84,Speed!I87,Speed!I89,Speed!I90,Speed!I92,Speed!I93)</f>
        <v>53.323481361267341</v>
      </c>
      <c r="D9" s="36">
        <f>COUNT(Speed!I4,Speed!I5,Speed!I11,Speed!I14,Speed!I16,Speed!I20,Speed!I28,Speed!I29,Speed!I30,Speed!I31,Speed!I32,Speed!I33,Speed!I35,Speed!I37,Speed!I39,Speed!I42,Speed!I45,Speed!I46,Speed!I48,Speed!I51,Speed!I53,Speed!I54,Speed!I55,Speed!I58,Speed!I61,Speed!I62,Speed!I64,Speed!I65,Speed!I67,Speed!I72,Speed!I73,Speed!I74,Speed!I77,Speed!I80,Speed!I81,Speed!I84,Speed!I87,Speed!I89,Speed!I90,Speed!I92,Speed!I93)</f>
        <v>41</v>
      </c>
    </row>
    <row r="10" spans="1:13" ht="14.25" customHeight="1" x14ac:dyDescent="0.25">
      <c r="A10" s="36" t="s">
        <v>47</v>
      </c>
      <c r="B10" s="41">
        <f>AVERAGE(Speed!I11,Speed!I17,Speed!I36,Speed!I40,Speed!I43,Speed!I47,Speed!I49,Speed!I52,Speed!I56,Speed!I59,Speed!I63,Speed!I66,Speed!I70,Speed!I78,Speed!I82,Speed!I85,Speed!I88,Speed!I94,Speed!I95,Speed!I96)</f>
        <v>176.07499999999999</v>
      </c>
      <c r="C10" s="36">
        <f>_xlfn.STDEV.P(Speed!I11,Speed!I17,Speed!I36,Speed!I40,Speed!I43,Speed!I47,Speed!I49,Speed!I52,Speed!I56,Speed!I59,Speed!I63,Speed!I66,Speed!I70,Speed!I78,Speed!I82,Speed!I85,Speed!I88,Speed!I94,Speed!I95,Speed!I96)</f>
        <v>56.765807269869775</v>
      </c>
      <c r="D10" s="36">
        <f>COUNT(Speed!I11,Speed!I17,Speed!I36,Speed!I40,Speed!I43,Speed!I47,Speed!I49,Speed!I52,Speed!I56,Speed!I59,Speed!I63,Speed!I66,Speed!I70,Speed!I78,Speed!I82,Speed!I85,Speed!I88,Speed!I94,Speed!I95,Speed!I96)</f>
        <v>20</v>
      </c>
    </row>
    <row r="11" spans="1:13" ht="14.25" customHeight="1" x14ac:dyDescent="0.25">
      <c r="A11" s="36" t="s">
        <v>417</v>
      </c>
      <c r="B11" s="41">
        <f>AVERAGE(Speed!I2,Speed!I7,Speed!I8,Speed!I9,Speed!I12,Speed!I13,Speed!I18,Speed!I21,Speed!I22,Speed!I23,Speed!I25,Speed!I26,Speed!I27,Speed!I34,Speed!I38,Speed!I41,Speed!I44,Speed!I50,Speed!I57,Speed!I60,Speed!I68,Speed!I69,Speed!I71,Speed!I75,Speed!I79,Speed!I83,Speed!I86,Speed!I91)</f>
        <v>166.41142857142859</v>
      </c>
      <c r="C11" s="36">
        <f>_xlfn.STDEV.P(Speed!I2,Speed!I7,Speed!I9,Speed!I12,Speed!I13,Speed!I18,Speed!I21,Speed!I22,Speed!I23,Speed!I25,Speed!I26,Speed!I27,Speed!I8,Speed!I34,Speed!I38,Speed!I41,Speed!I44,Speed!I50,Speed!I57,Speed!I60,Speed!I68,Speed!I69,Speed!I71,Speed!I75,Speed!I79,Speed!I83,Speed!I86,Speed!I91)</f>
        <v>52.486757085837802</v>
      </c>
      <c r="D11" s="36">
        <f>COUNT(Speed!I2,Speed!I7,Speed!I9,Speed!I12,Speed!I13,Speed!I18,Speed!I21,Speed!I22,Speed!I23,Speed!I25,Speed!I26,Speed!I27,Speed!I8,Speed!I34,Speed!I38,Speed!I41,Speed!I44,Speed!I50,Speed!I57,Speed!I60,Speed!I68,Speed!I69,Speed!I71,Speed!I75,Speed!I79,Speed!I83,Speed!I86,Speed!I91)</f>
        <v>28</v>
      </c>
    </row>
    <row r="12" spans="1:13" ht="14.25" customHeight="1" x14ac:dyDescent="0.25">
      <c r="A12" s="36" t="s">
        <v>71</v>
      </c>
      <c r="B12" s="41">
        <f>AVERAGE(Speed!I3,Speed!I6,Speed!I15,Speed!I19,Speed!I24,Speed!I76)</f>
        <v>133.33333333333334</v>
      </c>
      <c r="C12" s="36">
        <f>_xlfn.STDEV.P(Speed!I3,Speed!I6,Speed!I15,Speed!I19,Speed!I24,Speed!I76)</f>
        <v>34.115815817431198</v>
      </c>
      <c r="D12" s="36">
        <f>COUNT(Speed!I3,Speed!I6,Speed!I15,Speed!I19,Speed!I24,Speed!I76)</f>
        <v>6</v>
      </c>
    </row>
    <row r="13" spans="1:13" ht="14.25" customHeight="1" x14ac:dyDescent="0.25">
      <c r="A13" s="8"/>
      <c r="B13" s="8"/>
      <c r="C13" s="8"/>
      <c r="D13" s="8"/>
    </row>
    <row r="14" spans="1:13" ht="14.25" customHeight="1" x14ac:dyDescent="0.25">
      <c r="A14" s="8"/>
      <c r="B14" s="8"/>
      <c r="C14" s="8"/>
      <c r="D14" s="8"/>
    </row>
    <row r="15" spans="1:13" ht="14.25" customHeight="1" x14ac:dyDescent="0.25">
      <c r="A15" s="8"/>
      <c r="B15" s="8"/>
      <c r="C15" s="8"/>
      <c r="D15" s="8"/>
    </row>
    <row r="16" spans="1:13" ht="14.25" customHeight="1" x14ac:dyDescent="0.25">
      <c r="A16" s="8"/>
      <c r="B16" s="8"/>
      <c r="C16" s="8"/>
      <c r="D16" s="8"/>
    </row>
    <row r="17" spans="1:4" ht="14.25" customHeight="1" x14ac:dyDescent="0.25">
      <c r="A17" s="8"/>
      <c r="B17" s="8"/>
      <c r="C17" s="8"/>
      <c r="D17" s="8"/>
    </row>
    <row r="18" spans="1:4" ht="14.25" customHeight="1" x14ac:dyDescent="0.25">
      <c r="A18" s="8"/>
      <c r="B18" s="8"/>
      <c r="C18" s="8"/>
      <c r="D18" s="8"/>
    </row>
    <row r="19" spans="1:4" ht="14.25" customHeight="1" x14ac:dyDescent="0.25">
      <c r="A19" s="8"/>
      <c r="B19" s="8"/>
      <c r="C19" s="8"/>
      <c r="D19" s="8"/>
    </row>
    <row r="20" spans="1:4" ht="14.25" customHeight="1" x14ac:dyDescent="0.25">
      <c r="A20" s="8"/>
      <c r="B20" s="8"/>
      <c r="C20" s="8"/>
      <c r="D20" s="8"/>
    </row>
    <row r="21" spans="1:4" ht="14.25" customHeight="1" x14ac:dyDescent="0.25">
      <c r="A21" s="8"/>
      <c r="B21" s="8"/>
      <c r="C21" s="8"/>
      <c r="D21" s="8"/>
    </row>
    <row r="22" spans="1:4" ht="14.25" customHeight="1" x14ac:dyDescent="0.25">
      <c r="A22" s="8"/>
      <c r="B22" s="8"/>
      <c r="C22" s="8"/>
      <c r="D22" s="8"/>
    </row>
    <row r="23" spans="1:4" ht="14.25" customHeight="1" x14ac:dyDescent="0.25">
      <c r="A23" s="8"/>
      <c r="B23" s="8"/>
      <c r="C23" s="8"/>
      <c r="D23" s="8"/>
    </row>
    <row r="24" spans="1:4" ht="14.25" customHeight="1" x14ac:dyDescent="0.25">
      <c r="A24" s="8"/>
      <c r="B24" s="8"/>
      <c r="C24" s="8"/>
      <c r="D24" s="8"/>
    </row>
    <row r="25" spans="1:4" ht="14.25" customHeight="1" x14ac:dyDescent="0.25">
      <c r="A25" s="8"/>
      <c r="B25" s="8"/>
      <c r="C25" s="8"/>
      <c r="D25" s="8"/>
    </row>
    <row r="26" spans="1:4" ht="14.25" customHeight="1" x14ac:dyDescent="0.25">
      <c r="A26" s="8"/>
      <c r="B26" s="8"/>
      <c r="C26" s="8"/>
      <c r="D26" s="8"/>
    </row>
    <row r="27" spans="1:4" ht="14.25" customHeight="1" x14ac:dyDescent="0.25">
      <c r="A27" s="8"/>
      <c r="B27" s="8"/>
      <c r="C27" s="8"/>
      <c r="D27" s="8"/>
    </row>
    <row r="28" spans="1:4" ht="14.25" customHeight="1" x14ac:dyDescent="0.25">
      <c r="A28" s="8"/>
      <c r="B28" s="8"/>
      <c r="C28" s="8"/>
      <c r="D28" s="8"/>
    </row>
    <row r="29" spans="1:4" ht="14.25" customHeight="1" x14ac:dyDescent="0.25">
      <c r="A29" s="8"/>
      <c r="B29" s="8"/>
      <c r="C29" s="8"/>
      <c r="D29" s="8"/>
    </row>
    <row r="30" spans="1:4" ht="14.25" customHeight="1" x14ac:dyDescent="0.25">
      <c r="A30" s="8"/>
      <c r="B30" s="8"/>
      <c r="C30" s="8"/>
      <c r="D30" s="8"/>
    </row>
    <row r="31" spans="1:4" ht="14.25" customHeight="1" x14ac:dyDescent="0.25">
      <c r="A31" s="8"/>
      <c r="B31" s="8"/>
      <c r="C31" s="8"/>
      <c r="D31" s="8"/>
    </row>
    <row r="32" spans="1:4" ht="14.25" customHeight="1" x14ac:dyDescent="0.25">
      <c r="A32" s="8"/>
      <c r="B32" s="8"/>
      <c r="C32" s="8"/>
      <c r="D32" s="8"/>
    </row>
    <row r="33" spans="1:4" ht="14.25" customHeight="1" x14ac:dyDescent="0.25">
      <c r="A33" s="8"/>
      <c r="B33" s="8"/>
      <c r="C33" s="8"/>
      <c r="D33" s="8"/>
    </row>
    <row r="34" spans="1:4" ht="14.25" customHeight="1" x14ac:dyDescent="0.25">
      <c r="A34" s="8"/>
      <c r="B34" s="8"/>
      <c r="C34" s="8"/>
      <c r="D34" s="8"/>
    </row>
    <row r="35" spans="1:4" ht="14.25" customHeight="1" x14ac:dyDescent="0.25">
      <c r="A35" s="8"/>
      <c r="B35" s="8"/>
      <c r="C35" s="8"/>
      <c r="D35" s="8"/>
    </row>
    <row r="36" spans="1:4" ht="14.25" customHeight="1" x14ac:dyDescent="0.25">
      <c r="A36" s="8"/>
      <c r="B36" s="8"/>
      <c r="C36" s="8"/>
      <c r="D36" s="8"/>
    </row>
    <row r="37" spans="1:4" ht="14.25" customHeight="1" x14ac:dyDescent="0.25">
      <c r="A37" s="8"/>
      <c r="B37" s="8"/>
      <c r="C37" s="8"/>
      <c r="D37" s="8"/>
    </row>
    <row r="38" spans="1:4" ht="14.25" customHeight="1" x14ac:dyDescent="0.25">
      <c r="A38" s="8"/>
      <c r="B38" s="8"/>
      <c r="C38" s="8"/>
      <c r="D38" s="8"/>
    </row>
    <row r="39" spans="1:4" ht="14.25" customHeight="1" x14ac:dyDescent="0.25">
      <c r="A39" s="8"/>
      <c r="B39" s="8"/>
      <c r="C39" s="8"/>
      <c r="D39" s="8"/>
    </row>
    <row r="40" spans="1:4" ht="14.25" customHeight="1" x14ac:dyDescent="0.25">
      <c r="A40" s="8"/>
      <c r="B40" s="8"/>
      <c r="C40" s="8"/>
      <c r="D40" s="8"/>
    </row>
    <row r="41" spans="1:4" ht="14.25" customHeight="1" x14ac:dyDescent="0.25">
      <c r="A41" s="8"/>
      <c r="B41" s="8"/>
      <c r="C41" s="8"/>
      <c r="D41" s="8"/>
    </row>
    <row r="42" spans="1:4" ht="14.25" customHeight="1" x14ac:dyDescent="0.25">
      <c r="A42" s="8"/>
      <c r="B42" s="8"/>
      <c r="C42" s="8"/>
      <c r="D42" s="8"/>
    </row>
    <row r="43" spans="1:4" ht="14.25" customHeight="1" x14ac:dyDescent="0.25">
      <c r="A43" s="8"/>
      <c r="B43" s="8"/>
      <c r="C43" s="8"/>
      <c r="D43" s="8"/>
    </row>
    <row r="44" spans="1:4" ht="14.25" customHeight="1" x14ac:dyDescent="0.25">
      <c r="A44" s="8"/>
      <c r="B44" s="8"/>
      <c r="C44" s="8"/>
      <c r="D44" s="8"/>
    </row>
    <row r="45" spans="1:4" ht="14.25" customHeight="1" x14ac:dyDescent="0.25">
      <c r="A45" s="8"/>
      <c r="B45" s="8"/>
      <c r="C45" s="8"/>
      <c r="D45" s="8"/>
    </row>
    <row r="46" spans="1:4" ht="14.25" customHeight="1" x14ac:dyDescent="0.25">
      <c r="A46" s="8"/>
      <c r="B46" s="8"/>
      <c r="C46" s="8"/>
      <c r="D46" s="8"/>
    </row>
    <row r="47" spans="1:4" ht="14.25" customHeight="1" x14ac:dyDescent="0.25">
      <c r="A47" s="8"/>
      <c r="B47" s="8"/>
      <c r="C47" s="8"/>
      <c r="D47" s="8"/>
    </row>
    <row r="48" spans="1:4" ht="14.25" customHeight="1" x14ac:dyDescent="0.25">
      <c r="A48" s="8"/>
      <c r="B48" s="8"/>
      <c r="C48" s="8"/>
      <c r="D48" s="8"/>
    </row>
    <row r="49" spans="1:4" ht="14.25" customHeight="1" x14ac:dyDescent="0.25">
      <c r="A49" s="8"/>
      <c r="B49" s="8"/>
      <c r="C49" s="8"/>
      <c r="D49" s="8"/>
    </row>
    <row r="50" spans="1:4" ht="14.25" customHeight="1" x14ac:dyDescent="0.25">
      <c r="A50" s="8"/>
      <c r="B50" s="8"/>
      <c r="C50" s="8"/>
      <c r="D50" s="8"/>
    </row>
    <row r="51" spans="1:4" ht="14.25" customHeight="1" x14ac:dyDescent="0.25">
      <c r="A51" s="8"/>
      <c r="B51" s="8"/>
      <c r="C51" s="8"/>
      <c r="D51" s="8"/>
    </row>
    <row r="52" spans="1:4" ht="14.25" customHeight="1" x14ac:dyDescent="0.25">
      <c r="A52" s="8"/>
      <c r="B52" s="8"/>
      <c r="C52" s="8"/>
      <c r="D52" s="8"/>
    </row>
    <row r="53" spans="1:4" ht="14.25" customHeight="1" x14ac:dyDescent="0.25">
      <c r="A53" s="8"/>
      <c r="B53" s="8"/>
      <c r="C53" s="8"/>
      <c r="D53" s="8"/>
    </row>
    <row r="54" spans="1:4" ht="14.25" customHeight="1" x14ac:dyDescent="0.25">
      <c r="A54" s="8"/>
      <c r="B54" s="8"/>
      <c r="C54" s="8"/>
      <c r="D54" s="8"/>
    </row>
    <row r="55" spans="1:4" ht="14.25" customHeight="1" x14ac:dyDescent="0.25">
      <c r="A55" s="8"/>
      <c r="B55" s="8"/>
      <c r="C55" s="8"/>
      <c r="D55" s="8"/>
    </row>
    <row r="56" spans="1:4" ht="14.25" customHeight="1" x14ac:dyDescent="0.25">
      <c r="A56" s="8"/>
      <c r="B56" s="8"/>
      <c r="C56" s="8"/>
      <c r="D56" s="8"/>
    </row>
    <row r="57" spans="1:4" ht="14.25" customHeight="1" x14ac:dyDescent="0.25">
      <c r="A57" s="8"/>
      <c r="B57" s="8"/>
      <c r="C57" s="8"/>
      <c r="D57" s="8"/>
    </row>
    <row r="58" spans="1:4" ht="14.25" customHeight="1" x14ac:dyDescent="0.25">
      <c r="A58" s="8"/>
      <c r="B58" s="8"/>
      <c r="C58" s="8"/>
      <c r="D58" s="8"/>
    </row>
    <row r="59" spans="1:4" ht="14.25" customHeight="1" x14ac:dyDescent="0.25">
      <c r="A59" s="8"/>
      <c r="B59" s="8"/>
      <c r="C59" s="8"/>
      <c r="D59" s="8"/>
    </row>
    <row r="60" spans="1:4" ht="14.25" customHeight="1" x14ac:dyDescent="0.25">
      <c r="A60" s="8"/>
      <c r="B60" s="8"/>
      <c r="C60" s="8"/>
      <c r="D60" s="8"/>
    </row>
    <row r="61" spans="1:4" ht="14.25" customHeight="1" x14ac:dyDescent="0.25">
      <c r="A61" s="8"/>
      <c r="B61" s="8"/>
      <c r="C61" s="8"/>
      <c r="D61" s="8"/>
    </row>
    <row r="62" spans="1:4" ht="14.25" customHeight="1" x14ac:dyDescent="0.25">
      <c r="A62" s="8"/>
      <c r="B62" s="8"/>
      <c r="C62" s="8"/>
      <c r="D62" s="8"/>
    </row>
    <row r="63" spans="1:4" ht="14.25" customHeight="1" x14ac:dyDescent="0.25">
      <c r="A63" s="8"/>
      <c r="B63" s="8"/>
      <c r="C63" s="8"/>
      <c r="D63" s="8"/>
    </row>
    <row r="64" spans="1:4" ht="14.25" customHeight="1" x14ac:dyDescent="0.25">
      <c r="A64" s="8"/>
      <c r="B64" s="8"/>
      <c r="C64" s="8"/>
      <c r="D64" s="8"/>
    </row>
    <row r="65" spans="1:4" ht="14.25" customHeight="1" x14ac:dyDescent="0.25">
      <c r="A65" s="8"/>
      <c r="B65" s="8"/>
      <c r="C65" s="8"/>
      <c r="D65" s="8"/>
    </row>
    <row r="66" spans="1:4" ht="14.25" customHeight="1" x14ac:dyDescent="0.25">
      <c r="A66" s="8"/>
      <c r="B66" s="8"/>
      <c r="C66" s="8"/>
      <c r="D66" s="8"/>
    </row>
    <row r="67" spans="1:4" ht="14.25" customHeight="1" x14ac:dyDescent="0.25">
      <c r="A67" s="8"/>
      <c r="B67" s="8"/>
      <c r="C67" s="8"/>
      <c r="D67" s="8"/>
    </row>
    <row r="68" spans="1:4" ht="14.25" customHeight="1" x14ac:dyDescent="0.25">
      <c r="A68" s="8"/>
      <c r="B68" s="8"/>
      <c r="C68" s="8"/>
      <c r="D68" s="8"/>
    </row>
    <row r="69" spans="1:4" ht="14.25" customHeight="1" x14ac:dyDescent="0.25">
      <c r="A69" s="8"/>
      <c r="B69" s="8"/>
      <c r="C69" s="8"/>
      <c r="D69" s="8"/>
    </row>
    <row r="70" spans="1:4" ht="14.25" customHeight="1" x14ac:dyDescent="0.25">
      <c r="A70" s="8"/>
      <c r="B70" s="8"/>
      <c r="C70" s="8"/>
      <c r="D70" s="8"/>
    </row>
    <row r="71" spans="1:4" ht="14.25" customHeight="1" x14ac:dyDescent="0.25">
      <c r="A71" s="8"/>
      <c r="B71" s="8"/>
      <c r="C71" s="8"/>
      <c r="D71" s="8"/>
    </row>
    <row r="72" spans="1:4" ht="14.25" customHeight="1" x14ac:dyDescent="0.25">
      <c r="A72" s="8"/>
      <c r="B72" s="8"/>
      <c r="C72" s="8"/>
      <c r="D72" s="8"/>
    </row>
    <row r="73" spans="1:4" ht="14.25" customHeight="1" x14ac:dyDescent="0.25">
      <c r="A73" s="8"/>
      <c r="B73" s="8"/>
      <c r="C73" s="8"/>
      <c r="D73" s="8"/>
    </row>
    <row r="74" spans="1:4" ht="14.25" customHeight="1" x14ac:dyDescent="0.25">
      <c r="A74" s="8"/>
      <c r="B74" s="8"/>
      <c r="C74" s="8"/>
      <c r="D74" s="8"/>
    </row>
    <row r="75" spans="1:4" ht="14.25" customHeight="1" x14ac:dyDescent="0.25">
      <c r="A75" s="8"/>
      <c r="B75" s="8"/>
      <c r="C75" s="8"/>
      <c r="D75" s="8"/>
    </row>
    <row r="76" spans="1:4" ht="14.25" customHeight="1" x14ac:dyDescent="0.25">
      <c r="A76" s="8"/>
      <c r="B76" s="8"/>
      <c r="C76" s="8"/>
      <c r="D76" s="8"/>
    </row>
    <row r="77" spans="1:4" ht="14.25" customHeight="1" x14ac:dyDescent="0.25">
      <c r="A77" s="8"/>
      <c r="B77" s="8"/>
      <c r="C77" s="8"/>
      <c r="D77" s="8"/>
    </row>
    <row r="78" spans="1:4" ht="14.25" customHeight="1" x14ac:dyDescent="0.25">
      <c r="A78" s="8"/>
      <c r="B78" s="8"/>
      <c r="C78" s="8"/>
      <c r="D78" s="8"/>
    </row>
    <row r="79" spans="1:4" ht="14.25" customHeight="1" x14ac:dyDescent="0.25">
      <c r="A79" s="8"/>
      <c r="B79" s="8"/>
      <c r="C79" s="8"/>
      <c r="D79" s="8"/>
    </row>
    <row r="80" spans="1:4" ht="14.25" customHeight="1" x14ac:dyDescent="0.25">
      <c r="A80" s="8"/>
      <c r="B80" s="8"/>
      <c r="C80" s="8"/>
      <c r="D80" s="8"/>
    </row>
    <row r="81" spans="1:4" ht="14.25" customHeight="1" x14ac:dyDescent="0.25">
      <c r="A81" s="8"/>
      <c r="B81" s="8"/>
      <c r="C81" s="8"/>
      <c r="D81" s="8"/>
    </row>
    <row r="82" spans="1:4" ht="14.25" customHeight="1" x14ac:dyDescent="0.25">
      <c r="A82" s="8"/>
      <c r="B82" s="8"/>
      <c r="C82" s="8"/>
      <c r="D82" s="8"/>
    </row>
    <row r="83" spans="1:4" ht="14.25" customHeight="1" x14ac:dyDescent="0.25">
      <c r="A83" s="8"/>
      <c r="B83" s="8"/>
      <c r="C83" s="8"/>
      <c r="D83" s="8"/>
    </row>
    <row r="84" spans="1:4" ht="14.25" customHeight="1" x14ac:dyDescent="0.25">
      <c r="A84" s="8"/>
      <c r="B84" s="8"/>
      <c r="C84" s="8"/>
      <c r="D84" s="8"/>
    </row>
    <row r="85" spans="1:4" ht="14.25" customHeight="1" x14ac:dyDescent="0.25">
      <c r="A85" s="8"/>
      <c r="B85" s="8"/>
      <c r="C85" s="8"/>
      <c r="D85" s="8"/>
    </row>
    <row r="86" spans="1:4" ht="14.25" customHeight="1" x14ac:dyDescent="0.25">
      <c r="A86" s="8"/>
      <c r="B86" s="8"/>
      <c r="C86" s="8"/>
      <c r="D86" s="8"/>
    </row>
    <row r="87" spans="1:4" ht="14.25" customHeight="1" x14ac:dyDescent="0.25">
      <c r="A87" s="8"/>
      <c r="B87" s="8"/>
      <c r="C87" s="8"/>
      <c r="D87" s="8"/>
    </row>
    <row r="88" spans="1:4" ht="14.25" customHeight="1" x14ac:dyDescent="0.25">
      <c r="A88" s="8"/>
      <c r="B88" s="8"/>
      <c r="C88" s="8"/>
      <c r="D88" s="8"/>
    </row>
    <row r="89" spans="1:4" ht="14.25" customHeight="1" x14ac:dyDescent="0.25">
      <c r="A89" s="8"/>
      <c r="B89" s="8"/>
      <c r="C89" s="8"/>
      <c r="D89" s="8"/>
    </row>
    <row r="90" spans="1:4" ht="14.25" customHeight="1" x14ac:dyDescent="0.25">
      <c r="A90" s="8"/>
      <c r="B90" s="8"/>
      <c r="C90" s="8"/>
      <c r="D90" s="8"/>
    </row>
    <row r="91" spans="1:4" ht="14.25" customHeight="1" x14ac:dyDescent="0.25">
      <c r="A91" s="8"/>
      <c r="B91" s="8"/>
      <c r="C91" s="8"/>
      <c r="D91" s="8"/>
    </row>
    <row r="92" spans="1:4" ht="14.25" customHeight="1" x14ac:dyDescent="0.25">
      <c r="A92" s="8"/>
      <c r="B92" s="8"/>
      <c r="C92" s="8"/>
      <c r="D92" s="8"/>
    </row>
    <row r="93" spans="1:4" ht="14.25" customHeight="1" x14ac:dyDescent="0.25">
      <c r="A93" s="8"/>
      <c r="B93" s="8"/>
      <c r="C93" s="8"/>
      <c r="D93" s="8"/>
    </row>
    <row r="94" spans="1:4" ht="14.25" customHeight="1" x14ac:dyDescent="0.25">
      <c r="A94" s="8"/>
      <c r="B94" s="8"/>
      <c r="C94" s="8"/>
      <c r="D94" s="8"/>
    </row>
    <row r="95" spans="1:4" ht="14.25" customHeight="1" x14ac:dyDescent="0.25">
      <c r="A95" s="8"/>
      <c r="B95" s="8"/>
      <c r="C95" s="8"/>
      <c r="D95" s="8"/>
    </row>
    <row r="96" spans="1:4" ht="14.25" customHeight="1" x14ac:dyDescent="0.25">
      <c r="A96" s="8"/>
      <c r="B96" s="8"/>
      <c r="C96" s="8"/>
      <c r="D96" s="8"/>
    </row>
    <row r="97" spans="1:4" ht="14.25" customHeight="1" x14ac:dyDescent="0.25">
      <c r="A97" s="8"/>
      <c r="B97" s="8"/>
      <c r="C97" s="8"/>
      <c r="D97" s="8"/>
    </row>
    <row r="98" spans="1:4" ht="14.25" customHeight="1" x14ac:dyDescent="0.25">
      <c r="A98" s="8"/>
      <c r="B98" s="8"/>
      <c r="C98" s="8"/>
      <c r="D98" s="8"/>
    </row>
    <row r="99" spans="1:4" ht="14.25" customHeight="1" x14ac:dyDescent="0.25">
      <c r="A99" s="8"/>
      <c r="B99" s="8"/>
      <c r="C99" s="8"/>
      <c r="D99" s="8"/>
    </row>
    <row r="100" spans="1:4" ht="14.25" customHeight="1" x14ac:dyDescent="0.25">
      <c r="A100" s="8"/>
      <c r="B100" s="8"/>
      <c r="C100" s="8"/>
      <c r="D100" s="8"/>
    </row>
    <row r="101" spans="1:4" ht="14.25" customHeight="1" x14ac:dyDescent="0.25">
      <c r="A101" s="8"/>
      <c r="B101" s="8"/>
      <c r="C101" s="8"/>
      <c r="D101" s="8"/>
    </row>
    <row r="102" spans="1:4" ht="14.25" customHeight="1" x14ac:dyDescent="0.25">
      <c r="A102" s="8"/>
      <c r="B102" s="8"/>
      <c r="C102" s="8"/>
      <c r="D102" s="8"/>
    </row>
    <row r="103" spans="1:4" ht="14.25" customHeight="1" x14ac:dyDescent="0.25">
      <c r="A103" s="8"/>
      <c r="B103" s="8"/>
      <c r="C103" s="8"/>
      <c r="D103" s="8"/>
    </row>
    <row r="104" spans="1:4" ht="14.25" customHeight="1" x14ac:dyDescent="0.25">
      <c r="A104" s="8"/>
      <c r="B104" s="8"/>
      <c r="C104" s="8"/>
      <c r="D104" s="8"/>
    </row>
    <row r="105" spans="1:4" ht="14.25" customHeight="1" x14ac:dyDescent="0.25">
      <c r="A105" s="8"/>
      <c r="B105" s="8"/>
      <c r="C105" s="8"/>
      <c r="D105" s="8"/>
    </row>
    <row r="106" spans="1:4" ht="14.25" customHeight="1" x14ac:dyDescent="0.25">
      <c r="A106" s="8"/>
      <c r="B106" s="8"/>
      <c r="C106" s="8"/>
      <c r="D106" s="8"/>
    </row>
    <row r="107" spans="1:4" ht="14.25" customHeight="1" x14ac:dyDescent="0.25">
      <c r="A107" s="8"/>
      <c r="B107" s="8"/>
      <c r="C107" s="8"/>
      <c r="D107" s="8"/>
    </row>
    <row r="108" spans="1:4" ht="14.25" customHeight="1" x14ac:dyDescent="0.25">
      <c r="A108" s="8"/>
      <c r="B108" s="8"/>
      <c r="C108" s="8"/>
      <c r="D108" s="8"/>
    </row>
    <row r="109" spans="1:4" ht="14.25" customHeight="1" x14ac:dyDescent="0.25">
      <c r="A109" s="8"/>
      <c r="B109" s="8"/>
      <c r="C109" s="8"/>
      <c r="D109" s="8"/>
    </row>
    <row r="110" spans="1:4" ht="14.25" customHeight="1" x14ac:dyDescent="0.25">
      <c r="A110" s="8"/>
      <c r="B110" s="8"/>
      <c r="C110" s="8"/>
      <c r="D110" s="8"/>
    </row>
    <row r="111" spans="1:4" ht="14.25" customHeight="1" x14ac:dyDescent="0.25">
      <c r="A111" s="8"/>
      <c r="B111" s="8"/>
      <c r="C111" s="8"/>
      <c r="D111" s="8"/>
    </row>
    <row r="112" spans="1:4" ht="14.25" customHeight="1" x14ac:dyDescent="0.25">
      <c r="A112" s="8"/>
      <c r="B112" s="8"/>
      <c r="C112" s="8"/>
      <c r="D112" s="8"/>
    </row>
    <row r="113" spans="1:4" ht="14.25" customHeight="1" x14ac:dyDescent="0.25">
      <c r="A113" s="8"/>
      <c r="B113" s="8"/>
      <c r="C113" s="8"/>
      <c r="D113" s="8"/>
    </row>
    <row r="114" spans="1:4" ht="14.25" customHeight="1" x14ac:dyDescent="0.25">
      <c r="A114" s="8"/>
      <c r="B114" s="8"/>
      <c r="C114" s="8"/>
      <c r="D114" s="8"/>
    </row>
    <row r="115" spans="1:4" ht="14.25" customHeight="1" x14ac:dyDescent="0.25">
      <c r="A115" s="8"/>
      <c r="B115" s="8"/>
      <c r="C115" s="8"/>
      <c r="D115" s="8"/>
    </row>
    <row r="116" spans="1:4" ht="14.25" customHeight="1" x14ac:dyDescent="0.25">
      <c r="A116" s="8"/>
      <c r="B116" s="8"/>
      <c r="C116" s="8"/>
      <c r="D116" s="8"/>
    </row>
    <row r="117" spans="1:4" ht="14.25" customHeight="1" x14ac:dyDescent="0.25">
      <c r="A117" s="8"/>
      <c r="B117" s="8"/>
      <c r="C117" s="8"/>
      <c r="D117" s="8"/>
    </row>
    <row r="118" spans="1:4" ht="14.25" customHeight="1" x14ac:dyDescent="0.25">
      <c r="A118" s="8"/>
      <c r="B118" s="8"/>
      <c r="C118" s="8"/>
      <c r="D118" s="8"/>
    </row>
    <row r="119" spans="1:4" ht="14.25" customHeight="1" x14ac:dyDescent="0.25">
      <c r="A119" s="8"/>
      <c r="B119" s="8"/>
      <c r="C119" s="8"/>
      <c r="D119" s="8"/>
    </row>
    <row r="120" spans="1:4" ht="14.25" customHeight="1" x14ac:dyDescent="0.25">
      <c r="A120" s="8"/>
      <c r="B120" s="8"/>
      <c r="C120" s="8"/>
      <c r="D120" s="8"/>
    </row>
    <row r="121" spans="1:4" ht="14.25" customHeight="1" x14ac:dyDescent="0.25">
      <c r="A121" s="8"/>
      <c r="B121" s="8"/>
      <c r="C121" s="8"/>
      <c r="D121" s="8"/>
    </row>
    <row r="122" spans="1:4" ht="14.25" customHeight="1" x14ac:dyDescent="0.25">
      <c r="A122" s="8"/>
      <c r="B122" s="8"/>
      <c r="C122" s="8"/>
      <c r="D122" s="8"/>
    </row>
    <row r="123" spans="1:4" ht="14.25" customHeight="1" x14ac:dyDescent="0.25">
      <c r="A123" s="8"/>
      <c r="B123" s="8"/>
      <c r="C123" s="8"/>
      <c r="D123" s="8"/>
    </row>
    <row r="124" spans="1:4" ht="14.25" customHeight="1" x14ac:dyDescent="0.25">
      <c r="A124" s="8"/>
      <c r="B124" s="8"/>
      <c r="C124" s="8"/>
      <c r="D124" s="8"/>
    </row>
    <row r="125" spans="1:4" ht="14.25" customHeight="1" x14ac:dyDescent="0.25">
      <c r="A125" s="8"/>
      <c r="B125" s="8"/>
      <c r="C125" s="8"/>
      <c r="D125" s="8"/>
    </row>
    <row r="126" spans="1:4" ht="14.25" customHeight="1" x14ac:dyDescent="0.25">
      <c r="A126" s="8"/>
      <c r="B126" s="8"/>
      <c r="C126" s="8"/>
      <c r="D126" s="8"/>
    </row>
    <row r="127" spans="1:4" ht="14.25" customHeight="1" x14ac:dyDescent="0.25">
      <c r="A127" s="8"/>
      <c r="B127" s="8"/>
      <c r="C127" s="8"/>
      <c r="D127" s="8"/>
    </row>
    <row r="128" spans="1:4" ht="14.25" customHeight="1" x14ac:dyDescent="0.25">
      <c r="A128" s="8"/>
      <c r="B128" s="8"/>
      <c r="C128" s="8"/>
      <c r="D128" s="8"/>
    </row>
    <row r="129" spans="1:4" ht="14.25" customHeight="1" x14ac:dyDescent="0.25">
      <c r="A129" s="8"/>
      <c r="B129" s="8"/>
      <c r="C129" s="8"/>
      <c r="D129" s="8"/>
    </row>
    <row r="130" spans="1:4" ht="14.25" customHeight="1" x14ac:dyDescent="0.25">
      <c r="A130" s="8"/>
      <c r="B130" s="8"/>
      <c r="C130" s="8"/>
      <c r="D130" s="8"/>
    </row>
    <row r="131" spans="1:4" ht="14.25" customHeight="1" x14ac:dyDescent="0.25">
      <c r="A131" s="8"/>
      <c r="B131" s="8"/>
      <c r="C131" s="8"/>
      <c r="D131" s="8"/>
    </row>
    <row r="132" spans="1:4" ht="14.25" customHeight="1" x14ac:dyDescent="0.25">
      <c r="A132" s="8"/>
      <c r="B132" s="8"/>
      <c r="C132" s="8"/>
      <c r="D132" s="8"/>
    </row>
    <row r="133" spans="1:4" ht="14.25" customHeight="1" x14ac:dyDescent="0.25">
      <c r="A133" s="8"/>
      <c r="B133" s="8"/>
      <c r="C133" s="8"/>
      <c r="D133" s="8"/>
    </row>
    <row r="134" spans="1:4" ht="14.25" customHeight="1" x14ac:dyDescent="0.25">
      <c r="A134" s="8"/>
      <c r="B134" s="8"/>
      <c r="C134" s="8"/>
      <c r="D134" s="8"/>
    </row>
    <row r="135" spans="1:4" ht="14.25" customHeight="1" x14ac:dyDescent="0.25">
      <c r="A135" s="8"/>
      <c r="B135" s="8"/>
      <c r="C135" s="8"/>
      <c r="D135" s="8"/>
    </row>
    <row r="136" spans="1:4" ht="14.25" customHeight="1" x14ac:dyDescent="0.25">
      <c r="A136" s="8"/>
      <c r="B136" s="8"/>
      <c r="C136" s="8"/>
      <c r="D136" s="8"/>
    </row>
    <row r="137" spans="1:4" ht="14.25" customHeight="1" x14ac:dyDescent="0.25">
      <c r="A137" s="8"/>
      <c r="B137" s="8"/>
      <c r="C137" s="8"/>
      <c r="D137" s="8"/>
    </row>
    <row r="138" spans="1:4" ht="14.25" customHeight="1" x14ac:dyDescent="0.25">
      <c r="A138" s="8"/>
      <c r="B138" s="8"/>
      <c r="C138" s="8"/>
      <c r="D138" s="8"/>
    </row>
    <row r="139" spans="1:4" ht="14.25" customHeight="1" x14ac:dyDescent="0.25">
      <c r="A139" s="8"/>
      <c r="B139" s="8"/>
      <c r="C139" s="8"/>
      <c r="D139" s="8"/>
    </row>
    <row r="140" spans="1:4" ht="14.25" customHeight="1" x14ac:dyDescent="0.25">
      <c r="A140" s="8"/>
      <c r="B140" s="8"/>
      <c r="C140" s="8"/>
      <c r="D140" s="8"/>
    </row>
    <row r="141" spans="1:4" ht="14.25" customHeight="1" x14ac:dyDescent="0.25">
      <c r="A141" s="8"/>
      <c r="B141" s="8"/>
      <c r="C141" s="8"/>
      <c r="D141" s="8"/>
    </row>
    <row r="142" spans="1:4" ht="14.25" customHeight="1" x14ac:dyDescent="0.25">
      <c r="A142" s="8"/>
      <c r="B142" s="8"/>
      <c r="C142" s="8"/>
      <c r="D142" s="8"/>
    </row>
    <row r="143" spans="1:4" ht="14.25" customHeight="1" x14ac:dyDescent="0.25">
      <c r="A143" s="8"/>
      <c r="B143" s="8"/>
      <c r="C143" s="8"/>
      <c r="D143" s="8"/>
    </row>
    <row r="144" spans="1:4" ht="14.25" customHeight="1" x14ac:dyDescent="0.25">
      <c r="A144" s="8"/>
      <c r="B144" s="8"/>
      <c r="C144" s="8"/>
      <c r="D144" s="8"/>
    </row>
    <row r="145" spans="1:4" ht="14.25" customHeight="1" x14ac:dyDescent="0.25">
      <c r="A145" s="8"/>
      <c r="B145" s="8"/>
      <c r="C145" s="8"/>
      <c r="D145" s="8"/>
    </row>
    <row r="146" spans="1:4" ht="14.25" customHeight="1" x14ac:dyDescent="0.25">
      <c r="A146" s="8"/>
      <c r="B146" s="8"/>
      <c r="C146" s="8"/>
      <c r="D146" s="8"/>
    </row>
    <row r="147" spans="1:4" ht="14.25" customHeight="1" x14ac:dyDescent="0.25">
      <c r="A147" s="8"/>
      <c r="B147" s="8"/>
      <c r="C147" s="8"/>
      <c r="D147" s="8"/>
    </row>
    <row r="148" spans="1:4" ht="14.25" customHeight="1" x14ac:dyDescent="0.25">
      <c r="A148" s="8"/>
      <c r="B148" s="8"/>
      <c r="C148" s="8"/>
      <c r="D148" s="8"/>
    </row>
    <row r="149" spans="1:4" ht="14.25" customHeight="1" x14ac:dyDescent="0.25">
      <c r="A149" s="8"/>
      <c r="B149" s="8"/>
      <c r="C149" s="8"/>
      <c r="D149" s="8"/>
    </row>
    <row r="150" spans="1:4" ht="14.25" customHeight="1" x14ac:dyDescent="0.25">
      <c r="A150" s="8"/>
      <c r="B150" s="8"/>
      <c r="C150" s="8"/>
      <c r="D150" s="8"/>
    </row>
    <row r="151" spans="1:4" ht="14.25" customHeight="1" x14ac:dyDescent="0.25">
      <c r="A151" s="8"/>
      <c r="B151" s="8"/>
      <c r="C151" s="8"/>
      <c r="D151" s="8"/>
    </row>
    <row r="152" spans="1:4" ht="14.25" customHeight="1" x14ac:dyDescent="0.25">
      <c r="A152" s="8"/>
      <c r="B152" s="8"/>
      <c r="C152" s="8"/>
      <c r="D152" s="8"/>
    </row>
    <row r="153" spans="1:4" ht="14.25" customHeight="1" x14ac:dyDescent="0.25">
      <c r="A153" s="8"/>
      <c r="B153" s="8"/>
      <c r="C153" s="8"/>
      <c r="D153" s="8"/>
    </row>
    <row r="154" spans="1:4" ht="14.25" customHeight="1" x14ac:dyDescent="0.25">
      <c r="A154" s="8"/>
      <c r="B154" s="8"/>
      <c r="C154" s="8"/>
      <c r="D154" s="8"/>
    </row>
    <row r="155" spans="1:4" ht="14.25" customHeight="1" x14ac:dyDescent="0.25">
      <c r="A155" s="8"/>
      <c r="B155" s="8"/>
      <c r="C155" s="8"/>
      <c r="D155" s="8"/>
    </row>
    <row r="156" spans="1:4" ht="14.25" customHeight="1" x14ac:dyDescent="0.25">
      <c r="A156" s="8"/>
      <c r="B156" s="8"/>
      <c r="C156" s="8"/>
      <c r="D156" s="8"/>
    </row>
    <row r="157" spans="1:4" ht="14.25" customHeight="1" x14ac:dyDescent="0.25">
      <c r="A157" s="8"/>
      <c r="B157" s="8"/>
      <c r="C157" s="8"/>
      <c r="D157" s="8"/>
    </row>
    <row r="158" spans="1:4" ht="14.25" customHeight="1" x14ac:dyDescent="0.25">
      <c r="A158" s="8"/>
      <c r="B158" s="8"/>
      <c r="C158" s="8"/>
      <c r="D158" s="8"/>
    </row>
    <row r="159" spans="1:4" ht="14.25" customHeight="1" x14ac:dyDescent="0.25">
      <c r="A159" s="8"/>
      <c r="B159" s="8"/>
      <c r="C159" s="8"/>
      <c r="D159" s="8"/>
    </row>
    <row r="160" spans="1:4" ht="14.25" customHeight="1" x14ac:dyDescent="0.25">
      <c r="A160" s="8"/>
      <c r="B160" s="8"/>
      <c r="C160" s="8"/>
      <c r="D160" s="8"/>
    </row>
    <row r="161" spans="1:4" ht="14.25" customHeight="1" x14ac:dyDescent="0.25">
      <c r="A161" s="8"/>
      <c r="B161" s="8"/>
      <c r="C161" s="8"/>
      <c r="D161" s="8"/>
    </row>
    <row r="162" spans="1:4" ht="14.25" customHeight="1" x14ac:dyDescent="0.25">
      <c r="A162" s="8"/>
      <c r="B162" s="8"/>
      <c r="C162" s="8"/>
      <c r="D162" s="8"/>
    </row>
    <row r="163" spans="1:4" ht="14.25" customHeight="1" x14ac:dyDescent="0.25">
      <c r="A163" s="8"/>
      <c r="B163" s="8"/>
      <c r="C163" s="8"/>
      <c r="D163" s="8"/>
    </row>
    <row r="164" spans="1:4" ht="14.25" customHeight="1" x14ac:dyDescent="0.25">
      <c r="A164" s="8"/>
      <c r="B164" s="8"/>
      <c r="C164" s="8"/>
      <c r="D164" s="8"/>
    </row>
    <row r="165" spans="1:4" ht="14.25" customHeight="1" x14ac:dyDescent="0.25">
      <c r="A165" s="8"/>
      <c r="B165" s="8"/>
      <c r="C165" s="8"/>
      <c r="D165" s="8"/>
    </row>
    <row r="166" spans="1:4" ht="14.25" customHeight="1" x14ac:dyDescent="0.25">
      <c r="A166" s="8"/>
      <c r="B166" s="8"/>
      <c r="C166" s="8"/>
      <c r="D166" s="8"/>
    </row>
    <row r="167" spans="1:4" ht="14.25" customHeight="1" x14ac:dyDescent="0.25">
      <c r="A167" s="8"/>
      <c r="B167" s="8"/>
      <c r="C167" s="8"/>
      <c r="D167" s="8"/>
    </row>
    <row r="168" spans="1:4" ht="14.25" customHeight="1" x14ac:dyDescent="0.25">
      <c r="A168" s="8"/>
      <c r="B168" s="8"/>
      <c r="C168" s="8"/>
      <c r="D168" s="8"/>
    </row>
    <row r="169" spans="1:4" ht="14.25" customHeight="1" x14ac:dyDescent="0.25">
      <c r="A169" s="8"/>
      <c r="B169" s="8"/>
      <c r="C169" s="8"/>
      <c r="D169" s="8"/>
    </row>
    <row r="170" spans="1:4" ht="14.25" customHeight="1" x14ac:dyDescent="0.25">
      <c r="A170" s="8"/>
      <c r="B170" s="8"/>
      <c r="C170" s="8"/>
      <c r="D170" s="8"/>
    </row>
    <row r="171" spans="1:4" ht="14.25" customHeight="1" x14ac:dyDescent="0.25">
      <c r="A171" s="8"/>
      <c r="B171" s="8"/>
      <c r="C171" s="8"/>
      <c r="D171" s="8"/>
    </row>
    <row r="172" spans="1:4" ht="14.25" customHeight="1" x14ac:dyDescent="0.25">
      <c r="A172" s="8"/>
      <c r="B172" s="8"/>
      <c r="C172" s="8"/>
      <c r="D172" s="8"/>
    </row>
    <row r="173" spans="1:4" ht="14.25" customHeight="1" x14ac:dyDescent="0.25">
      <c r="A173" s="8"/>
      <c r="B173" s="8"/>
      <c r="C173" s="8"/>
      <c r="D173" s="8"/>
    </row>
    <row r="174" spans="1:4" ht="14.25" customHeight="1" x14ac:dyDescent="0.25">
      <c r="A174" s="8"/>
      <c r="B174" s="8"/>
      <c r="C174" s="8"/>
      <c r="D174" s="8"/>
    </row>
    <row r="175" spans="1:4" ht="14.25" customHeight="1" x14ac:dyDescent="0.25">
      <c r="A175" s="8"/>
      <c r="B175" s="8"/>
      <c r="C175" s="8"/>
      <c r="D175" s="8"/>
    </row>
    <row r="176" spans="1:4" ht="14.25" customHeight="1" x14ac:dyDescent="0.25">
      <c r="A176" s="8"/>
      <c r="B176" s="8"/>
      <c r="C176" s="8"/>
      <c r="D176" s="8"/>
    </row>
    <row r="177" spans="1:4" ht="14.25" customHeight="1" x14ac:dyDescent="0.25">
      <c r="A177" s="8"/>
      <c r="B177" s="8"/>
      <c r="C177" s="8"/>
      <c r="D177" s="8"/>
    </row>
    <row r="178" spans="1:4" ht="14.25" customHeight="1" x14ac:dyDescent="0.25">
      <c r="A178" s="8"/>
      <c r="B178" s="8"/>
      <c r="C178" s="8"/>
      <c r="D178" s="8"/>
    </row>
    <row r="179" spans="1:4" ht="14.25" customHeight="1" x14ac:dyDescent="0.25">
      <c r="A179" s="8"/>
      <c r="B179" s="8"/>
      <c r="C179" s="8"/>
      <c r="D179" s="8"/>
    </row>
    <row r="180" spans="1:4" ht="14.25" customHeight="1" x14ac:dyDescent="0.25">
      <c r="A180" s="8"/>
      <c r="B180" s="8"/>
      <c r="C180" s="8"/>
      <c r="D180" s="8"/>
    </row>
    <row r="181" spans="1:4" ht="14.25" customHeight="1" x14ac:dyDescent="0.25">
      <c r="A181" s="8"/>
      <c r="B181" s="8"/>
      <c r="C181" s="8"/>
      <c r="D181" s="8"/>
    </row>
    <row r="182" spans="1:4" ht="14.25" customHeight="1" x14ac:dyDescent="0.25">
      <c r="A182" s="8"/>
      <c r="B182" s="8"/>
      <c r="C182" s="8"/>
      <c r="D182" s="8"/>
    </row>
    <row r="183" spans="1:4" ht="14.25" customHeight="1" x14ac:dyDescent="0.25">
      <c r="A183" s="8"/>
      <c r="B183" s="8"/>
      <c r="C183" s="8"/>
      <c r="D183" s="8"/>
    </row>
    <row r="184" spans="1:4" ht="14.25" customHeight="1" x14ac:dyDescent="0.25">
      <c r="A184" s="8"/>
      <c r="B184" s="8"/>
      <c r="C184" s="8"/>
      <c r="D184" s="8"/>
    </row>
    <row r="185" spans="1:4" ht="14.25" customHeight="1" x14ac:dyDescent="0.25">
      <c r="A185" s="8"/>
      <c r="B185" s="8"/>
      <c r="C185" s="8"/>
      <c r="D185" s="8"/>
    </row>
    <row r="186" spans="1:4" ht="14.25" customHeight="1" x14ac:dyDescent="0.25">
      <c r="A186" s="8"/>
      <c r="B186" s="8"/>
      <c r="C186" s="8"/>
      <c r="D186" s="8"/>
    </row>
    <row r="187" spans="1:4" ht="14.25" customHeight="1" x14ac:dyDescent="0.25">
      <c r="A187" s="8"/>
      <c r="B187" s="8"/>
      <c r="C187" s="8"/>
      <c r="D187" s="8"/>
    </row>
    <row r="188" spans="1:4" ht="14.25" customHeight="1" x14ac:dyDescent="0.25">
      <c r="A188" s="8"/>
      <c r="B188" s="8"/>
      <c r="C188" s="8"/>
      <c r="D188" s="8"/>
    </row>
    <row r="189" spans="1:4" ht="14.25" customHeight="1" x14ac:dyDescent="0.25">
      <c r="A189" s="8"/>
      <c r="B189" s="8"/>
      <c r="C189" s="8"/>
      <c r="D189" s="8"/>
    </row>
    <row r="190" spans="1:4" ht="14.25" customHeight="1" x14ac:dyDescent="0.25">
      <c r="A190" s="8"/>
      <c r="B190" s="8"/>
      <c r="C190" s="8"/>
      <c r="D190" s="8"/>
    </row>
    <row r="191" spans="1:4" ht="14.25" customHeight="1" x14ac:dyDescent="0.25">
      <c r="A191" s="8"/>
      <c r="B191" s="8"/>
      <c r="C191" s="8"/>
      <c r="D191" s="8"/>
    </row>
    <row r="192" spans="1:4" ht="14.25" customHeight="1" x14ac:dyDescent="0.25">
      <c r="A192" s="8"/>
      <c r="B192" s="8"/>
      <c r="C192" s="8"/>
      <c r="D192" s="8"/>
    </row>
    <row r="193" spans="1:4" ht="14.25" customHeight="1" x14ac:dyDescent="0.25">
      <c r="A193" s="8"/>
      <c r="B193" s="8"/>
      <c r="C193" s="8"/>
      <c r="D193" s="8"/>
    </row>
    <row r="194" spans="1:4" ht="14.25" customHeight="1" x14ac:dyDescent="0.25">
      <c r="A194" s="8"/>
      <c r="B194" s="8"/>
      <c r="C194" s="8"/>
      <c r="D194" s="8"/>
    </row>
    <row r="195" spans="1:4" ht="14.25" customHeight="1" x14ac:dyDescent="0.25">
      <c r="A195" s="8"/>
      <c r="B195" s="8"/>
      <c r="C195" s="8"/>
      <c r="D195" s="8"/>
    </row>
    <row r="196" spans="1:4" ht="14.25" customHeight="1" x14ac:dyDescent="0.25">
      <c r="A196" s="8"/>
      <c r="B196" s="8"/>
      <c r="C196" s="8"/>
      <c r="D196" s="8"/>
    </row>
    <row r="197" spans="1:4" ht="14.25" customHeight="1" x14ac:dyDescent="0.25">
      <c r="A197" s="8"/>
      <c r="B197" s="8"/>
      <c r="C197" s="8"/>
      <c r="D197" s="8"/>
    </row>
    <row r="198" spans="1:4" ht="14.25" customHeight="1" x14ac:dyDescent="0.25">
      <c r="A198" s="8"/>
      <c r="B198" s="8"/>
      <c r="C198" s="8"/>
      <c r="D198" s="8"/>
    </row>
    <row r="199" spans="1:4" ht="14.25" customHeight="1" x14ac:dyDescent="0.25">
      <c r="A199" s="8"/>
      <c r="B199" s="8"/>
      <c r="C199" s="8"/>
      <c r="D199" s="8"/>
    </row>
    <row r="200" spans="1:4" ht="14.25" customHeight="1" x14ac:dyDescent="0.25">
      <c r="A200" s="8"/>
      <c r="B200" s="8"/>
      <c r="C200" s="8"/>
      <c r="D200" s="8"/>
    </row>
    <row r="201" spans="1:4" ht="14.25" customHeight="1" x14ac:dyDescent="0.25">
      <c r="A201" s="8"/>
      <c r="B201" s="8"/>
      <c r="C201" s="8"/>
      <c r="D201" s="8"/>
    </row>
    <row r="202" spans="1:4" ht="14.25" customHeight="1" x14ac:dyDescent="0.25">
      <c r="A202" s="8"/>
      <c r="B202" s="8"/>
      <c r="C202" s="8"/>
      <c r="D202" s="8"/>
    </row>
    <row r="203" spans="1:4" ht="14.25" customHeight="1" x14ac:dyDescent="0.25">
      <c r="A203" s="8"/>
      <c r="B203" s="8"/>
      <c r="C203" s="8"/>
      <c r="D203" s="8"/>
    </row>
    <row r="204" spans="1:4" ht="14.25" customHeight="1" x14ac:dyDescent="0.25">
      <c r="A204" s="8"/>
      <c r="B204" s="8"/>
      <c r="C204" s="8"/>
      <c r="D204" s="8"/>
    </row>
    <row r="205" spans="1:4" ht="14.25" customHeight="1" x14ac:dyDescent="0.25">
      <c r="A205" s="8"/>
      <c r="B205" s="8"/>
      <c r="C205" s="8"/>
      <c r="D205" s="8"/>
    </row>
    <row r="206" spans="1:4" ht="14.25" customHeight="1" x14ac:dyDescent="0.25">
      <c r="A206" s="8"/>
      <c r="B206" s="8"/>
      <c r="C206" s="8"/>
      <c r="D206" s="8"/>
    </row>
    <row r="207" spans="1:4" ht="14.25" customHeight="1" x14ac:dyDescent="0.25">
      <c r="A207" s="8"/>
      <c r="B207" s="8"/>
      <c r="C207" s="8"/>
      <c r="D207" s="8"/>
    </row>
    <row r="208" spans="1:4" ht="14.25" customHeight="1" x14ac:dyDescent="0.25">
      <c r="A208" s="8"/>
      <c r="B208" s="8"/>
      <c r="C208" s="8"/>
      <c r="D208" s="8"/>
    </row>
    <row r="209" spans="1:4" ht="14.25" customHeight="1" x14ac:dyDescent="0.25">
      <c r="A209" s="8"/>
      <c r="B209" s="8"/>
      <c r="C209" s="8"/>
      <c r="D209" s="8"/>
    </row>
    <row r="210" spans="1:4" ht="14.25" customHeight="1" x14ac:dyDescent="0.25">
      <c r="A210" s="8"/>
      <c r="B210" s="8"/>
      <c r="C210" s="8"/>
      <c r="D210" s="8"/>
    </row>
    <row r="211" spans="1:4" ht="14.25" customHeight="1" x14ac:dyDescent="0.25">
      <c r="A211" s="8"/>
      <c r="B211" s="8"/>
      <c r="C211" s="8"/>
      <c r="D211" s="8"/>
    </row>
    <row r="212" spans="1:4" ht="14.25" customHeight="1" x14ac:dyDescent="0.25">
      <c r="A212" s="8"/>
      <c r="B212" s="8"/>
      <c r="C212" s="8"/>
      <c r="D212" s="8"/>
    </row>
    <row r="213" spans="1:4" ht="14.25" customHeight="1" x14ac:dyDescent="0.25">
      <c r="A213" s="8"/>
      <c r="B213" s="8"/>
      <c r="C213" s="8"/>
      <c r="D213" s="8"/>
    </row>
    <row r="214" spans="1:4" ht="14.25" customHeight="1" x14ac:dyDescent="0.25">
      <c r="A214" s="8"/>
      <c r="B214" s="8"/>
      <c r="C214" s="8"/>
      <c r="D214" s="8"/>
    </row>
    <row r="215" spans="1:4" ht="14.25" customHeight="1" x14ac:dyDescent="0.25">
      <c r="A215" s="8"/>
      <c r="B215" s="8"/>
      <c r="C215" s="8"/>
      <c r="D215" s="8"/>
    </row>
    <row r="216" spans="1:4" ht="14.25" customHeight="1" x14ac:dyDescent="0.25">
      <c r="A216" s="8"/>
      <c r="B216" s="8"/>
      <c r="C216" s="8"/>
      <c r="D216" s="8"/>
    </row>
    <row r="217" spans="1:4" ht="14.25" customHeight="1" x14ac:dyDescent="0.25">
      <c r="A217" s="8"/>
      <c r="B217" s="8"/>
      <c r="C217" s="8"/>
      <c r="D217" s="8"/>
    </row>
    <row r="218" spans="1:4" ht="14.25" customHeight="1" x14ac:dyDescent="0.25">
      <c r="A218" s="8"/>
      <c r="B218" s="8"/>
      <c r="C218" s="8"/>
      <c r="D218" s="8"/>
    </row>
    <row r="219" spans="1:4" ht="14.25" customHeight="1" x14ac:dyDescent="0.25">
      <c r="A219" s="8"/>
      <c r="B219" s="8"/>
      <c r="C219" s="8"/>
      <c r="D219" s="8"/>
    </row>
    <row r="220" spans="1:4" ht="14.25" customHeight="1" x14ac:dyDescent="0.25">
      <c r="A220" s="8"/>
      <c r="B220" s="8"/>
      <c r="C220" s="8"/>
      <c r="D220" s="8"/>
    </row>
    <row r="221" spans="1:4" ht="14.25" customHeight="1" x14ac:dyDescent="0.25">
      <c r="A221" s="8"/>
      <c r="B221" s="8"/>
      <c r="C221" s="8"/>
      <c r="D221" s="8"/>
    </row>
    <row r="222" spans="1:4" ht="14.25" customHeight="1" x14ac:dyDescent="0.25">
      <c r="A222" s="8"/>
      <c r="B222" s="8"/>
      <c r="C222" s="8"/>
      <c r="D222" s="8"/>
    </row>
    <row r="223" spans="1:4" ht="14.25" customHeight="1" x14ac:dyDescent="0.25">
      <c r="A223" s="8"/>
      <c r="B223" s="8"/>
      <c r="C223" s="8"/>
      <c r="D223" s="8"/>
    </row>
    <row r="224" spans="1:4" ht="14.25" customHeight="1" x14ac:dyDescent="0.25">
      <c r="A224" s="8"/>
      <c r="B224" s="8"/>
      <c r="C224" s="8"/>
      <c r="D224" s="8"/>
    </row>
    <row r="225" spans="1:4" ht="14.25" customHeight="1" x14ac:dyDescent="0.25">
      <c r="A225" s="8"/>
      <c r="B225" s="8"/>
      <c r="C225" s="8"/>
      <c r="D225" s="8"/>
    </row>
    <row r="226" spans="1:4" ht="14.25" customHeight="1" x14ac:dyDescent="0.25">
      <c r="A226" s="8"/>
      <c r="B226" s="8"/>
      <c r="C226" s="8"/>
      <c r="D226" s="8"/>
    </row>
    <row r="227" spans="1:4" ht="14.25" customHeight="1" x14ac:dyDescent="0.25">
      <c r="A227" s="8"/>
      <c r="B227" s="8"/>
      <c r="C227" s="8"/>
      <c r="D227" s="8"/>
    </row>
    <row r="228" spans="1:4" ht="14.25" customHeight="1" x14ac:dyDescent="0.25">
      <c r="A228" s="8"/>
      <c r="B228" s="8"/>
      <c r="C228" s="8"/>
      <c r="D228" s="8"/>
    </row>
    <row r="229" spans="1:4" ht="14.25" customHeight="1" x14ac:dyDescent="0.25">
      <c r="A229" s="8"/>
      <c r="B229" s="8"/>
      <c r="C229" s="8"/>
      <c r="D229" s="8"/>
    </row>
    <row r="230" spans="1:4" ht="14.25" customHeight="1" x14ac:dyDescent="0.25">
      <c r="A230" s="8"/>
      <c r="B230" s="8"/>
      <c r="C230" s="8"/>
      <c r="D230" s="8"/>
    </row>
    <row r="231" spans="1:4" ht="14.25" customHeight="1" x14ac:dyDescent="0.25">
      <c r="A231" s="8"/>
      <c r="B231" s="8"/>
      <c r="C231" s="8"/>
      <c r="D231" s="8"/>
    </row>
    <row r="232" spans="1:4" ht="14.25" customHeight="1" x14ac:dyDescent="0.25">
      <c r="A232" s="8"/>
      <c r="B232" s="8"/>
      <c r="C232" s="8"/>
      <c r="D232" s="8"/>
    </row>
    <row r="233" spans="1:4" ht="14.25" customHeight="1" x14ac:dyDescent="0.25">
      <c r="A233" s="8"/>
      <c r="B233" s="8"/>
      <c r="C233" s="8"/>
      <c r="D233" s="8"/>
    </row>
    <row r="234" spans="1:4" ht="14.25" customHeight="1" x14ac:dyDescent="0.25">
      <c r="A234" s="8"/>
      <c r="B234" s="8"/>
      <c r="C234" s="8"/>
      <c r="D234" s="8"/>
    </row>
    <row r="235" spans="1:4" ht="14.25" customHeight="1" x14ac:dyDescent="0.25">
      <c r="A235" s="8"/>
      <c r="B235" s="8"/>
      <c r="C235" s="8"/>
      <c r="D235" s="8"/>
    </row>
    <row r="236" spans="1:4" ht="14.25" customHeight="1" x14ac:dyDescent="0.25">
      <c r="A236" s="8"/>
      <c r="B236" s="8"/>
      <c r="C236" s="8"/>
      <c r="D236" s="8"/>
    </row>
    <row r="237" spans="1:4" ht="14.25" customHeight="1" x14ac:dyDescent="0.25">
      <c r="A237" s="8"/>
      <c r="B237" s="8"/>
      <c r="C237" s="8"/>
      <c r="D237" s="8"/>
    </row>
    <row r="238" spans="1:4" ht="14.25" customHeight="1" x14ac:dyDescent="0.25">
      <c r="A238" s="8"/>
      <c r="B238" s="8"/>
      <c r="C238" s="8"/>
      <c r="D238" s="8"/>
    </row>
    <row r="239" spans="1:4" ht="14.25" customHeight="1" x14ac:dyDescent="0.25">
      <c r="A239" s="8"/>
      <c r="B239" s="8"/>
      <c r="C239" s="8"/>
      <c r="D239" s="8"/>
    </row>
    <row r="240" spans="1:4" ht="14.25" customHeight="1" x14ac:dyDescent="0.25">
      <c r="A240" s="8"/>
      <c r="B240" s="8"/>
      <c r="C240" s="8"/>
      <c r="D240" s="8"/>
    </row>
    <row r="241" spans="1:4" ht="14.25" customHeight="1" x14ac:dyDescent="0.25">
      <c r="A241" s="8"/>
      <c r="B241" s="8"/>
      <c r="C241" s="8"/>
      <c r="D241" s="8"/>
    </row>
    <row r="242" spans="1:4" ht="14.25" customHeight="1" x14ac:dyDescent="0.25">
      <c r="A242" s="8"/>
      <c r="B242" s="8"/>
      <c r="C242" s="8"/>
      <c r="D242" s="8"/>
    </row>
    <row r="243" spans="1:4" ht="14.25" customHeight="1" x14ac:dyDescent="0.25">
      <c r="A243" s="8"/>
      <c r="B243" s="8"/>
      <c r="C243" s="8"/>
      <c r="D243" s="8"/>
    </row>
    <row r="244" spans="1:4" ht="14.25" customHeight="1" x14ac:dyDescent="0.25">
      <c r="A244" s="8"/>
      <c r="B244" s="8"/>
      <c r="C244" s="8"/>
      <c r="D244" s="8"/>
    </row>
    <row r="245" spans="1:4" ht="14.25" customHeight="1" x14ac:dyDescent="0.25">
      <c r="A245" s="8"/>
      <c r="B245" s="8"/>
      <c r="C245" s="8"/>
      <c r="D245" s="8"/>
    </row>
    <row r="246" spans="1:4" ht="14.25" customHeight="1" x14ac:dyDescent="0.25">
      <c r="A246" s="8"/>
      <c r="B246" s="8"/>
      <c r="C246" s="8"/>
      <c r="D246" s="8"/>
    </row>
    <row r="247" spans="1:4" ht="14.25" customHeight="1" x14ac:dyDescent="0.25">
      <c r="A247" s="8"/>
      <c r="B247" s="8"/>
      <c r="C247" s="8"/>
      <c r="D247" s="8"/>
    </row>
    <row r="248" spans="1:4" ht="14.25" customHeight="1" x14ac:dyDescent="0.25">
      <c r="A248" s="8"/>
      <c r="B248" s="8"/>
      <c r="C248" s="8"/>
      <c r="D248" s="8"/>
    </row>
    <row r="249" spans="1:4" ht="14.25" customHeight="1" x14ac:dyDescent="0.25">
      <c r="A249" s="8"/>
      <c r="B249" s="8"/>
      <c r="C249" s="8"/>
      <c r="D249" s="8"/>
    </row>
    <row r="250" spans="1:4" ht="14.25" customHeight="1" x14ac:dyDescent="0.25">
      <c r="A250" s="8"/>
      <c r="B250" s="8"/>
      <c r="C250" s="8"/>
      <c r="D250" s="8"/>
    </row>
    <row r="251" spans="1:4" ht="14.25" customHeight="1" x14ac:dyDescent="0.25">
      <c r="A251" s="8"/>
      <c r="B251" s="8"/>
      <c r="C251" s="8"/>
      <c r="D251" s="8"/>
    </row>
    <row r="252" spans="1:4" ht="14.25" customHeight="1" x14ac:dyDescent="0.25">
      <c r="A252" s="8"/>
      <c r="B252" s="8"/>
      <c r="C252" s="8"/>
      <c r="D252" s="8"/>
    </row>
    <row r="253" spans="1:4" ht="14.25" customHeight="1" x14ac:dyDescent="0.25">
      <c r="A253" s="8"/>
      <c r="B253" s="8"/>
      <c r="C253" s="8"/>
      <c r="D253" s="8"/>
    </row>
    <row r="254" spans="1:4" ht="14.25" customHeight="1" x14ac:dyDescent="0.25">
      <c r="A254" s="8"/>
      <c r="B254" s="8"/>
      <c r="C254" s="8"/>
      <c r="D254" s="8"/>
    </row>
    <row r="255" spans="1:4" ht="14.25" customHeight="1" x14ac:dyDescent="0.25">
      <c r="A255" s="8"/>
      <c r="B255" s="8"/>
      <c r="C255" s="8"/>
      <c r="D255" s="8"/>
    </row>
    <row r="256" spans="1:4" ht="14.25" customHeight="1" x14ac:dyDescent="0.25">
      <c r="A256" s="8"/>
      <c r="B256" s="8"/>
      <c r="C256" s="8"/>
      <c r="D256" s="8"/>
    </row>
    <row r="257" spans="1:4" ht="14.25" customHeight="1" x14ac:dyDescent="0.25">
      <c r="A257" s="8"/>
      <c r="B257" s="8"/>
      <c r="C257" s="8"/>
      <c r="D257" s="8"/>
    </row>
    <row r="258" spans="1:4" ht="14.25" customHeight="1" x14ac:dyDescent="0.25">
      <c r="A258" s="8"/>
      <c r="B258" s="8"/>
      <c r="C258" s="8"/>
      <c r="D258" s="8"/>
    </row>
    <row r="259" spans="1:4" ht="14.25" customHeight="1" x14ac:dyDescent="0.25">
      <c r="A259" s="8"/>
      <c r="B259" s="8"/>
      <c r="C259" s="8"/>
      <c r="D259" s="8"/>
    </row>
    <row r="260" spans="1:4" ht="14.25" customHeight="1" x14ac:dyDescent="0.25">
      <c r="A260" s="8"/>
      <c r="B260" s="8"/>
      <c r="C260" s="8"/>
      <c r="D260" s="8"/>
    </row>
    <row r="261" spans="1:4" ht="14.25" customHeight="1" x14ac:dyDescent="0.25">
      <c r="A261" s="8"/>
      <c r="B261" s="8"/>
      <c r="C261" s="8"/>
      <c r="D261" s="8"/>
    </row>
    <row r="262" spans="1:4" ht="14.25" customHeight="1" x14ac:dyDescent="0.25">
      <c r="A262" s="8"/>
      <c r="B262" s="8"/>
      <c r="C262" s="8"/>
      <c r="D262" s="8"/>
    </row>
    <row r="263" spans="1:4" ht="14.25" customHeight="1" x14ac:dyDescent="0.25">
      <c r="A263" s="8"/>
      <c r="B263" s="8"/>
      <c r="C263" s="8"/>
      <c r="D263" s="8"/>
    </row>
    <row r="264" spans="1:4" ht="14.25" customHeight="1" x14ac:dyDescent="0.25">
      <c r="A264" s="8"/>
      <c r="B264" s="8"/>
      <c r="C264" s="8"/>
      <c r="D264" s="8"/>
    </row>
    <row r="265" spans="1:4" ht="14.25" customHeight="1" x14ac:dyDescent="0.25">
      <c r="A265" s="8"/>
      <c r="B265" s="8"/>
      <c r="C265" s="8"/>
      <c r="D265" s="8"/>
    </row>
    <row r="266" spans="1:4" ht="14.25" customHeight="1" x14ac:dyDescent="0.25">
      <c r="A266" s="8"/>
      <c r="B266" s="8"/>
      <c r="C266" s="8"/>
      <c r="D266" s="8"/>
    </row>
    <row r="267" spans="1:4" ht="14.25" customHeight="1" x14ac:dyDescent="0.25">
      <c r="A267" s="8"/>
      <c r="B267" s="8"/>
      <c r="C267" s="8"/>
      <c r="D267" s="8"/>
    </row>
    <row r="268" spans="1:4" ht="14.25" customHeight="1" x14ac:dyDescent="0.25">
      <c r="A268" s="8"/>
      <c r="B268" s="8"/>
      <c r="C268" s="8"/>
      <c r="D268" s="8"/>
    </row>
    <row r="269" spans="1:4" ht="14.25" customHeight="1" x14ac:dyDescent="0.25">
      <c r="A269" s="8"/>
      <c r="B269" s="8"/>
      <c r="C269" s="8"/>
      <c r="D269" s="8"/>
    </row>
    <row r="270" spans="1:4" ht="14.25" customHeight="1" x14ac:dyDescent="0.25">
      <c r="A270" s="8"/>
      <c r="B270" s="8"/>
      <c r="C270" s="8"/>
      <c r="D270" s="8"/>
    </row>
    <row r="271" spans="1:4" ht="14.25" customHeight="1" x14ac:dyDescent="0.25">
      <c r="A271" s="8"/>
      <c r="B271" s="8"/>
      <c r="C271" s="8"/>
      <c r="D271" s="8"/>
    </row>
    <row r="272" spans="1:4" ht="14.25" customHeight="1" x14ac:dyDescent="0.25">
      <c r="A272" s="8"/>
      <c r="B272" s="8"/>
      <c r="C272" s="8"/>
      <c r="D272" s="8"/>
    </row>
    <row r="273" spans="1:4" ht="14.25" customHeight="1" x14ac:dyDescent="0.25">
      <c r="A273" s="8"/>
      <c r="B273" s="8"/>
      <c r="C273" s="8"/>
      <c r="D273" s="8"/>
    </row>
    <row r="274" spans="1:4" ht="14.25" customHeight="1" x14ac:dyDescent="0.25">
      <c r="A274" s="8"/>
      <c r="B274" s="8"/>
      <c r="C274" s="8"/>
      <c r="D274" s="8"/>
    </row>
    <row r="275" spans="1:4" ht="14.25" customHeight="1" x14ac:dyDescent="0.25">
      <c r="A275" s="8"/>
      <c r="B275" s="8"/>
      <c r="C275" s="8"/>
      <c r="D275" s="8"/>
    </row>
    <row r="276" spans="1:4" ht="14.25" customHeight="1" x14ac:dyDescent="0.25">
      <c r="A276" s="8"/>
      <c r="B276" s="8"/>
      <c r="C276" s="8"/>
      <c r="D276" s="8"/>
    </row>
    <row r="277" spans="1:4" ht="14.25" customHeight="1" x14ac:dyDescent="0.25">
      <c r="A277" s="8"/>
      <c r="B277" s="8"/>
      <c r="C277" s="8"/>
      <c r="D277" s="8"/>
    </row>
    <row r="278" spans="1:4" ht="14.25" customHeight="1" x14ac:dyDescent="0.25">
      <c r="A278" s="8"/>
      <c r="B278" s="8"/>
      <c r="C278" s="8"/>
      <c r="D278" s="8"/>
    </row>
    <row r="279" spans="1:4" ht="14.25" customHeight="1" x14ac:dyDescent="0.25">
      <c r="A279" s="8"/>
      <c r="B279" s="8"/>
      <c r="C279" s="8"/>
      <c r="D279" s="8"/>
    </row>
    <row r="280" spans="1:4" ht="14.25" customHeight="1" x14ac:dyDescent="0.25">
      <c r="A280" s="8"/>
      <c r="B280" s="8"/>
      <c r="C280" s="8"/>
      <c r="D280" s="8"/>
    </row>
    <row r="281" spans="1:4" ht="14.25" customHeight="1" x14ac:dyDescent="0.25">
      <c r="A281" s="8"/>
      <c r="B281" s="8"/>
      <c r="C281" s="8"/>
      <c r="D281" s="8"/>
    </row>
    <row r="282" spans="1:4" ht="14.25" customHeight="1" x14ac:dyDescent="0.25">
      <c r="A282" s="8"/>
      <c r="B282" s="8"/>
      <c r="C282" s="8"/>
      <c r="D282" s="8"/>
    </row>
    <row r="283" spans="1:4" ht="14.25" customHeight="1" x14ac:dyDescent="0.25">
      <c r="A283" s="8"/>
      <c r="B283" s="8"/>
      <c r="C283" s="8"/>
      <c r="D283" s="8"/>
    </row>
    <row r="284" spans="1:4" ht="14.25" customHeight="1" x14ac:dyDescent="0.25">
      <c r="A284" s="8"/>
      <c r="B284" s="8"/>
      <c r="C284" s="8"/>
      <c r="D284" s="8"/>
    </row>
    <row r="285" spans="1:4" ht="14.25" customHeight="1" x14ac:dyDescent="0.25">
      <c r="A285" s="8"/>
      <c r="B285" s="8"/>
      <c r="C285" s="8"/>
      <c r="D285" s="8"/>
    </row>
    <row r="286" spans="1:4" ht="14.25" customHeight="1" x14ac:dyDescent="0.25">
      <c r="A286" s="8"/>
      <c r="B286" s="8"/>
      <c r="C286" s="8"/>
      <c r="D286" s="8"/>
    </row>
    <row r="287" spans="1:4" ht="14.25" customHeight="1" x14ac:dyDescent="0.25">
      <c r="A287" s="8"/>
      <c r="B287" s="8"/>
      <c r="C287" s="8"/>
      <c r="D287" s="8"/>
    </row>
    <row r="288" spans="1:4" ht="14.25" customHeight="1" x14ac:dyDescent="0.25">
      <c r="A288" s="8"/>
      <c r="B288" s="8"/>
      <c r="C288" s="8"/>
      <c r="D288" s="8"/>
    </row>
    <row r="289" spans="1:4" ht="14.25" customHeight="1" x14ac:dyDescent="0.25">
      <c r="A289" s="8"/>
      <c r="B289" s="8"/>
      <c r="C289" s="8"/>
      <c r="D289" s="8"/>
    </row>
    <row r="290" spans="1:4" ht="14.25" customHeight="1" x14ac:dyDescent="0.25">
      <c r="A290" s="8"/>
      <c r="B290" s="8"/>
      <c r="C290" s="8"/>
      <c r="D290" s="8"/>
    </row>
    <row r="291" spans="1:4" ht="14.25" customHeight="1" x14ac:dyDescent="0.25">
      <c r="A291" s="8"/>
      <c r="B291" s="8"/>
      <c r="C291" s="8"/>
      <c r="D291" s="8"/>
    </row>
    <row r="292" spans="1:4" ht="14.25" customHeight="1" x14ac:dyDescent="0.25">
      <c r="A292" s="8"/>
      <c r="B292" s="8"/>
      <c r="C292" s="8"/>
      <c r="D292" s="8"/>
    </row>
    <row r="293" spans="1:4" ht="14.25" customHeight="1" x14ac:dyDescent="0.25">
      <c r="A293" s="8"/>
      <c r="B293" s="8"/>
      <c r="C293" s="8"/>
      <c r="D293" s="8"/>
    </row>
    <row r="294" spans="1:4" ht="14.25" customHeight="1" x14ac:dyDescent="0.25">
      <c r="A294" s="8"/>
      <c r="B294" s="8"/>
      <c r="C294" s="8"/>
      <c r="D294" s="8"/>
    </row>
    <row r="295" spans="1:4" ht="14.25" customHeight="1" x14ac:dyDescent="0.25">
      <c r="A295" s="8"/>
      <c r="B295" s="8"/>
      <c r="C295" s="8"/>
      <c r="D295" s="8"/>
    </row>
    <row r="296" spans="1:4" ht="14.25" customHeight="1" x14ac:dyDescent="0.25">
      <c r="A296" s="8"/>
      <c r="B296" s="8"/>
      <c r="C296" s="8"/>
      <c r="D296" s="8"/>
    </row>
    <row r="297" spans="1:4" ht="14.25" customHeight="1" x14ac:dyDescent="0.25">
      <c r="A297" s="8"/>
      <c r="B297" s="8"/>
      <c r="C297" s="8"/>
      <c r="D297" s="8"/>
    </row>
    <row r="298" spans="1:4" ht="14.25" customHeight="1" x14ac:dyDescent="0.25">
      <c r="A298" s="8"/>
      <c r="B298" s="8"/>
      <c r="C298" s="8"/>
      <c r="D298" s="8"/>
    </row>
    <row r="299" spans="1:4" ht="14.25" customHeight="1" x14ac:dyDescent="0.25">
      <c r="A299" s="8"/>
      <c r="B299" s="8"/>
      <c r="C299" s="8"/>
      <c r="D299" s="8"/>
    </row>
    <row r="300" spans="1:4" ht="14.25" customHeight="1" x14ac:dyDescent="0.25">
      <c r="A300" s="8"/>
      <c r="B300" s="8"/>
      <c r="C300" s="8"/>
      <c r="D300" s="8"/>
    </row>
    <row r="301" spans="1:4" ht="14.25" customHeight="1" x14ac:dyDescent="0.25">
      <c r="A301" s="8"/>
      <c r="B301" s="8"/>
      <c r="C301" s="8"/>
      <c r="D301" s="8"/>
    </row>
    <row r="302" spans="1:4" ht="14.25" customHeight="1" x14ac:dyDescent="0.25">
      <c r="A302" s="8"/>
      <c r="B302" s="8"/>
      <c r="C302" s="8"/>
      <c r="D302" s="8"/>
    </row>
    <row r="303" spans="1:4" ht="14.25" customHeight="1" x14ac:dyDescent="0.25">
      <c r="A303" s="8"/>
      <c r="B303" s="8"/>
      <c r="C303" s="8"/>
      <c r="D303" s="8"/>
    </row>
    <row r="304" spans="1:4" ht="14.25" customHeight="1" x14ac:dyDescent="0.25">
      <c r="A304" s="8"/>
      <c r="B304" s="8"/>
      <c r="C304" s="8"/>
      <c r="D304" s="8"/>
    </row>
    <row r="305" spans="1:4" ht="14.25" customHeight="1" x14ac:dyDescent="0.25">
      <c r="A305" s="8"/>
      <c r="B305" s="8"/>
      <c r="C305" s="8"/>
      <c r="D305" s="8"/>
    </row>
    <row r="306" spans="1:4" ht="14.25" customHeight="1" x14ac:dyDescent="0.25">
      <c r="A306" s="8"/>
      <c r="B306" s="8"/>
      <c r="C306" s="8"/>
      <c r="D306" s="8"/>
    </row>
    <row r="307" spans="1:4" ht="14.25" customHeight="1" x14ac:dyDescent="0.25">
      <c r="A307" s="8"/>
      <c r="B307" s="8"/>
      <c r="C307" s="8"/>
      <c r="D307" s="8"/>
    </row>
    <row r="308" spans="1:4" ht="14.25" customHeight="1" x14ac:dyDescent="0.25">
      <c r="A308" s="8"/>
      <c r="B308" s="8"/>
      <c r="C308" s="8"/>
      <c r="D308" s="8"/>
    </row>
    <row r="309" spans="1:4" ht="14.25" customHeight="1" x14ac:dyDescent="0.25">
      <c r="A309" s="8"/>
      <c r="B309" s="8"/>
      <c r="C309" s="8"/>
      <c r="D309" s="8"/>
    </row>
    <row r="310" spans="1:4" ht="14.25" customHeight="1" x14ac:dyDescent="0.25">
      <c r="A310" s="8"/>
      <c r="B310" s="8"/>
      <c r="C310" s="8"/>
      <c r="D310" s="8"/>
    </row>
    <row r="311" spans="1:4" ht="14.25" customHeight="1" x14ac:dyDescent="0.25">
      <c r="A311" s="8"/>
      <c r="B311" s="8"/>
      <c r="C311" s="8"/>
      <c r="D311" s="8"/>
    </row>
    <row r="312" spans="1:4" ht="14.25" customHeight="1" x14ac:dyDescent="0.25">
      <c r="A312" s="8"/>
      <c r="B312" s="8"/>
      <c r="C312" s="8"/>
      <c r="D312" s="8"/>
    </row>
    <row r="313" spans="1:4" ht="14.25" customHeight="1" x14ac:dyDescent="0.25">
      <c r="A313" s="8"/>
      <c r="B313" s="8"/>
      <c r="C313" s="8"/>
      <c r="D313" s="8"/>
    </row>
    <row r="314" spans="1:4" ht="14.25" customHeight="1" x14ac:dyDescent="0.25">
      <c r="A314" s="8"/>
      <c r="B314" s="8"/>
      <c r="C314" s="8"/>
      <c r="D314" s="8"/>
    </row>
    <row r="315" spans="1:4" ht="14.25" customHeight="1" x14ac:dyDescent="0.25">
      <c r="A315" s="8"/>
      <c r="B315" s="8"/>
      <c r="C315" s="8"/>
      <c r="D315" s="8"/>
    </row>
    <row r="316" spans="1:4" ht="14.25" customHeight="1" x14ac:dyDescent="0.25">
      <c r="A316" s="8"/>
      <c r="B316" s="8"/>
      <c r="C316" s="8"/>
      <c r="D316" s="8"/>
    </row>
    <row r="317" spans="1:4" ht="14.25" customHeight="1" x14ac:dyDescent="0.25">
      <c r="A317" s="8"/>
      <c r="B317" s="8"/>
      <c r="C317" s="8"/>
      <c r="D317" s="8"/>
    </row>
    <row r="318" spans="1:4" ht="14.25" customHeight="1" x14ac:dyDescent="0.25">
      <c r="A318" s="8"/>
      <c r="B318" s="8"/>
      <c r="C318" s="8"/>
      <c r="D318" s="8"/>
    </row>
    <row r="319" spans="1:4" ht="14.25" customHeight="1" x14ac:dyDescent="0.25">
      <c r="A319" s="8"/>
      <c r="B319" s="8"/>
      <c r="C319" s="8"/>
      <c r="D319" s="8"/>
    </row>
    <row r="320" spans="1:4" ht="14.25" customHeight="1" x14ac:dyDescent="0.25">
      <c r="A320" s="8"/>
      <c r="B320" s="8"/>
      <c r="C320" s="8"/>
      <c r="D320" s="8"/>
    </row>
    <row r="321" spans="1:4" ht="14.25" customHeight="1" x14ac:dyDescent="0.25">
      <c r="A321" s="8"/>
      <c r="B321" s="8"/>
      <c r="C321" s="8"/>
      <c r="D321" s="8"/>
    </row>
    <row r="322" spans="1:4" ht="14.25" customHeight="1" x14ac:dyDescent="0.25">
      <c r="A322" s="8"/>
      <c r="B322" s="8"/>
      <c r="C322" s="8"/>
      <c r="D322" s="8"/>
    </row>
    <row r="323" spans="1:4" ht="14.25" customHeight="1" x14ac:dyDescent="0.25">
      <c r="A323" s="8"/>
      <c r="B323" s="8"/>
      <c r="C323" s="8"/>
      <c r="D323" s="8"/>
    </row>
    <row r="324" spans="1:4" ht="14.25" customHeight="1" x14ac:dyDescent="0.25">
      <c r="A324" s="8"/>
      <c r="B324" s="8"/>
      <c r="C324" s="8"/>
      <c r="D324" s="8"/>
    </row>
    <row r="325" spans="1:4" ht="14.25" customHeight="1" x14ac:dyDescent="0.25">
      <c r="A325" s="8"/>
      <c r="B325" s="8"/>
      <c r="C325" s="8"/>
      <c r="D325" s="8"/>
    </row>
    <row r="326" spans="1:4" ht="14.25" customHeight="1" x14ac:dyDescent="0.25">
      <c r="A326" s="8"/>
      <c r="B326" s="8"/>
      <c r="C326" s="8"/>
      <c r="D326" s="8"/>
    </row>
    <row r="327" spans="1:4" ht="14.25" customHeight="1" x14ac:dyDescent="0.25">
      <c r="A327" s="8"/>
      <c r="B327" s="8"/>
      <c r="C327" s="8"/>
      <c r="D327" s="8"/>
    </row>
    <row r="328" spans="1:4" ht="14.25" customHeight="1" x14ac:dyDescent="0.25">
      <c r="A328" s="8"/>
      <c r="B328" s="8"/>
      <c r="C328" s="8"/>
      <c r="D328" s="8"/>
    </row>
    <row r="329" spans="1:4" ht="14.25" customHeight="1" x14ac:dyDescent="0.25">
      <c r="A329" s="8"/>
      <c r="B329" s="8"/>
      <c r="C329" s="8"/>
      <c r="D329" s="8"/>
    </row>
    <row r="330" spans="1:4" ht="14.25" customHeight="1" x14ac:dyDescent="0.25">
      <c r="A330" s="8"/>
      <c r="B330" s="8"/>
      <c r="C330" s="8"/>
      <c r="D330" s="8"/>
    </row>
    <row r="331" spans="1:4" ht="14.25" customHeight="1" x14ac:dyDescent="0.25">
      <c r="A331" s="8"/>
      <c r="B331" s="8"/>
      <c r="C331" s="8"/>
      <c r="D331" s="8"/>
    </row>
    <row r="332" spans="1:4" ht="14.25" customHeight="1" x14ac:dyDescent="0.25">
      <c r="A332" s="8"/>
      <c r="B332" s="8"/>
      <c r="C332" s="8"/>
      <c r="D332" s="8"/>
    </row>
    <row r="333" spans="1:4" ht="14.25" customHeight="1" x14ac:dyDescent="0.25">
      <c r="A333" s="8"/>
      <c r="B333" s="8"/>
      <c r="C333" s="8"/>
      <c r="D333" s="8"/>
    </row>
    <row r="334" spans="1:4" ht="14.25" customHeight="1" x14ac:dyDescent="0.25">
      <c r="A334" s="8"/>
      <c r="B334" s="8"/>
      <c r="C334" s="8"/>
      <c r="D334" s="8"/>
    </row>
    <row r="335" spans="1:4" ht="14.25" customHeight="1" x14ac:dyDescent="0.25">
      <c r="A335" s="8"/>
      <c r="B335" s="8"/>
      <c r="C335" s="8"/>
      <c r="D335" s="8"/>
    </row>
    <row r="336" spans="1:4" ht="14.25" customHeight="1" x14ac:dyDescent="0.25">
      <c r="A336" s="8"/>
      <c r="B336" s="8"/>
      <c r="C336" s="8"/>
      <c r="D336" s="8"/>
    </row>
    <row r="337" spans="1:4" ht="14.25" customHeight="1" x14ac:dyDescent="0.25">
      <c r="A337" s="8"/>
      <c r="B337" s="8"/>
      <c r="C337" s="8"/>
      <c r="D337" s="8"/>
    </row>
    <row r="338" spans="1:4" ht="14.25" customHeight="1" x14ac:dyDescent="0.25">
      <c r="A338" s="8"/>
      <c r="B338" s="8"/>
      <c r="C338" s="8"/>
      <c r="D338" s="8"/>
    </row>
    <row r="339" spans="1:4" ht="14.25" customHeight="1" x14ac:dyDescent="0.25">
      <c r="A339" s="8"/>
      <c r="B339" s="8"/>
      <c r="C339" s="8"/>
      <c r="D339" s="8"/>
    </row>
    <row r="340" spans="1:4" ht="14.25" customHeight="1" x14ac:dyDescent="0.25">
      <c r="A340" s="8"/>
      <c r="B340" s="8"/>
      <c r="C340" s="8"/>
      <c r="D340" s="8"/>
    </row>
    <row r="341" spans="1:4" ht="14.25" customHeight="1" x14ac:dyDescent="0.25">
      <c r="A341" s="8"/>
      <c r="B341" s="8"/>
      <c r="C341" s="8"/>
      <c r="D341" s="8"/>
    </row>
    <row r="342" spans="1:4" ht="14.25" customHeight="1" x14ac:dyDescent="0.25">
      <c r="A342" s="8"/>
      <c r="B342" s="8"/>
      <c r="C342" s="8"/>
      <c r="D342" s="8"/>
    </row>
    <row r="343" spans="1:4" ht="14.25" customHeight="1" x14ac:dyDescent="0.25">
      <c r="A343" s="8"/>
      <c r="B343" s="8"/>
      <c r="C343" s="8"/>
      <c r="D343" s="8"/>
    </row>
    <row r="344" spans="1:4" ht="14.25" customHeight="1" x14ac:dyDescent="0.25">
      <c r="A344" s="8"/>
      <c r="B344" s="8"/>
      <c r="C344" s="8"/>
      <c r="D344" s="8"/>
    </row>
    <row r="345" spans="1:4" ht="14.25" customHeight="1" x14ac:dyDescent="0.25">
      <c r="A345" s="8"/>
      <c r="B345" s="8"/>
      <c r="C345" s="8"/>
      <c r="D345" s="8"/>
    </row>
    <row r="346" spans="1:4" ht="14.25" customHeight="1" x14ac:dyDescent="0.25">
      <c r="A346" s="8"/>
      <c r="B346" s="8"/>
      <c r="C346" s="8"/>
      <c r="D346" s="8"/>
    </row>
    <row r="347" spans="1:4" ht="14.25" customHeight="1" x14ac:dyDescent="0.25">
      <c r="A347" s="8"/>
      <c r="B347" s="8"/>
      <c r="C347" s="8"/>
      <c r="D347" s="8"/>
    </row>
    <row r="348" spans="1:4" ht="14.25" customHeight="1" x14ac:dyDescent="0.25">
      <c r="A348" s="8"/>
      <c r="B348" s="8"/>
      <c r="C348" s="8"/>
      <c r="D348" s="8"/>
    </row>
    <row r="349" spans="1:4" ht="14.25" customHeight="1" x14ac:dyDescent="0.25">
      <c r="A349" s="8"/>
      <c r="B349" s="8"/>
      <c r="C349" s="8"/>
      <c r="D349" s="8"/>
    </row>
    <row r="350" spans="1:4" ht="14.25" customHeight="1" x14ac:dyDescent="0.25">
      <c r="A350" s="8"/>
      <c r="B350" s="8"/>
      <c r="C350" s="8"/>
      <c r="D350" s="8"/>
    </row>
    <row r="351" spans="1:4" ht="14.25" customHeight="1" x14ac:dyDescent="0.25">
      <c r="A351" s="8"/>
      <c r="B351" s="8"/>
      <c r="C351" s="8"/>
      <c r="D351" s="8"/>
    </row>
    <row r="352" spans="1:4" ht="14.25" customHeight="1" x14ac:dyDescent="0.25">
      <c r="A352" s="8"/>
      <c r="B352" s="8"/>
      <c r="C352" s="8"/>
      <c r="D352" s="8"/>
    </row>
    <row r="353" spans="1:4" ht="14.25" customHeight="1" x14ac:dyDescent="0.25">
      <c r="A353" s="8"/>
      <c r="B353" s="8"/>
      <c r="C353" s="8"/>
      <c r="D353" s="8"/>
    </row>
    <row r="354" spans="1:4" ht="14.25" customHeight="1" x14ac:dyDescent="0.25">
      <c r="A354" s="8"/>
      <c r="B354" s="8"/>
      <c r="C354" s="8"/>
      <c r="D354" s="8"/>
    </row>
    <row r="355" spans="1:4" ht="14.25" customHeight="1" x14ac:dyDescent="0.25">
      <c r="A355" s="8"/>
      <c r="B355" s="8"/>
      <c r="C355" s="8"/>
      <c r="D355" s="8"/>
    </row>
    <row r="356" spans="1:4" ht="14.25" customHeight="1" x14ac:dyDescent="0.25">
      <c r="A356" s="8"/>
      <c r="B356" s="8"/>
      <c r="C356" s="8"/>
      <c r="D356" s="8"/>
    </row>
    <row r="357" spans="1:4" ht="14.25" customHeight="1" x14ac:dyDescent="0.25">
      <c r="A357" s="8"/>
      <c r="B357" s="8"/>
      <c r="C357" s="8"/>
      <c r="D357" s="8"/>
    </row>
    <row r="358" spans="1:4" ht="14.25" customHeight="1" x14ac:dyDescent="0.25">
      <c r="A358" s="8"/>
      <c r="B358" s="8"/>
      <c r="C358" s="8"/>
      <c r="D358" s="8"/>
    </row>
    <row r="359" spans="1:4" ht="14.25" customHeight="1" x14ac:dyDescent="0.25">
      <c r="A359" s="8"/>
      <c r="B359" s="8"/>
      <c r="C359" s="8"/>
      <c r="D359" s="8"/>
    </row>
    <row r="360" spans="1:4" ht="14.25" customHeight="1" x14ac:dyDescent="0.25">
      <c r="A360" s="8"/>
      <c r="B360" s="8"/>
      <c r="C360" s="8"/>
      <c r="D360" s="8"/>
    </row>
    <row r="361" spans="1:4" ht="14.25" customHeight="1" x14ac:dyDescent="0.25">
      <c r="A361" s="8"/>
      <c r="B361" s="8"/>
      <c r="C361" s="8"/>
      <c r="D361" s="8"/>
    </row>
    <row r="362" spans="1:4" ht="14.25" customHeight="1" x14ac:dyDescent="0.25">
      <c r="A362" s="8"/>
      <c r="B362" s="8"/>
      <c r="C362" s="8"/>
      <c r="D362" s="8"/>
    </row>
    <row r="363" spans="1:4" ht="14.25" customHeight="1" x14ac:dyDescent="0.25">
      <c r="A363" s="8"/>
      <c r="B363" s="8"/>
      <c r="C363" s="8"/>
      <c r="D363" s="8"/>
    </row>
    <row r="364" spans="1:4" ht="14.25" customHeight="1" x14ac:dyDescent="0.25">
      <c r="A364" s="8"/>
      <c r="B364" s="8"/>
      <c r="C364" s="8"/>
      <c r="D364" s="8"/>
    </row>
    <row r="365" spans="1:4" ht="14.25" customHeight="1" x14ac:dyDescent="0.25">
      <c r="A365" s="8"/>
      <c r="B365" s="8"/>
      <c r="C365" s="8"/>
      <c r="D365" s="8"/>
    </row>
    <row r="366" spans="1:4" ht="14.25" customHeight="1" x14ac:dyDescent="0.25">
      <c r="A366" s="8"/>
      <c r="B366" s="8"/>
      <c r="C366" s="8"/>
      <c r="D366" s="8"/>
    </row>
    <row r="367" spans="1:4" ht="14.25" customHeight="1" x14ac:dyDescent="0.25">
      <c r="A367" s="8"/>
      <c r="B367" s="8"/>
      <c r="C367" s="8"/>
      <c r="D367" s="8"/>
    </row>
    <row r="368" spans="1:4" ht="14.25" customHeight="1" x14ac:dyDescent="0.25">
      <c r="A368" s="8"/>
      <c r="B368" s="8"/>
      <c r="C368" s="8"/>
      <c r="D368" s="8"/>
    </row>
    <row r="369" spans="1:4" ht="14.25" customHeight="1" x14ac:dyDescent="0.25">
      <c r="A369" s="8"/>
      <c r="B369" s="8"/>
      <c r="C369" s="8"/>
      <c r="D369" s="8"/>
    </row>
    <row r="370" spans="1:4" ht="14.25" customHeight="1" x14ac:dyDescent="0.25">
      <c r="A370" s="8"/>
      <c r="B370" s="8"/>
      <c r="C370" s="8"/>
      <c r="D370" s="8"/>
    </row>
    <row r="371" spans="1:4" ht="14.25" customHeight="1" x14ac:dyDescent="0.25">
      <c r="A371" s="8"/>
      <c r="B371" s="8"/>
      <c r="C371" s="8"/>
      <c r="D371" s="8"/>
    </row>
    <row r="372" spans="1:4" ht="14.25" customHeight="1" x14ac:dyDescent="0.25">
      <c r="A372" s="8"/>
      <c r="B372" s="8"/>
      <c r="C372" s="8"/>
      <c r="D372" s="8"/>
    </row>
    <row r="373" spans="1:4" ht="14.25" customHeight="1" x14ac:dyDescent="0.25">
      <c r="A373" s="8"/>
      <c r="B373" s="8"/>
      <c r="C373" s="8"/>
      <c r="D373" s="8"/>
    </row>
    <row r="374" spans="1:4" ht="14.25" customHeight="1" x14ac:dyDescent="0.25">
      <c r="A374" s="8"/>
      <c r="B374" s="8"/>
      <c r="C374" s="8"/>
      <c r="D374" s="8"/>
    </row>
    <row r="375" spans="1:4" ht="14.25" customHeight="1" x14ac:dyDescent="0.25">
      <c r="A375" s="8"/>
      <c r="B375" s="8"/>
      <c r="C375" s="8"/>
      <c r="D375" s="8"/>
    </row>
    <row r="376" spans="1:4" ht="14.25" customHeight="1" x14ac:dyDescent="0.25">
      <c r="A376" s="8"/>
      <c r="B376" s="8"/>
      <c r="C376" s="8"/>
      <c r="D376" s="8"/>
    </row>
    <row r="377" spans="1:4" ht="14.25" customHeight="1" x14ac:dyDescent="0.25">
      <c r="A377" s="8"/>
      <c r="B377" s="8"/>
      <c r="C377" s="8"/>
      <c r="D377" s="8"/>
    </row>
    <row r="378" spans="1:4" ht="14.25" customHeight="1" x14ac:dyDescent="0.25">
      <c r="A378" s="8"/>
      <c r="B378" s="8"/>
      <c r="C378" s="8"/>
      <c r="D378" s="8"/>
    </row>
    <row r="379" spans="1:4" ht="14.25" customHeight="1" x14ac:dyDescent="0.25">
      <c r="A379" s="8"/>
      <c r="B379" s="8"/>
      <c r="C379" s="8"/>
      <c r="D379" s="8"/>
    </row>
    <row r="380" spans="1:4" ht="14.25" customHeight="1" x14ac:dyDescent="0.25">
      <c r="A380" s="8"/>
      <c r="B380" s="8"/>
      <c r="C380" s="8"/>
      <c r="D380" s="8"/>
    </row>
    <row r="381" spans="1:4" ht="14.25" customHeight="1" x14ac:dyDescent="0.25">
      <c r="A381" s="8"/>
      <c r="B381" s="8"/>
      <c r="C381" s="8"/>
      <c r="D381" s="8"/>
    </row>
    <row r="382" spans="1:4" ht="14.25" customHeight="1" x14ac:dyDescent="0.25">
      <c r="A382" s="8"/>
      <c r="B382" s="8"/>
      <c r="C382" s="8"/>
      <c r="D382" s="8"/>
    </row>
    <row r="383" spans="1:4" ht="14.25" customHeight="1" x14ac:dyDescent="0.25">
      <c r="A383" s="8"/>
      <c r="B383" s="8"/>
      <c r="C383" s="8"/>
      <c r="D383" s="8"/>
    </row>
    <row r="384" spans="1:4" ht="14.25" customHeight="1" x14ac:dyDescent="0.25">
      <c r="A384" s="8"/>
      <c r="B384" s="8"/>
      <c r="C384" s="8"/>
      <c r="D384" s="8"/>
    </row>
    <row r="385" spans="1:4" ht="14.25" customHeight="1" x14ac:dyDescent="0.25">
      <c r="A385" s="8"/>
      <c r="B385" s="8"/>
      <c r="C385" s="8"/>
      <c r="D385" s="8"/>
    </row>
    <row r="386" spans="1:4" ht="14.25" customHeight="1" x14ac:dyDescent="0.25">
      <c r="A386" s="8"/>
      <c r="B386" s="8"/>
      <c r="C386" s="8"/>
      <c r="D386" s="8"/>
    </row>
    <row r="387" spans="1:4" ht="14.25" customHeight="1" x14ac:dyDescent="0.25">
      <c r="A387" s="8"/>
      <c r="B387" s="8"/>
      <c r="C387" s="8"/>
      <c r="D387" s="8"/>
    </row>
    <row r="388" spans="1:4" ht="14.25" customHeight="1" x14ac:dyDescent="0.25">
      <c r="A388" s="8"/>
      <c r="B388" s="8"/>
      <c r="C388" s="8"/>
      <c r="D388" s="8"/>
    </row>
    <row r="389" spans="1:4" ht="14.25" customHeight="1" x14ac:dyDescent="0.25">
      <c r="A389" s="8"/>
      <c r="B389" s="8"/>
      <c r="C389" s="8"/>
      <c r="D389" s="8"/>
    </row>
    <row r="390" spans="1:4" ht="14.25" customHeight="1" x14ac:dyDescent="0.25">
      <c r="A390" s="8"/>
      <c r="B390" s="8"/>
      <c r="C390" s="8"/>
      <c r="D390" s="8"/>
    </row>
    <row r="391" spans="1:4" ht="14.25" customHeight="1" x14ac:dyDescent="0.25">
      <c r="A391" s="8"/>
      <c r="B391" s="8"/>
      <c r="C391" s="8"/>
      <c r="D391" s="8"/>
    </row>
    <row r="392" spans="1:4" ht="14.25" customHeight="1" x14ac:dyDescent="0.25">
      <c r="A392" s="8"/>
      <c r="B392" s="8"/>
      <c r="C392" s="8"/>
      <c r="D392" s="8"/>
    </row>
    <row r="393" spans="1:4" ht="14.25" customHeight="1" x14ac:dyDescent="0.25">
      <c r="A393" s="8"/>
      <c r="B393" s="8"/>
      <c r="C393" s="8"/>
      <c r="D393" s="8"/>
    </row>
    <row r="394" spans="1:4" ht="14.25" customHeight="1" x14ac:dyDescent="0.25">
      <c r="A394" s="8"/>
      <c r="B394" s="8"/>
      <c r="C394" s="8"/>
      <c r="D394" s="8"/>
    </row>
    <row r="395" spans="1:4" ht="14.25" customHeight="1" x14ac:dyDescent="0.25">
      <c r="A395" s="8"/>
      <c r="B395" s="8"/>
      <c r="C395" s="8"/>
      <c r="D395" s="8"/>
    </row>
    <row r="396" spans="1:4" ht="14.25" customHeight="1" x14ac:dyDescent="0.25">
      <c r="A396" s="8"/>
      <c r="B396" s="8"/>
      <c r="C396" s="8"/>
      <c r="D396" s="8"/>
    </row>
    <row r="397" spans="1:4" ht="14.25" customHeight="1" x14ac:dyDescent="0.25">
      <c r="A397" s="8"/>
      <c r="B397" s="8"/>
      <c r="C397" s="8"/>
      <c r="D397" s="8"/>
    </row>
    <row r="398" spans="1:4" ht="14.25" customHeight="1" x14ac:dyDescent="0.25">
      <c r="A398" s="8"/>
      <c r="B398" s="8"/>
      <c r="C398" s="8"/>
      <c r="D398" s="8"/>
    </row>
    <row r="399" spans="1:4" ht="14.25" customHeight="1" x14ac:dyDescent="0.25">
      <c r="A399" s="8"/>
      <c r="B399" s="8"/>
      <c r="C399" s="8"/>
      <c r="D399" s="8"/>
    </row>
    <row r="400" spans="1:4" ht="14.25" customHeight="1" x14ac:dyDescent="0.25">
      <c r="A400" s="8"/>
      <c r="B400" s="8"/>
      <c r="C400" s="8"/>
      <c r="D400" s="8"/>
    </row>
    <row r="401" spans="1:4" ht="14.25" customHeight="1" x14ac:dyDescent="0.25">
      <c r="A401" s="8"/>
      <c r="B401" s="8"/>
      <c r="C401" s="8"/>
      <c r="D401" s="8"/>
    </row>
    <row r="402" spans="1:4" ht="14.25" customHeight="1" x14ac:dyDescent="0.25">
      <c r="A402" s="8"/>
      <c r="B402" s="8"/>
      <c r="C402" s="8"/>
      <c r="D402" s="8"/>
    </row>
    <row r="403" spans="1:4" ht="14.25" customHeight="1" x14ac:dyDescent="0.25">
      <c r="A403" s="8"/>
      <c r="B403" s="8"/>
      <c r="C403" s="8"/>
      <c r="D403" s="8"/>
    </row>
    <row r="404" spans="1:4" ht="14.25" customHeight="1" x14ac:dyDescent="0.25">
      <c r="A404" s="8"/>
      <c r="B404" s="8"/>
      <c r="C404" s="8"/>
      <c r="D404" s="8"/>
    </row>
    <row r="405" spans="1:4" ht="14.25" customHeight="1" x14ac:dyDescent="0.25">
      <c r="A405" s="8"/>
      <c r="B405" s="8"/>
      <c r="C405" s="8"/>
      <c r="D405" s="8"/>
    </row>
    <row r="406" spans="1:4" ht="14.25" customHeight="1" x14ac:dyDescent="0.25">
      <c r="A406" s="8"/>
      <c r="B406" s="8"/>
      <c r="C406" s="8"/>
      <c r="D406" s="8"/>
    </row>
    <row r="407" spans="1:4" ht="14.25" customHeight="1" x14ac:dyDescent="0.25">
      <c r="A407" s="8"/>
      <c r="B407" s="8"/>
      <c r="C407" s="8"/>
      <c r="D407" s="8"/>
    </row>
    <row r="408" spans="1:4" ht="14.25" customHeight="1" x14ac:dyDescent="0.25">
      <c r="A408" s="8"/>
      <c r="B408" s="8"/>
      <c r="C408" s="8"/>
      <c r="D408" s="8"/>
    </row>
    <row r="409" spans="1:4" ht="14.25" customHeight="1" x14ac:dyDescent="0.25">
      <c r="A409" s="8"/>
      <c r="B409" s="8"/>
      <c r="C409" s="8"/>
      <c r="D409" s="8"/>
    </row>
    <row r="410" spans="1:4" ht="14.25" customHeight="1" x14ac:dyDescent="0.25">
      <c r="A410" s="8"/>
      <c r="B410" s="8"/>
      <c r="C410" s="8"/>
      <c r="D410" s="8"/>
    </row>
    <row r="411" spans="1:4" ht="14.25" customHeight="1" x14ac:dyDescent="0.25">
      <c r="A411" s="8"/>
      <c r="B411" s="8"/>
      <c r="C411" s="8"/>
      <c r="D411" s="8"/>
    </row>
    <row r="412" spans="1:4" ht="14.25" customHeight="1" x14ac:dyDescent="0.25">
      <c r="A412" s="8"/>
      <c r="B412" s="8"/>
      <c r="C412" s="8"/>
      <c r="D412" s="8"/>
    </row>
    <row r="413" spans="1:4" ht="14.25" customHeight="1" x14ac:dyDescent="0.25">
      <c r="A413" s="8"/>
      <c r="B413" s="8"/>
      <c r="C413" s="8"/>
      <c r="D413" s="8"/>
    </row>
    <row r="414" spans="1:4" ht="14.25" customHeight="1" x14ac:dyDescent="0.25">
      <c r="A414" s="8"/>
      <c r="B414" s="8"/>
      <c r="C414" s="8"/>
      <c r="D414" s="8"/>
    </row>
    <row r="415" spans="1:4" ht="14.25" customHeight="1" x14ac:dyDescent="0.25">
      <c r="A415" s="8"/>
      <c r="B415" s="8"/>
      <c r="C415" s="8"/>
      <c r="D415" s="8"/>
    </row>
    <row r="416" spans="1:4" ht="14.25" customHeight="1" x14ac:dyDescent="0.25">
      <c r="A416" s="8"/>
      <c r="B416" s="8"/>
      <c r="C416" s="8"/>
      <c r="D416" s="8"/>
    </row>
    <row r="417" spans="1:4" ht="14.25" customHeight="1" x14ac:dyDescent="0.25">
      <c r="A417" s="8"/>
      <c r="B417" s="8"/>
      <c r="C417" s="8"/>
      <c r="D417" s="8"/>
    </row>
    <row r="418" spans="1:4" ht="14.25" customHeight="1" x14ac:dyDescent="0.25">
      <c r="A418" s="8"/>
      <c r="B418" s="8"/>
      <c r="C418" s="8"/>
      <c r="D418" s="8"/>
    </row>
    <row r="419" spans="1:4" ht="14.25" customHeight="1" x14ac:dyDescent="0.25">
      <c r="A419" s="8"/>
      <c r="B419" s="8"/>
      <c r="C419" s="8"/>
      <c r="D419" s="8"/>
    </row>
    <row r="420" spans="1:4" ht="14.25" customHeight="1" x14ac:dyDescent="0.25">
      <c r="A420" s="8"/>
      <c r="B420" s="8"/>
      <c r="C420" s="8"/>
      <c r="D420" s="8"/>
    </row>
    <row r="421" spans="1:4" ht="14.25" customHeight="1" x14ac:dyDescent="0.25">
      <c r="A421" s="8"/>
      <c r="B421" s="8"/>
      <c r="C421" s="8"/>
      <c r="D421" s="8"/>
    </row>
    <row r="422" spans="1:4" ht="14.25" customHeight="1" x14ac:dyDescent="0.25">
      <c r="A422" s="8"/>
      <c r="B422" s="8"/>
      <c r="C422" s="8"/>
      <c r="D422" s="8"/>
    </row>
    <row r="423" spans="1:4" ht="14.25" customHeight="1" x14ac:dyDescent="0.25">
      <c r="A423" s="8"/>
      <c r="B423" s="8"/>
      <c r="C423" s="8"/>
      <c r="D423" s="8"/>
    </row>
    <row r="424" spans="1:4" ht="14.25" customHeight="1" x14ac:dyDescent="0.25">
      <c r="A424" s="8"/>
      <c r="B424" s="8"/>
      <c r="C424" s="8"/>
      <c r="D424" s="8"/>
    </row>
    <row r="425" spans="1:4" ht="14.25" customHeight="1" x14ac:dyDescent="0.25">
      <c r="A425" s="8"/>
      <c r="B425" s="8"/>
      <c r="C425" s="8"/>
      <c r="D425" s="8"/>
    </row>
    <row r="426" spans="1:4" ht="14.25" customHeight="1" x14ac:dyDescent="0.25">
      <c r="A426" s="8"/>
      <c r="B426" s="8"/>
      <c r="C426" s="8"/>
      <c r="D426" s="8"/>
    </row>
    <row r="427" spans="1:4" ht="14.25" customHeight="1" x14ac:dyDescent="0.25">
      <c r="A427" s="8"/>
      <c r="B427" s="8"/>
      <c r="C427" s="8"/>
      <c r="D427" s="8"/>
    </row>
    <row r="428" spans="1:4" ht="14.25" customHeight="1" x14ac:dyDescent="0.25">
      <c r="A428" s="8"/>
      <c r="B428" s="8"/>
      <c r="C428" s="8"/>
      <c r="D428" s="8"/>
    </row>
    <row r="429" spans="1:4" ht="14.25" customHeight="1" x14ac:dyDescent="0.25">
      <c r="A429" s="8"/>
      <c r="B429" s="8"/>
      <c r="C429" s="8"/>
      <c r="D429" s="8"/>
    </row>
    <row r="430" spans="1:4" ht="14.25" customHeight="1" x14ac:dyDescent="0.25">
      <c r="A430" s="8"/>
      <c r="B430" s="8"/>
      <c r="C430" s="8"/>
      <c r="D430" s="8"/>
    </row>
    <row r="431" spans="1:4" ht="14.25" customHeight="1" x14ac:dyDescent="0.25">
      <c r="A431" s="8"/>
      <c r="B431" s="8"/>
      <c r="C431" s="8"/>
      <c r="D431" s="8"/>
    </row>
    <row r="432" spans="1:4" ht="14.25" customHeight="1" x14ac:dyDescent="0.25">
      <c r="A432" s="8"/>
      <c r="B432" s="8"/>
      <c r="C432" s="8"/>
      <c r="D432" s="8"/>
    </row>
    <row r="433" spans="1:4" ht="14.25" customHeight="1" x14ac:dyDescent="0.25">
      <c r="A433" s="8"/>
      <c r="B433" s="8"/>
      <c r="C433" s="8"/>
      <c r="D433" s="8"/>
    </row>
    <row r="434" spans="1:4" ht="14.25" customHeight="1" x14ac:dyDescent="0.25">
      <c r="A434" s="8"/>
      <c r="B434" s="8"/>
      <c r="C434" s="8"/>
      <c r="D434" s="8"/>
    </row>
    <row r="435" spans="1:4" ht="14.25" customHeight="1" x14ac:dyDescent="0.25">
      <c r="A435" s="8"/>
      <c r="B435" s="8"/>
      <c r="C435" s="8"/>
      <c r="D435" s="8"/>
    </row>
    <row r="436" spans="1:4" ht="14.25" customHeight="1" x14ac:dyDescent="0.25">
      <c r="A436" s="8"/>
      <c r="B436" s="8"/>
      <c r="C436" s="8"/>
      <c r="D436" s="8"/>
    </row>
    <row r="437" spans="1:4" ht="14.25" customHeight="1" x14ac:dyDescent="0.25">
      <c r="A437" s="8"/>
      <c r="B437" s="8"/>
      <c r="C437" s="8"/>
      <c r="D437" s="8"/>
    </row>
    <row r="438" spans="1:4" ht="14.25" customHeight="1" x14ac:dyDescent="0.25">
      <c r="A438" s="8"/>
      <c r="B438" s="8"/>
      <c r="C438" s="8"/>
      <c r="D438" s="8"/>
    </row>
    <row r="439" spans="1:4" ht="14.25" customHeight="1" x14ac:dyDescent="0.25">
      <c r="A439" s="8"/>
      <c r="B439" s="8"/>
      <c r="C439" s="8"/>
      <c r="D439" s="8"/>
    </row>
    <row r="440" spans="1:4" ht="14.25" customHeight="1" x14ac:dyDescent="0.25">
      <c r="A440" s="8"/>
      <c r="B440" s="8"/>
      <c r="C440" s="8"/>
      <c r="D440" s="8"/>
    </row>
    <row r="441" spans="1:4" ht="14.25" customHeight="1" x14ac:dyDescent="0.25">
      <c r="A441" s="8"/>
      <c r="B441" s="8"/>
      <c r="C441" s="8"/>
      <c r="D441" s="8"/>
    </row>
    <row r="442" spans="1:4" ht="14.25" customHeight="1" x14ac:dyDescent="0.25">
      <c r="A442" s="8"/>
      <c r="B442" s="8"/>
      <c r="C442" s="8"/>
      <c r="D442" s="8"/>
    </row>
    <row r="443" spans="1:4" ht="14.25" customHeight="1" x14ac:dyDescent="0.25">
      <c r="A443" s="8"/>
      <c r="B443" s="8"/>
      <c r="C443" s="8"/>
      <c r="D443" s="8"/>
    </row>
    <row r="444" spans="1:4" ht="14.25" customHeight="1" x14ac:dyDescent="0.25">
      <c r="A444" s="8"/>
      <c r="B444" s="8"/>
      <c r="C444" s="8"/>
      <c r="D444" s="8"/>
    </row>
    <row r="445" spans="1:4" ht="14.25" customHeight="1" x14ac:dyDescent="0.25">
      <c r="A445" s="8"/>
      <c r="B445" s="8"/>
      <c r="C445" s="8"/>
      <c r="D445" s="8"/>
    </row>
    <row r="446" spans="1:4" ht="14.25" customHeight="1" x14ac:dyDescent="0.25">
      <c r="A446" s="8"/>
      <c r="B446" s="8"/>
      <c r="C446" s="8"/>
      <c r="D446" s="8"/>
    </row>
    <row r="447" spans="1:4" ht="14.25" customHeight="1" x14ac:dyDescent="0.25">
      <c r="A447" s="8"/>
      <c r="B447" s="8"/>
      <c r="C447" s="8"/>
      <c r="D447" s="8"/>
    </row>
    <row r="448" spans="1:4" ht="14.25" customHeight="1" x14ac:dyDescent="0.25">
      <c r="A448" s="8"/>
      <c r="B448" s="8"/>
      <c r="C448" s="8"/>
      <c r="D448" s="8"/>
    </row>
    <row r="449" spans="1:4" ht="14.25" customHeight="1" x14ac:dyDescent="0.25">
      <c r="A449" s="8"/>
      <c r="B449" s="8"/>
      <c r="C449" s="8"/>
      <c r="D449" s="8"/>
    </row>
    <row r="450" spans="1:4" ht="14.25" customHeight="1" x14ac:dyDescent="0.25">
      <c r="A450" s="8"/>
      <c r="B450" s="8"/>
      <c r="C450" s="8"/>
      <c r="D450" s="8"/>
    </row>
    <row r="451" spans="1:4" ht="14.25" customHeight="1" x14ac:dyDescent="0.25">
      <c r="A451" s="8"/>
      <c r="B451" s="8"/>
      <c r="C451" s="8"/>
      <c r="D451" s="8"/>
    </row>
    <row r="452" spans="1:4" ht="14.25" customHeight="1" x14ac:dyDescent="0.25">
      <c r="A452" s="8"/>
      <c r="B452" s="8"/>
      <c r="C452" s="8"/>
      <c r="D452" s="8"/>
    </row>
    <row r="453" spans="1:4" ht="14.25" customHeight="1" x14ac:dyDescent="0.25">
      <c r="A453" s="8"/>
      <c r="B453" s="8"/>
      <c r="C453" s="8"/>
      <c r="D453" s="8"/>
    </row>
    <row r="454" spans="1:4" ht="14.25" customHeight="1" x14ac:dyDescent="0.25">
      <c r="A454" s="8"/>
      <c r="B454" s="8"/>
      <c r="C454" s="8"/>
      <c r="D454" s="8"/>
    </row>
    <row r="455" spans="1:4" ht="14.25" customHeight="1" x14ac:dyDescent="0.25">
      <c r="A455" s="8"/>
      <c r="B455" s="8"/>
      <c r="C455" s="8"/>
      <c r="D455" s="8"/>
    </row>
    <row r="456" spans="1:4" ht="14.25" customHeight="1" x14ac:dyDescent="0.25">
      <c r="A456" s="8"/>
      <c r="B456" s="8"/>
      <c r="C456" s="8"/>
      <c r="D456" s="8"/>
    </row>
    <row r="457" spans="1:4" ht="14.25" customHeight="1" x14ac:dyDescent="0.25">
      <c r="A457" s="8"/>
      <c r="B457" s="8"/>
      <c r="C457" s="8"/>
      <c r="D457" s="8"/>
    </row>
    <row r="458" spans="1:4" ht="14.25" customHeight="1" x14ac:dyDescent="0.25">
      <c r="A458" s="8"/>
      <c r="B458" s="8"/>
      <c r="C458" s="8"/>
      <c r="D458" s="8"/>
    </row>
    <row r="459" spans="1:4" ht="14.25" customHeight="1" x14ac:dyDescent="0.25">
      <c r="A459" s="8"/>
      <c r="B459" s="8"/>
      <c r="C459" s="8"/>
      <c r="D459" s="8"/>
    </row>
    <row r="460" spans="1:4" ht="14.25" customHeight="1" x14ac:dyDescent="0.25">
      <c r="A460" s="8"/>
      <c r="B460" s="8"/>
      <c r="C460" s="8"/>
      <c r="D460" s="8"/>
    </row>
    <row r="461" spans="1:4" ht="14.25" customHeight="1" x14ac:dyDescent="0.25">
      <c r="A461" s="8"/>
      <c r="B461" s="8"/>
      <c r="C461" s="8"/>
      <c r="D461" s="8"/>
    </row>
    <row r="462" spans="1:4" ht="14.25" customHeight="1" x14ac:dyDescent="0.25">
      <c r="A462" s="8"/>
      <c r="B462" s="8"/>
      <c r="C462" s="8"/>
      <c r="D462" s="8"/>
    </row>
    <row r="463" spans="1:4" ht="14.25" customHeight="1" x14ac:dyDescent="0.25">
      <c r="A463" s="8"/>
      <c r="B463" s="8"/>
      <c r="C463" s="8"/>
      <c r="D463" s="8"/>
    </row>
    <row r="464" spans="1:4" ht="14.25" customHeight="1" x14ac:dyDescent="0.25">
      <c r="A464" s="8"/>
      <c r="B464" s="8"/>
      <c r="C464" s="8"/>
      <c r="D464" s="8"/>
    </row>
    <row r="465" spans="1:4" ht="14.25" customHeight="1" x14ac:dyDescent="0.25">
      <c r="A465" s="8"/>
      <c r="B465" s="8"/>
      <c r="C465" s="8"/>
      <c r="D465" s="8"/>
    </row>
    <row r="466" spans="1:4" ht="14.25" customHeight="1" x14ac:dyDescent="0.25">
      <c r="A466" s="8"/>
      <c r="B466" s="8"/>
      <c r="C466" s="8"/>
      <c r="D466" s="8"/>
    </row>
    <row r="467" spans="1:4" ht="14.25" customHeight="1" x14ac:dyDescent="0.25">
      <c r="A467" s="8"/>
      <c r="B467" s="8"/>
      <c r="C467" s="8"/>
      <c r="D467" s="8"/>
    </row>
    <row r="468" spans="1:4" ht="14.25" customHeight="1" x14ac:dyDescent="0.25">
      <c r="A468" s="8"/>
      <c r="B468" s="8"/>
      <c r="C468" s="8"/>
      <c r="D468" s="8"/>
    </row>
    <row r="469" spans="1:4" ht="14.25" customHeight="1" x14ac:dyDescent="0.25">
      <c r="A469" s="8"/>
      <c r="B469" s="8"/>
      <c r="C469" s="8"/>
      <c r="D469" s="8"/>
    </row>
    <row r="470" spans="1:4" ht="14.25" customHeight="1" x14ac:dyDescent="0.25">
      <c r="A470" s="8"/>
      <c r="B470" s="8"/>
      <c r="C470" s="8"/>
      <c r="D470" s="8"/>
    </row>
    <row r="471" spans="1:4" ht="14.25" customHeight="1" x14ac:dyDescent="0.25">
      <c r="A471" s="8"/>
      <c r="B471" s="8"/>
      <c r="C471" s="8"/>
      <c r="D471" s="8"/>
    </row>
    <row r="472" spans="1:4" ht="14.25" customHeight="1" x14ac:dyDescent="0.25">
      <c r="A472" s="8"/>
      <c r="B472" s="8"/>
      <c r="C472" s="8"/>
      <c r="D472" s="8"/>
    </row>
    <row r="473" spans="1:4" ht="14.25" customHeight="1" x14ac:dyDescent="0.25">
      <c r="A473" s="8"/>
      <c r="B473" s="8"/>
      <c r="C473" s="8"/>
      <c r="D473" s="8"/>
    </row>
    <row r="474" spans="1:4" ht="14.25" customHeight="1" x14ac:dyDescent="0.25">
      <c r="A474" s="8"/>
      <c r="B474" s="8"/>
      <c r="C474" s="8"/>
      <c r="D474" s="8"/>
    </row>
    <row r="475" spans="1:4" ht="14.25" customHeight="1" x14ac:dyDescent="0.25">
      <c r="A475" s="8"/>
      <c r="B475" s="8"/>
      <c r="C475" s="8"/>
      <c r="D475" s="8"/>
    </row>
    <row r="476" spans="1:4" ht="14.25" customHeight="1" x14ac:dyDescent="0.25">
      <c r="A476" s="8"/>
      <c r="B476" s="8"/>
      <c r="C476" s="8"/>
      <c r="D476" s="8"/>
    </row>
    <row r="477" spans="1:4" ht="14.25" customHeight="1" x14ac:dyDescent="0.25">
      <c r="A477" s="8"/>
      <c r="B477" s="8"/>
      <c r="C477" s="8"/>
      <c r="D477" s="8"/>
    </row>
    <row r="478" spans="1:4" ht="14.25" customHeight="1" x14ac:dyDescent="0.25">
      <c r="A478" s="8"/>
      <c r="B478" s="8"/>
      <c r="C478" s="8"/>
      <c r="D478" s="8"/>
    </row>
    <row r="479" spans="1:4" ht="14.25" customHeight="1" x14ac:dyDescent="0.25">
      <c r="A479" s="8"/>
      <c r="B479" s="8"/>
      <c r="C479" s="8"/>
      <c r="D479" s="8"/>
    </row>
    <row r="480" spans="1:4" ht="14.25" customHeight="1" x14ac:dyDescent="0.25">
      <c r="A480" s="8"/>
      <c r="B480" s="8"/>
      <c r="C480" s="8"/>
      <c r="D480" s="8"/>
    </row>
    <row r="481" spans="1:4" ht="14.25" customHeight="1" x14ac:dyDescent="0.25">
      <c r="A481" s="8"/>
      <c r="B481" s="8"/>
      <c r="C481" s="8"/>
      <c r="D481" s="8"/>
    </row>
    <row r="482" spans="1:4" ht="14.25" customHeight="1" x14ac:dyDescent="0.25">
      <c r="A482" s="8"/>
      <c r="B482" s="8"/>
      <c r="C482" s="8"/>
      <c r="D482" s="8"/>
    </row>
    <row r="483" spans="1:4" ht="14.25" customHeight="1" x14ac:dyDescent="0.25">
      <c r="A483" s="8"/>
      <c r="B483" s="8"/>
      <c r="C483" s="8"/>
      <c r="D483" s="8"/>
    </row>
    <row r="484" spans="1:4" ht="14.25" customHeight="1" x14ac:dyDescent="0.25">
      <c r="A484" s="8"/>
      <c r="B484" s="8"/>
      <c r="C484" s="8"/>
      <c r="D484" s="8"/>
    </row>
    <row r="485" spans="1:4" ht="14.25" customHeight="1" x14ac:dyDescent="0.25">
      <c r="A485" s="8"/>
      <c r="B485" s="8"/>
      <c r="C485" s="8"/>
      <c r="D485" s="8"/>
    </row>
    <row r="486" spans="1:4" ht="14.25" customHeight="1" x14ac:dyDescent="0.25">
      <c r="A486" s="8"/>
      <c r="B486" s="8"/>
      <c r="C486" s="8"/>
      <c r="D486" s="8"/>
    </row>
    <row r="487" spans="1:4" ht="14.25" customHeight="1" x14ac:dyDescent="0.25">
      <c r="A487" s="8"/>
      <c r="B487" s="8"/>
      <c r="C487" s="8"/>
      <c r="D487" s="8"/>
    </row>
    <row r="488" spans="1:4" ht="14.25" customHeight="1" x14ac:dyDescent="0.25">
      <c r="A488" s="8"/>
      <c r="B488" s="8"/>
      <c r="C488" s="8"/>
      <c r="D488" s="8"/>
    </row>
    <row r="489" spans="1:4" ht="14.25" customHeight="1" x14ac:dyDescent="0.25">
      <c r="A489" s="8"/>
      <c r="B489" s="8"/>
      <c r="C489" s="8"/>
      <c r="D489" s="8"/>
    </row>
    <row r="490" spans="1:4" ht="14.25" customHeight="1" x14ac:dyDescent="0.25">
      <c r="A490" s="8"/>
      <c r="B490" s="8"/>
      <c r="C490" s="8"/>
      <c r="D490" s="8"/>
    </row>
    <row r="491" spans="1:4" ht="14.25" customHeight="1" x14ac:dyDescent="0.25">
      <c r="A491" s="8"/>
      <c r="B491" s="8"/>
      <c r="C491" s="8"/>
      <c r="D491" s="8"/>
    </row>
    <row r="492" spans="1:4" ht="14.25" customHeight="1" x14ac:dyDescent="0.25">
      <c r="A492" s="8"/>
      <c r="B492" s="8"/>
      <c r="C492" s="8"/>
      <c r="D492" s="8"/>
    </row>
    <row r="493" spans="1:4" ht="14.25" customHeight="1" x14ac:dyDescent="0.25">
      <c r="A493" s="8"/>
      <c r="B493" s="8"/>
      <c r="C493" s="8"/>
      <c r="D493" s="8"/>
    </row>
    <row r="494" spans="1:4" ht="14.25" customHeight="1" x14ac:dyDescent="0.25">
      <c r="A494" s="8"/>
      <c r="B494" s="8"/>
      <c r="C494" s="8"/>
      <c r="D494" s="8"/>
    </row>
    <row r="495" spans="1:4" ht="14.25" customHeight="1" x14ac:dyDescent="0.25">
      <c r="A495" s="8"/>
      <c r="B495" s="8"/>
      <c r="C495" s="8"/>
      <c r="D495" s="8"/>
    </row>
    <row r="496" spans="1:4" ht="14.25" customHeight="1" x14ac:dyDescent="0.25">
      <c r="A496" s="8"/>
      <c r="B496" s="8"/>
      <c r="C496" s="8"/>
      <c r="D496" s="8"/>
    </row>
    <row r="497" spans="1:4" ht="14.25" customHeight="1" x14ac:dyDescent="0.25">
      <c r="A497" s="8"/>
      <c r="B497" s="8"/>
      <c r="C497" s="8"/>
      <c r="D497" s="8"/>
    </row>
    <row r="498" spans="1:4" ht="14.25" customHeight="1" x14ac:dyDescent="0.25">
      <c r="A498" s="8"/>
      <c r="B498" s="8"/>
      <c r="C498" s="8"/>
      <c r="D498" s="8"/>
    </row>
    <row r="499" spans="1:4" ht="14.25" customHeight="1" x14ac:dyDescent="0.25">
      <c r="A499" s="8"/>
      <c r="B499" s="8"/>
      <c r="C499" s="8"/>
      <c r="D499" s="8"/>
    </row>
    <row r="500" spans="1:4" ht="14.25" customHeight="1" x14ac:dyDescent="0.25">
      <c r="A500" s="8"/>
      <c r="B500" s="8"/>
      <c r="C500" s="8"/>
      <c r="D500" s="8"/>
    </row>
    <row r="501" spans="1:4" ht="14.25" customHeight="1" x14ac:dyDescent="0.25">
      <c r="A501" s="8"/>
      <c r="B501" s="8"/>
      <c r="C501" s="8"/>
      <c r="D501" s="8"/>
    </row>
    <row r="502" spans="1:4" ht="14.25" customHeight="1" x14ac:dyDescent="0.25">
      <c r="A502" s="8"/>
      <c r="B502" s="8"/>
      <c r="C502" s="8"/>
      <c r="D502" s="8"/>
    </row>
    <row r="503" spans="1:4" ht="14.25" customHeight="1" x14ac:dyDescent="0.25">
      <c r="A503" s="8"/>
      <c r="B503" s="8"/>
      <c r="C503" s="8"/>
      <c r="D503" s="8"/>
    </row>
    <row r="504" spans="1:4" ht="14.25" customHeight="1" x14ac:dyDescent="0.25">
      <c r="A504" s="8"/>
      <c r="B504" s="8"/>
      <c r="C504" s="8"/>
      <c r="D504" s="8"/>
    </row>
    <row r="505" spans="1:4" ht="14.25" customHeight="1" x14ac:dyDescent="0.25">
      <c r="A505" s="8"/>
      <c r="B505" s="8"/>
      <c r="C505" s="8"/>
      <c r="D505" s="8"/>
    </row>
    <row r="506" spans="1:4" ht="14.25" customHeight="1" x14ac:dyDescent="0.25">
      <c r="A506" s="8"/>
      <c r="B506" s="8"/>
      <c r="C506" s="8"/>
      <c r="D506" s="8"/>
    </row>
    <row r="507" spans="1:4" ht="14.25" customHeight="1" x14ac:dyDescent="0.25">
      <c r="A507" s="8"/>
      <c r="B507" s="8"/>
      <c r="C507" s="8"/>
      <c r="D507" s="8"/>
    </row>
    <row r="508" spans="1:4" ht="14.25" customHeight="1" x14ac:dyDescent="0.25">
      <c r="A508" s="8"/>
      <c r="B508" s="8"/>
      <c r="C508" s="8"/>
      <c r="D508" s="8"/>
    </row>
    <row r="509" spans="1:4" ht="14.25" customHeight="1" x14ac:dyDescent="0.25">
      <c r="A509" s="8"/>
      <c r="B509" s="8"/>
      <c r="C509" s="8"/>
      <c r="D509" s="8"/>
    </row>
    <row r="510" spans="1:4" ht="14.25" customHeight="1" x14ac:dyDescent="0.25">
      <c r="A510" s="8"/>
      <c r="B510" s="8"/>
      <c r="C510" s="8"/>
      <c r="D510" s="8"/>
    </row>
    <row r="511" spans="1:4" ht="14.25" customHeight="1" x14ac:dyDescent="0.25">
      <c r="A511" s="8"/>
      <c r="B511" s="8"/>
      <c r="C511" s="8"/>
      <c r="D511" s="8"/>
    </row>
    <row r="512" spans="1:4" ht="14.25" customHeight="1" x14ac:dyDescent="0.25">
      <c r="A512" s="8"/>
      <c r="B512" s="8"/>
      <c r="C512" s="8"/>
      <c r="D512" s="8"/>
    </row>
    <row r="513" spans="1:4" ht="14.25" customHeight="1" x14ac:dyDescent="0.25">
      <c r="A513" s="8"/>
      <c r="B513" s="8"/>
      <c r="C513" s="8"/>
      <c r="D513" s="8"/>
    </row>
    <row r="514" spans="1:4" ht="14.25" customHeight="1" x14ac:dyDescent="0.25">
      <c r="A514" s="8"/>
      <c r="B514" s="8"/>
      <c r="C514" s="8"/>
      <c r="D514" s="8"/>
    </row>
    <row r="515" spans="1:4" ht="14.25" customHeight="1" x14ac:dyDescent="0.25">
      <c r="A515" s="8"/>
      <c r="B515" s="8"/>
      <c r="C515" s="8"/>
      <c r="D515" s="8"/>
    </row>
    <row r="516" spans="1:4" ht="14.25" customHeight="1" x14ac:dyDescent="0.25">
      <c r="A516" s="8"/>
      <c r="B516" s="8"/>
      <c r="C516" s="8"/>
      <c r="D516" s="8"/>
    </row>
    <row r="517" spans="1:4" ht="14.25" customHeight="1" x14ac:dyDescent="0.25">
      <c r="A517" s="8"/>
      <c r="B517" s="8"/>
      <c r="C517" s="8"/>
      <c r="D517" s="8"/>
    </row>
    <row r="518" spans="1:4" ht="14.25" customHeight="1" x14ac:dyDescent="0.25">
      <c r="A518" s="8"/>
      <c r="B518" s="8"/>
      <c r="C518" s="8"/>
      <c r="D518" s="8"/>
    </row>
    <row r="519" spans="1:4" ht="14.25" customHeight="1" x14ac:dyDescent="0.25">
      <c r="A519" s="8"/>
      <c r="B519" s="8"/>
      <c r="C519" s="8"/>
      <c r="D519" s="8"/>
    </row>
    <row r="520" spans="1:4" ht="14.25" customHeight="1" x14ac:dyDescent="0.25">
      <c r="A520" s="8"/>
      <c r="B520" s="8"/>
      <c r="C520" s="8"/>
      <c r="D520" s="8"/>
    </row>
    <row r="521" spans="1:4" ht="14.25" customHeight="1" x14ac:dyDescent="0.25">
      <c r="A521" s="8"/>
      <c r="B521" s="8"/>
      <c r="C521" s="8"/>
      <c r="D521" s="8"/>
    </row>
    <row r="522" spans="1:4" ht="14.25" customHeight="1" x14ac:dyDescent="0.25">
      <c r="A522" s="8"/>
      <c r="B522" s="8"/>
      <c r="C522" s="8"/>
      <c r="D522" s="8"/>
    </row>
    <row r="523" spans="1:4" ht="14.25" customHeight="1" x14ac:dyDescent="0.25">
      <c r="A523" s="8"/>
      <c r="B523" s="8"/>
      <c r="C523" s="8"/>
      <c r="D523" s="8"/>
    </row>
    <row r="524" spans="1:4" ht="14.25" customHeight="1" x14ac:dyDescent="0.25">
      <c r="A524" s="8"/>
      <c r="B524" s="8"/>
      <c r="C524" s="8"/>
      <c r="D524" s="8"/>
    </row>
    <row r="525" spans="1:4" ht="14.25" customHeight="1" x14ac:dyDescent="0.25">
      <c r="A525" s="8"/>
      <c r="B525" s="8"/>
      <c r="C525" s="8"/>
      <c r="D525" s="8"/>
    </row>
    <row r="526" spans="1:4" ht="14.25" customHeight="1" x14ac:dyDescent="0.25">
      <c r="A526" s="8"/>
      <c r="B526" s="8"/>
      <c r="C526" s="8"/>
      <c r="D526" s="8"/>
    </row>
    <row r="527" spans="1:4" ht="14.25" customHeight="1" x14ac:dyDescent="0.25">
      <c r="A527" s="8"/>
      <c r="B527" s="8"/>
      <c r="C527" s="8"/>
      <c r="D527" s="8"/>
    </row>
    <row r="528" spans="1:4" ht="14.25" customHeight="1" x14ac:dyDescent="0.25">
      <c r="A528" s="8"/>
      <c r="B528" s="8"/>
      <c r="C528" s="8"/>
      <c r="D528" s="8"/>
    </row>
    <row r="529" spans="1:4" ht="14.25" customHeight="1" x14ac:dyDescent="0.25">
      <c r="A529" s="8"/>
      <c r="B529" s="8"/>
      <c r="C529" s="8"/>
      <c r="D529" s="8"/>
    </row>
    <row r="530" spans="1:4" ht="14.25" customHeight="1" x14ac:dyDescent="0.25">
      <c r="A530" s="8"/>
      <c r="B530" s="8"/>
      <c r="C530" s="8"/>
      <c r="D530" s="8"/>
    </row>
    <row r="531" spans="1:4" ht="14.25" customHeight="1" x14ac:dyDescent="0.25">
      <c r="A531" s="8"/>
      <c r="B531" s="8"/>
      <c r="C531" s="8"/>
      <c r="D531" s="8"/>
    </row>
    <row r="532" spans="1:4" ht="14.25" customHeight="1" x14ac:dyDescent="0.25">
      <c r="A532" s="8"/>
      <c r="B532" s="8"/>
      <c r="C532" s="8"/>
      <c r="D532" s="8"/>
    </row>
    <row r="533" spans="1:4" ht="14.25" customHeight="1" x14ac:dyDescent="0.25">
      <c r="A533" s="8"/>
      <c r="B533" s="8"/>
      <c r="C533" s="8"/>
      <c r="D533" s="8"/>
    </row>
    <row r="534" spans="1:4" ht="14.25" customHeight="1" x14ac:dyDescent="0.25">
      <c r="A534" s="8"/>
      <c r="B534" s="8"/>
      <c r="C534" s="8"/>
      <c r="D534" s="8"/>
    </row>
    <row r="535" spans="1:4" ht="14.25" customHeight="1" x14ac:dyDescent="0.25">
      <c r="A535" s="8"/>
      <c r="B535" s="8"/>
      <c r="C535" s="8"/>
      <c r="D535" s="8"/>
    </row>
    <row r="536" spans="1:4" ht="14.25" customHeight="1" x14ac:dyDescent="0.25">
      <c r="A536" s="8"/>
      <c r="B536" s="8"/>
      <c r="C536" s="8"/>
      <c r="D536" s="8"/>
    </row>
    <row r="537" spans="1:4" ht="14.25" customHeight="1" x14ac:dyDescent="0.25">
      <c r="A537" s="8"/>
      <c r="B537" s="8"/>
      <c r="C537" s="8"/>
      <c r="D537" s="8"/>
    </row>
    <row r="538" spans="1:4" ht="14.25" customHeight="1" x14ac:dyDescent="0.25">
      <c r="A538" s="8"/>
      <c r="B538" s="8"/>
      <c r="C538" s="8"/>
      <c r="D538" s="8"/>
    </row>
    <row r="539" spans="1:4" ht="14.25" customHeight="1" x14ac:dyDescent="0.25">
      <c r="A539" s="8"/>
      <c r="B539" s="8"/>
      <c r="C539" s="8"/>
      <c r="D539" s="8"/>
    </row>
    <row r="540" spans="1:4" ht="14.25" customHeight="1" x14ac:dyDescent="0.25">
      <c r="A540" s="8"/>
      <c r="B540" s="8"/>
      <c r="C540" s="8"/>
      <c r="D540" s="8"/>
    </row>
    <row r="541" spans="1:4" ht="14.25" customHeight="1" x14ac:dyDescent="0.25">
      <c r="A541" s="8"/>
      <c r="B541" s="8"/>
      <c r="C541" s="8"/>
      <c r="D541" s="8"/>
    </row>
    <row r="542" spans="1:4" ht="14.25" customHeight="1" x14ac:dyDescent="0.25">
      <c r="A542" s="8"/>
      <c r="B542" s="8"/>
      <c r="C542" s="8"/>
      <c r="D542" s="8"/>
    </row>
    <row r="543" spans="1:4" ht="14.25" customHeight="1" x14ac:dyDescent="0.25">
      <c r="A543" s="8"/>
      <c r="B543" s="8"/>
      <c r="C543" s="8"/>
      <c r="D543" s="8"/>
    </row>
    <row r="544" spans="1:4" ht="14.25" customHeight="1" x14ac:dyDescent="0.25">
      <c r="A544" s="8"/>
      <c r="B544" s="8"/>
      <c r="C544" s="8"/>
      <c r="D544" s="8"/>
    </row>
    <row r="545" spans="1:4" ht="14.25" customHeight="1" x14ac:dyDescent="0.25">
      <c r="A545" s="8"/>
      <c r="B545" s="8"/>
      <c r="C545" s="8"/>
      <c r="D545" s="8"/>
    </row>
    <row r="546" spans="1:4" ht="14.25" customHeight="1" x14ac:dyDescent="0.25">
      <c r="A546" s="8"/>
      <c r="B546" s="8"/>
      <c r="C546" s="8"/>
      <c r="D546" s="8"/>
    </row>
    <row r="547" spans="1:4" ht="14.25" customHeight="1" x14ac:dyDescent="0.25">
      <c r="A547" s="8"/>
      <c r="B547" s="8"/>
      <c r="C547" s="8"/>
      <c r="D547" s="8"/>
    </row>
    <row r="548" spans="1:4" ht="14.25" customHeight="1" x14ac:dyDescent="0.25">
      <c r="A548" s="8"/>
      <c r="B548" s="8"/>
      <c r="C548" s="8"/>
      <c r="D548" s="8"/>
    </row>
    <row r="549" spans="1:4" ht="14.25" customHeight="1" x14ac:dyDescent="0.25">
      <c r="A549" s="8"/>
      <c r="B549" s="8"/>
      <c r="C549" s="8"/>
      <c r="D549" s="8"/>
    </row>
    <row r="550" spans="1:4" ht="14.25" customHeight="1" x14ac:dyDescent="0.25">
      <c r="A550" s="8"/>
      <c r="B550" s="8"/>
      <c r="C550" s="8"/>
      <c r="D550" s="8"/>
    </row>
    <row r="551" spans="1:4" ht="14.25" customHeight="1" x14ac:dyDescent="0.25">
      <c r="A551" s="8"/>
      <c r="B551" s="8"/>
      <c r="C551" s="8"/>
      <c r="D551" s="8"/>
    </row>
    <row r="552" spans="1:4" ht="14.25" customHeight="1" x14ac:dyDescent="0.25">
      <c r="A552" s="8"/>
      <c r="B552" s="8"/>
      <c r="C552" s="8"/>
      <c r="D552" s="8"/>
    </row>
    <row r="553" spans="1:4" ht="14.25" customHeight="1" x14ac:dyDescent="0.25">
      <c r="A553" s="8"/>
      <c r="B553" s="8"/>
      <c r="C553" s="8"/>
      <c r="D553" s="8"/>
    </row>
    <row r="554" spans="1:4" ht="14.25" customHeight="1" x14ac:dyDescent="0.25">
      <c r="A554" s="8"/>
      <c r="B554" s="8"/>
      <c r="C554" s="8"/>
      <c r="D554" s="8"/>
    </row>
    <row r="555" spans="1:4" ht="14.25" customHeight="1" x14ac:dyDescent="0.25">
      <c r="A555" s="8"/>
      <c r="B555" s="8"/>
      <c r="C555" s="8"/>
      <c r="D555" s="8"/>
    </row>
    <row r="556" spans="1:4" ht="14.25" customHeight="1" x14ac:dyDescent="0.25">
      <c r="A556" s="8"/>
      <c r="B556" s="8"/>
      <c r="C556" s="8"/>
      <c r="D556" s="8"/>
    </row>
    <row r="557" spans="1:4" ht="14.25" customHeight="1" x14ac:dyDescent="0.25">
      <c r="A557" s="8"/>
      <c r="B557" s="8"/>
      <c r="C557" s="8"/>
      <c r="D557" s="8"/>
    </row>
    <row r="558" spans="1:4" ht="14.25" customHeight="1" x14ac:dyDescent="0.25">
      <c r="A558" s="8"/>
      <c r="B558" s="8"/>
      <c r="C558" s="8"/>
      <c r="D558" s="8"/>
    </row>
    <row r="559" spans="1:4" ht="14.25" customHeight="1" x14ac:dyDescent="0.25">
      <c r="A559" s="8"/>
      <c r="B559" s="8"/>
      <c r="C559" s="8"/>
      <c r="D559" s="8"/>
    </row>
    <row r="560" spans="1:4" ht="14.25" customHeight="1" x14ac:dyDescent="0.25">
      <c r="A560" s="8"/>
      <c r="B560" s="8"/>
      <c r="C560" s="8"/>
      <c r="D560" s="8"/>
    </row>
    <row r="561" spans="1:4" ht="14.25" customHeight="1" x14ac:dyDescent="0.25">
      <c r="A561" s="8"/>
      <c r="B561" s="8"/>
      <c r="C561" s="8"/>
      <c r="D561" s="8"/>
    </row>
    <row r="562" spans="1:4" ht="14.25" customHeight="1" x14ac:dyDescent="0.25">
      <c r="A562" s="8"/>
      <c r="B562" s="8"/>
      <c r="C562" s="8"/>
      <c r="D562" s="8"/>
    </row>
    <row r="563" spans="1:4" ht="14.25" customHeight="1" x14ac:dyDescent="0.25">
      <c r="A563" s="8"/>
      <c r="B563" s="8"/>
      <c r="C563" s="8"/>
      <c r="D563" s="8"/>
    </row>
    <row r="564" spans="1:4" ht="14.25" customHeight="1" x14ac:dyDescent="0.25">
      <c r="A564" s="8"/>
      <c r="B564" s="8"/>
      <c r="C564" s="8"/>
      <c r="D564" s="8"/>
    </row>
    <row r="565" spans="1:4" ht="14.25" customHeight="1" x14ac:dyDescent="0.25">
      <c r="A565" s="8"/>
      <c r="B565" s="8"/>
      <c r="C565" s="8"/>
      <c r="D565" s="8"/>
    </row>
    <row r="566" spans="1:4" ht="14.25" customHeight="1" x14ac:dyDescent="0.25">
      <c r="A566" s="8"/>
      <c r="B566" s="8"/>
      <c r="C566" s="8"/>
      <c r="D566" s="8"/>
    </row>
    <row r="567" spans="1:4" ht="14.25" customHeight="1" x14ac:dyDescent="0.25">
      <c r="A567" s="8"/>
      <c r="B567" s="8"/>
      <c r="C567" s="8"/>
      <c r="D567" s="8"/>
    </row>
    <row r="568" spans="1:4" ht="14.25" customHeight="1" x14ac:dyDescent="0.25">
      <c r="A568" s="8"/>
      <c r="B568" s="8"/>
      <c r="C568" s="8"/>
      <c r="D568" s="8"/>
    </row>
    <row r="569" spans="1:4" ht="14.25" customHeight="1" x14ac:dyDescent="0.25">
      <c r="A569" s="8"/>
      <c r="B569" s="8"/>
      <c r="C569" s="8"/>
      <c r="D569" s="8"/>
    </row>
    <row r="570" spans="1:4" ht="14.25" customHeight="1" x14ac:dyDescent="0.25">
      <c r="A570" s="8"/>
      <c r="B570" s="8"/>
      <c r="C570" s="8"/>
      <c r="D570" s="8"/>
    </row>
    <row r="571" spans="1:4" ht="14.25" customHeight="1" x14ac:dyDescent="0.25">
      <c r="A571" s="8"/>
      <c r="B571" s="8"/>
      <c r="C571" s="8"/>
      <c r="D571" s="8"/>
    </row>
    <row r="572" spans="1:4" ht="14.25" customHeight="1" x14ac:dyDescent="0.25">
      <c r="A572" s="8"/>
      <c r="B572" s="8"/>
      <c r="C572" s="8"/>
      <c r="D572" s="8"/>
    </row>
    <row r="573" spans="1:4" ht="14.25" customHeight="1" x14ac:dyDescent="0.25">
      <c r="A573" s="8"/>
      <c r="B573" s="8"/>
      <c r="C573" s="8"/>
      <c r="D573" s="8"/>
    </row>
    <row r="574" spans="1:4" ht="14.25" customHeight="1" x14ac:dyDescent="0.25">
      <c r="A574" s="8"/>
      <c r="B574" s="8"/>
      <c r="C574" s="8"/>
      <c r="D574" s="8"/>
    </row>
    <row r="575" spans="1:4" ht="14.25" customHeight="1" x14ac:dyDescent="0.25">
      <c r="A575" s="8"/>
      <c r="B575" s="8"/>
      <c r="C575" s="8"/>
      <c r="D575" s="8"/>
    </row>
    <row r="576" spans="1:4" ht="14.25" customHeight="1" x14ac:dyDescent="0.25">
      <c r="A576" s="8"/>
      <c r="B576" s="8"/>
      <c r="C576" s="8"/>
      <c r="D576" s="8"/>
    </row>
    <row r="577" spans="1:4" ht="14.25" customHeight="1" x14ac:dyDescent="0.25">
      <c r="A577" s="8"/>
      <c r="B577" s="8"/>
      <c r="C577" s="8"/>
      <c r="D577" s="8"/>
    </row>
    <row r="578" spans="1:4" ht="14.25" customHeight="1" x14ac:dyDescent="0.25">
      <c r="A578" s="8"/>
      <c r="B578" s="8"/>
      <c r="C578" s="8"/>
      <c r="D578" s="8"/>
    </row>
    <row r="579" spans="1:4" ht="14.25" customHeight="1" x14ac:dyDescent="0.25">
      <c r="A579" s="8"/>
      <c r="B579" s="8"/>
      <c r="C579" s="8"/>
      <c r="D579" s="8"/>
    </row>
    <row r="580" spans="1:4" ht="14.25" customHeight="1" x14ac:dyDescent="0.25">
      <c r="A580" s="8"/>
      <c r="B580" s="8"/>
      <c r="C580" s="8"/>
      <c r="D580" s="8"/>
    </row>
    <row r="581" spans="1:4" ht="14.25" customHeight="1" x14ac:dyDescent="0.25">
      <c r="A581" s="8"/>
      <c r="B581" s="8"/>
      <c r="C581" s="8"/>
      <c r="D581" s="8"/>
    </row>
    <row r="582" spans="1:4" ht="14.25" customHeight="1" x14ac:dyDescent="0.25">
      <c r="A582" s="8"/>
      <c r="B582" s="8"/>
      <c r="C582" s="8"/>
      <c r="D582" s="8"/>
    </row>
    <row r="583" spans="1:4" ht="14.25" customHeight="1" x14ac:dyDescent="0.25">
      <c r="A583" s="8"/>
      <c r="B583" s="8"/>
      <c r="C583" s="8"/>
      <c r="D583" s="8"/>
    </row>
    <row r="584" spans="1:4" ht="14.25" customHeight="1" x14ac:dyDescent="0.25">
      <c r="A584" s="8"/>
      <c r="B584" s="8"/>
      <c r="C584" s="8"/>
      <c r="D584" s="8"/>
    </row>
    <row r="585" spans="1:4" ht="14.25" customHeight="1" x14ac:dyDescent="0.25">
      <c r="A585" s="8"/>
      <c r="B585" s="8"/>
      <c r="C585" s="8"/>
      <c r="D585" s="8"/>
    </row>
    <row r="586" spans="1:4" ht="14.25" customHeight="1" x14ac:dyDescent="0.25">
      <c r="A586" s="8"/>
      <c r="B586" s="8"/>
      <c r="C586" s="8"/>
      <c r="D586" s="8"/>
    </row>
    <row r="587" spans="1:4" ht="14.25" customHeight="1" x14ac:dyDescent="0.25">
      <c r="A587" s="8"/>
      <c r="B587" s="8"/>
      <c r="C587" s="8"/>
      <c r="D587" s="8"/>
    </row>
    <row r="588" spans="1:4" ht="14.25" customHeight="1" x14ac:dyDescent="0.25">
      <c r="A588" s="8"/>
      <c r="B588" s="8"/>
      <c r="C588" s="8"/>
      <c r="D588" s="8"/>
    </row>
    <row r="589" spans="1:4" ht="14.25" customHeight="1" x14ac:dyDescent="0.25">
      <c r="A589" s="8"/>
      <c r="B589" s="8"/>
      <c r="C589" s="8"/>
      <c r="D589" s="8"/>
    </row>
    <row r="590" spans="1:4" ht="14.25" customHeight="1" x14ac:dyDescent="0.25">
      <c r="A590" s="8"/>
      <c r="B590" s="8"/>
      <c r="C590" s="8"/>
      <c r="D590" s="8"/>
    </row>
    <row r="591" spans="1:4" ht="14.25" customHeight="1" x14ac:dyDescent="0.25">
      <c r="A591" s="8"/>
      <c r="B591" s="8"/>
      <c r="C591" s="8"/>
      <c r="D591" s="8"/>
    </row>
    <row r="592" spans="1:4" ht="14.25" customHeight="1" x14ac:dyDescent="0.25">
      <c r="A592" s="8"/>
      <c r="B592" s="8"/>
      <c r="C592" s="8"/>
      <c r="D592" s="8"/>
    </row>
    <row r="593" spans="1:4" ht="14.25" customHeight="1" x14ac:dyDescent="0.25">
      <c r="A593" s="8"/>
      <c r="B593" s="8"/>
      <c r="C593" s="8"/>
      <c r="D593" s="8"/>
    </row>
    <row r="594" spans="1:4" ht="14.25" customHeight="1" x14ac:dyDescent="0.25">
      <c r="A594" s="8"/>
      <c r="B594" s="8"/>
      <c r="C594" s="8"/>
      <c r="D594" s="8"/>
    </row>
    <row r="595" spans="1:4" ht="14.25" customHeight="1" x14ac:dyDescent="0.25">
      <c r="A595" s="8"/>
      <c r="B595" s="8"/>
      <c r="C595" s="8"/>
      <c r="D595" s="8"/>
    </row>
    <row r="596" spans="1:4" ht="14.25" customHeight="1" x14ac:dyDescent="0.25">
      <c r="A596" s="8"/>
      <c r="B596" s="8"/>
      <c r="C596" s="8"/>
      <c r="D596" s="8"/>
    </row>
    <row r="597" spans="1:4" ht="14.25" customHeight="1" x14ac:dyDescent="0.25">
      <c r="A597" s="8"/>
      <c r="B597" s="8"/>
      <c r="C597" s="8"/>
      <c r="D597" s="8"/>
    </row>
    <row r="598" spans="1:4" ht="14.25" customHeight="1" x14ac:dyDescent="0.25">
      <c r="A598" s="8"/>
      <c r="B598" s="8"/>
      <c r="C598" s="8"/>
      <c r="D598" s="8"/>
    </row>
    <row r="599" spans="1:4" ht="14.25" customHeight="1" x14ac:dyDescent="0.25">
      <c r="A599" s="8"/>
      <c r="B599" s="8"/>
      <c r="C599" s="8"/>
      <c r="D599" s="8"/>
    </row>
    <row r="600" spans="1:4" ht="14.25" customHeight="1" x14ac:dyDescent="0.25">
      <c r="A600" s="8"/>
      <c r="B600" s="8"/>
      <c r="C600" s="8"/>
      <c r="D600" s="8"/>
    </row>
    <row r="601" spans="1:4" ht="14.25" customHeight="1" x14ac:dyDescent="0.25">
      <c r="A601" s="8"/>
      <c r="B601" s="8"/>
      <c r="C601" s="8"/>
      <c r="D601" s="8"/>
    </row>
    <row r="602" spans="1:4" ht="14.25" customHeight="1" x14ac:dyDescent="0.25">
      <c r="A602" s="8"/>
      <c r="B602" s="8"/>
      <c r="C602" s="8"/>
      <c r="D602" s="8"/>
    </row>
    <row r="603" spans="1:4" ht="14.25" customHeight="1" x14ac:dyDescent="0.25">
      <c r="A603" s="8"/>
      <c r="B603" s="8"/>
      <c r="C603" s="8"/>
      <c r="D603" s="8"/>
    </row>
    <row r="604" spans="1:4" ht="14.25" customHeight="1" x14ac:dyDescent="0.25">
      <c r="A604" s="8"/>
      <c r="B604" s="8"/>
      <c r="C604" s="8"/>
      <c r="D604" s="8"/>
    </row>
    <row r="605" spans="1:4" ht="14.25" customHeight="1" x14ac:dyDescent="0.25">
      <c r="A605" s="8"/>
      <c r="B605" s="8"/>
      <c r="C605" s="8"/>
      <c r="D605" s="8"/>
    </row>
    <row r="606" spans="1:4" ht="14.25" customHeight="1" x14ac:dyDescent="0.25">
      <c r="A606" s="8"/>
      <c r="B606" s="8"/>
      <c r="C606" s="8"/>
      <c r="D606" s="8"/>
    </row>
    <row r="607" spans="1:4" ht="14.25" customHeight="1" x14ac:dyDescent="0.25">
      <c r="A607" s="8"/>
      <c r="B607" s="8"/>
      <c r="C607" s="8"/>
      <c r="D607" s="8"/>
    </row>
    <row r="608" spans="1:4" ht="14.25" customHeight="1" x14ac:dyDescent="0.25">
      <c r="A608" s="8"/>
      <c r="B608" s="8"/>
      <c r="C608" s="8"/>
      <c r="D608" s="8"/>
    </row>
    <row r="609" spans="1:4" ht="14.25" customHeight="1" x14ac:dyDescent="0.25">
      <c r="A609" s="8"/>
      <c r="B609" s="8"/>
      <c r="C609" s="8"/>
      <c r="D609" s="8"/>
    </row>
    <row r="610" spans="1:4" ht="14.25" customHeight="1" x14ac:dyDescent="0.25">
      <c r="A610" s="8"/>
      <c r="B610" s="8"/>
      <c r="C610" s="8"/>
      <c r="D610" s="8"/>
    </row>
    <row r="611" spans="1:4" ht="14.25" customHeight="1" x14ac:dyDescent="0.25">
      <c r="A611" s="8"/>
      <c r="B611" s="8"/>
      <c r="C611" s="8"/>
      <c r="D611" s="8"/>
    </row>
    <row r="612" spans="1:4" ht="14.25" customHeight="1" x14ac:dyDescent="0.25">
      <c r="A612" s="8"/>
      <c r="B612" s="8"/>
      <c r="C612" s="8"/>
      <c r="D612" s="8"/>
    </row>
    <row r="613" spans="1:4" ht="14.25" customHeight="1" x14ac:dyDescent="0.25">
      <c r="A613" s="8"/>
      <c r="B613" s="8"/>
      <c r="C613" s="8"/>
      <c r="D613" s="8"/>
    </row>
    <row r="614" spans="1:4" ht="14.25" customHeight="1" x14ac:dyDescent="0.25">
      <c r="A614" s="8"/>
      <c r="B614" s="8"/>
      <c r="C614" s="8"/>
      <c r="D614" s="8"/>
    </row>
    <row r="615" spans="1:4" ht="14.25" customHeight="1" x14ac:dyDescent="0.25">
      <c r="A615" s="8"/>
      <c r="B615" s="8"/>
      <c r="C615" s="8"/>
      <c r="D615" s="8"/>
    </row>
    <row r="616" spans="1:4" ht="14.25" customHeight="1" x14ac:dyDescent="0.25">
      <c r="A616" s="8"/>
      <c r="B616" s="8"/>
      <c r="C616" s="8"/>
      <c r="D616" s="8"/>
    </row>
    <row r="617" spans="1:4" ht="14.25" customHeight="1" x14ac:dyDescent="0.25">
      <c r="A617" s="8"/>
      <c r="B617" s="8"/>
      <c r="C617" s="8"/>
      <c r="D617" s="8"/>
    </row>
    <row r="618" spans="1:4" ht="14.25" customHeight="1" x14ac:dyDescent="0.25">
      <c r="A618" s="8"/>
      <c r="B618" s="8"/>
      <c r="C618" s="8"/>
      <c r="D618" s="8"/>
    </row>
    <row r="619" spans="1:4" ht="14.25" customHeight="1" x14ac:dyDescent="0.25">
      <c r="A619" s="8"/>
      <c r="B619" s="8"/>
      <c r="C619" s="8"/>
      <c r="D619" s="8"/>
    </row>
    <row r="620" spans="1:4" ht="14.25" customHeight="1" x14ac:dyDescent="0.25">
      <c r="A620" s="8"/>
      <c r="B620" s="8"/>
      <c r="C620" s="8"/>
      <c r="D620" s="8"/>
    </row>
    <row r="621" spans="1:4" ht="14.25" customHeight="1" x14ac:dyDescent="0.25">
      <c r="A621" s="8"/>
      <c r="B621" s="8"/>
      <c r="C621" s="8"/>
      <c r="D621" s="8"/>
    </row>
    <row r="622" spans="1:4" ht="14.25" customHeight="1" x14ac:dyDescent="0.25">
      <c r="A622" s="8"/>
      <c r="B622" s="8"/>
      <c r="C622" s="8"/>
      <c r="D622" s="8"/>
    </row>
    <row r="623" spans="1:4" ht="14.25" customHeight="1" x14ac:dyDescent="0.25">
      <c r="A623" s="8"/>
      <c r="B623" s="8"/>
      <c r="C623" s="8"/>
      <c r="D623" s="8"/>
    </row>
    <row r="624" spans="1:4" ht="14.25" customHeight="1" x14ac:dyDescent="0.25">
      <c r="A624" s="8"/>
      <c r="B624" s="8"/>
      <c r="C624" s="8"/>
      <c r="D624" s="8"/>
    </row>
    <row r="625" spans="1:4" ht="14.25" customHeight="1" x14ac:dyDescent="0.25">
      <c r="A625" s="8"/>
      <c r="B625" s="8"/>
      <c r="C625" s="8"/>
      <c r="D625" s="8"/>
    </row>
    <row r="626" spans="1:4" ht="14.25" customHeight="1" x14ac:dyDescent="0.25">
      <c r="A626" s="8"/>
      <c r="B626" s="8"/>
      <c r="C626" s="8"/>
      <c r="D626" s="8"/>
    </row>
    <row r="627" spans="1:4" ht="14.25" customHeight="1" x14ac:dyDescent="0.25">
      <c r="A627" s="8"/>
      <c r="B627" s="8"/>
      <c r="C627" s="8"/>
      <c r="D627" s="8"/>
    </row>
    <row r="628" spans="1:4" ht="14.25" customHeight="1" x14ac:dyDescent="0.25">
      <c r="A628" s="8"/>
      <c r="B628" s="8"/>
      <c r="C628" s="8"/>
      <c r="D628" s="8"/>
    </row>
    <row r="629" spans="1:4" ht="14.25" customHeight="1" x14ac:dyDescent="0.25">
      <c r="A629" s="8"/>
      <c r="B629" s="8"/>
      <c r="C629" s="8"/>
      <c r="D629" s="8"/>
    </row>
    <row r="630" spans="1:4" ht="14.25" customHeight="1" x14ac:dyDescent="0.25">
      <c r="A630" s="8"/>
      <c r="B630" s="8"/>
      <c r="C630" s="8"/>
      <c r="D630" s="8"/>
    </row>
    <row r="631" spans="1:4" ht="14.25" customHeight="1" x14ac:dyDescent="0.25">
      <c r="A631" s="8"/>
      <c r="B631" s="8"/>
      <c r="C631" s="8"/>
      <c r="D631" s="8"/>
    </row>
    <row r="632" spans="1:4" ht="14.25" customHeight="1" x14ac:dyDescent="0.25">
      <c r="A632" s="8"/>
      <c r="B632" s="8"/>
      <c r="C632" s="8"/>
      <c r="D632" s="8"/>
    </row>
    <row r="633" spans="1:4" ht="14.25" customHeight="1" x14ac:dyDescent="0.25">
      <c r="A633" s="8"/>
      <c r="B633" s="8"/>
      <c r="C633" s="8"/>
      <c r="D633" s="8"/>
    </row>
    <row r="634" spans="1:4" ht="14.25" customHeight="1" x14ac:dyDescent="0.25">
      <c r="A634" s="8"/>
      <c r="B634" s="8"/>
      <c r="C634" s="8"/>
      <c r="D634" s="8"/>
    </row>
    <row r="635" spans="1:4" ht="14.25" customHeight="1" x14ac:dyDescent="0.25">
      <c r="A635" s="8"/>
      <c r="B635" s="8"/>
      <c r="C635" s="8"/>
      <c r="D635" s="8"/>
    </row>
    <row r="636" spans="1:4" ht="14.25" customHeight="1" x14ac:dyDescent="0.25">
      <c r="A636" s="8"/>
      <c r="B636" s="8"/>
      <c r="C636" s="8"/>
      <c r="D636" s="8"/>
    </row>
    <row r="637" spans="1:4" ht="14.25" customHeight="1" x14ac:dyDescent="0.25">
      <c r="A637" s="8"/>
      <c r="B637" s="8"/>
      <c r="C637" s="8"/>
      <c r="D637" s="8"/>
    </row>
    <row r="638" spans="1:4" ht="14.25" customHeight="1" x14ac:dyDescent="0.25">
      <c r="A638" s="8"/>
      <c r="B638" s="8"/>
      <c r="C638" s="8"/>
      <c r="D638" s="8"/>
    </row>
    <row r="639" spans="1:4" ht="14.25" customHeight="1" x14ac:dyDescent="0.25">
      <c r="A639" s="8"/>
      <c r="B639" s="8"/>
      <c r="C639" s="8"/>
      <c r="D639" s="8"/>
    </row>
    <row r="640" spans="1:4" ht="14.25" customHeight="1" x14ac:dyDescent="0.25">
      <c r="A640" s="8"/>
      <c r="B640" s="8"/>
      <c r="C640" s="8"/>
      <c r="D640" s="8"/>
    </row>
    <row r="641" spans="1:4" ht="14.25" customHeight="1" x14ac:dyDescent="0.25">
      <c r="A641" s="8"/>
      <c r="B641" s="8"/>
      <c r="C641" s="8"/>
      <c r="D641" s="8"/>
    </row>
    <row r="642" spans="1:4" ht="14.25" customHeight="1" x14ac:dyDescent="0.25">
      <c r="A642" s="8"/>
      <c r="B642" s="8"/>
      <c r="C642" s="8"/>
      <c r="D642" s="8"/>
    </row>
    <row r="643" spans="1:4" ht="14.25" customHeight="1" x14ac:dyDescent="0.25">
      <c r="A643" s="8"/>
      <c r="B643" s="8"/>
      <c r="C643" s="8"/>
      <c r="D643" s="8"/>
    </row>
    <row r="644" spans="1:4" ht="14.25" customHeight="1" x14ac:dyDescent="0.25">
      <c r="A644" s="8"/>
      <c r="B644" s="8"/>
      <c r="C644" s="8"/>
      <c r="D644" s="8"/>
    </row>
    <row r="645" spans="1:4" ht="14.25" customHeight="1" x14ac:dyDescent="0.25">
      <c r="A645" s="8"/>
      <c r="B645" s="8"/>
      <c r="C645" s="8"/>
      <c r="D645" s="8"/>
    </row>
    <row r="646" spans="1:4" ht="14.25" customHeight="1" x14ac:dyDescent="0.25">
      <c r="A646" s="8"/>
      <c r="B646" s="8"/>
      <c r="C646" s="8"/>
      <c r="D646" s="8"/>
    </row>
    <row r="647" spans="1:4" ht="14.25" customHeight="1" x14ac:dyDescent="0.25">
      <c r="A647" s="8"/>
      <c r="B647" s="8"/>
      <c r="C647" s="8"/>
      <c r="D647" s="8"/>
    </row>
    <row r="648" spans="1:4" ht="14.25" customHeight="1" x14ac:dyDescent="0.25">
      <c r="A648" s="8"/>
      <c r="B648" s="8"/>
      <c r="C648" s="8"/>
      <c r="D648" s="8"/>
    </row>
    <row r="649" spans="1:4" ht="14.25" customHeight="1" x14ac:dyDescent="0.25">
      <c r="A649" s="8"/>
      <c r="B649" s="8"/>
      <c r="C649" s="8"/>
      <c r="D649" s="8"/>
    </row>
    <row r="650" spans="1:4" ht="14.25" customHeight="1" x14ac:dyDescent="0.25">
      <c r="A650" s="8"/>
      <c r="B650" s="8"/>
      <c r="C650" s="8"/>
      <c r="D650" s="8"/>
    </row>
    <row r="651" spans="1:4" ht="14.25" customHeight="1" x14ac:dyDescent="0.25">
      <c r="A651" s="8"/>
      <c r="B651" s="8"/>
      <c r="C651" s="8"/>
      <c r="D651" s="8"/>
    </row>
    <row r="652" spans="1:4" ht="14.25" customHeight="1" x14ac:dyDescent="0.25">
      <c r="A652" s="8"/>
      <c r="B652" s="8"/>
      <c r="C652" s="8"/>
      <c r="D652" s="8"/>
    </row>
    <row r="653" spans="1:4" ht="14.25" customHeight="1" x14ac:dyDescent="0.25">
      <c r="A653" s="8"/>
      <c r="B653" s="8"/>
      <c r="C653" s="8"/>
      <c r="D653" s="8"/>
    </row>
    <row r="654" spans="1:4" ht="14.25" customHeight="1" x14ac:dyDescent="0.25">
      <c r="A654" s="8"/>
      <c r="B654" s="8"/>
      <c r="C654" s="8"/>
      <c r="D654" s="8"/>
    </row>
    <row r="655" spans="1:4" ht="14.25" customHeight="1" x14ac:dyDescent="0.25">
      <c r="A655" s="8"/>
      <c r="B655" s="8"/>
      <c r="C655" s="8"/>
      <c r="D655" s="8"/>
    </row>
    <row r="656" spans="1:4" ht="14.25" customHeight="1" x14ac:dyDescent="0.25">
      <c r="A656" s="8"/>
      <c r="B656" s="8"/>
      <c r="C656" s="8"/>
      <c r="D656" s="8"/>
    </row>
    <row r="657" spans="1:4" ht="14.25" customHeight="1" x14ac:dyDescent="0.25">
      <c r="A657" s="8"/>
      <c r="B657" s="8"/>
      <c r="C657" s="8"/>
      <c r="D657" s="8"/>
    </row>
    <row r="658" spans="1:4" ht="14.25" customHeight="1" x14ac:dyDescent="0.25">
      <c r="A658" s="8"/>
      <c r="B658" s="8"/>
      <c r="C658" s="8"/>
      <c r="D658" s="8"/>
    </row>
    <row r="659" spans="1:4" ht="14.25" customHeight="1" x14ac:dyDescent="0.25">
      <c r="A659" s="8"/>
      <c r="B659" s="8"/>
      <c r="C659" s="8"/>
      <c r="D659" s="8"/>
    </row>
    <row r="660" spans="1:4" ht="14.25" customHeight="1" x14ac:dyDescent="0.25">
      <c r="A660" s="8"/>
      <c r="B660" s="8"/>
      <c r="C660" s="8"/>
      <c r="D660" s="8"/>
    </row>
    <row r="661" spans="1:4" ht="14.25" customHeight="1" x14ac:dyDescent="0.25">
      <c r="A661" s="8"/>
      <c r="B661" s="8"/>
      <c r="C661" s="8"/>
      <c r="D661" s="8"/>
    </row>
    <row r="662" spans="1:4" ht="14.25" customHeight="1" x14ac:dyDescent="0.25">
      <c r="A662" s="8"/>
      <c r="B662" s="8"/>
      <c r="C662" s="8"/>
      <c r="D662" s="8"/>
    </row>
    <row r="663" spans="1:4" ht="14.25" customHeight="1" x14ac:dyDescent="0.25">
      <c r="A663" s="8"/>
      <c r="B663" s="8"/>
      <c r="C663" s="8"/>
      <c r="D663" s="8"/>
    </row>
    <row r="664" spans="1:4" ht="14.25" customHeight="1" x14ac:dyDescent="0.25">
      <c r="A664" s="8"/>
      <c r="B664" s="8"/>
      <c r="C664" s="8"/>
      <c r="D664" s="8"/>
    </row>
    <row r="665" spans="1:4" ht="14.25" customHeight="1" x14ac:dyDescent="0.25">
      <c r="A665" s="8"/>
      <c r="B665" s="8"/>
      <c r="C665" s="8"/>
      <c r="D665" s="8"/>
    </row>
    <row r="666" spans="1:4" ht="14.25" customHeight="1" x14ac:dyDescent="0.25">
      <c r="A666" s="8"/>
      <c r="B666" s="8"/>
      <c r="C666" s="8"/>
      <c r="D666" s="8"/>
    </row>
    <row r="667" spans="1:4" ht="14.25" customHeight="1" x14ac:dyDescent="0.25">
      <c r="A667" s="8"/>
      <c r="B667" s="8"/>
      <c r="C667" s="8"/>
      <c r="D667" s="8"/>
    </row>
    <row r="668" spans="1:4" ht="14.25" customHeight="1" x14ac:dyDescent="0.25">
      <c r="A668" s="8"/>
      <c r="B668" s="8"/>
      <c r="C668" s="8"/>
      <c r="D668" s="8"/>
    </row>
    <row r="669" spans="1:4" ht="14.25" customHeight="1" x14ac:dyDescent="0.25">
      <c r="A669" s="8"/>
      <c r="B669" s="8"/>
      <c r="C669" s="8"/>
      <c r="D669" s="8"/>
    </row>
    <row r="670" spans="1:4" ht="14.25" customHeight="1" x14ac:dyDescent="0.25">
      <c r="A670" s="8"/>
      <c r="B670" s="8"/>
      <c r="C670" s="8"/>
      <c r="D670" s="8"/>
    </row>
    <row r="671" spans="1:4" ht="14.25" customHeight="1" x14ac:dyDescent="0.25">
      <c r="A671" s="8"/>
      <c r="B671" s="8"/>
      <c r="C671" s="8"/>
      <c r="D671" s="8"/>
    </row>
    <row r="672" spans="1:4" ht="14.25" customHeight="1" x14ac:dyDescent="0.25">
      <c r="A672" s="8"/>
      <c r="B672" s="8"/>
      <c r="C672" s="8"/>
      <c r="D672" s="8"/>
    </row>
    <row r="673" spans="1:4" ht="14.25" customHeight="1" x14ac:dyDescent="0.25">
      <c r="A673" s="8"/>
      <c r="B673" s="8"/>
      <c r="C673" s="8"/>
      <c r="D673" s="8"/>
    </row>
    <row r="674" spans="1:4" ht="14.25" customHeight="1" x14ac:dyDescent="0.25">
      <c r="A674" s="8"/>
      <c r="B674" s="8"/>
      <c r="C674" s="8"/>
      <c r="D674" s="8"/>
    </row>
    <row r="675" spans="1:4" ht="14.25" customHeight="1" x14ac:dyDescent="0.25">
      <c r="A675" s="8"/>
      <c r="B675" s="8"/>
      <c r="C675" s="8"/>
      <c r="D675" s="8"/>
    </row>
    <row r="676" spans="1:4" ht="14.25" customHeight="1" x14ac:dyDescent="0.25">
      <c r="A676" s="8"/>
      <c r="B676" s="8"/>
      <c r="C676" s="8"/>
      <c r="D676" s="8"/>
    </row>
    <row r="677" spans="1:4" ht="14.25" customHeight="1" x14ac:dyDescent="0.25">
      <c r="A677" s="8"/>
      <c r="B677" s="8"/>
      <c r="C677" s="8"/>
      <c r="D677" s="8"/>
    </row>
    <row r="678" spans="1:4" ht="14.25" customHeight="1" x14ac:dyDescent="0.25">
      <c r="A678" s="8"/>
      <c r="B678" s="8"/>
      <c r="C678" s="8"/>
      <c r="D678" s="8"/>
    </row>
    <row r="679" spans="1:4" ht="14.25" customHeight="1" x14ac:dyDescent="0.25">
      <c r="A679" s="8"/>
      <c r="B679" s="8"/>
      <c r="C679" s="8"/>
      <c r="D679" s="8"/>
    </row>
    <row r="680" spans="1:4" ht="14.25" customHeight="1" x14ac:dyDescent="0.25">
      <c r="A680" s="8"/>
      <c r="B680" s="8"/>
      <c r="C680" s="8"/>
      <c r="D680" s="8"/>
    </row>
    <row r="681" spans="1:4" ht="14.25" customHeight="1" x14ac:dyDescent="0.25">
      <c r="A681" s="8"/>
      <c r="B681" s="8"/>
      <c r="C681" s="8"/>
      <c r="D681" s="8"/>
    </row>
    <row r="682" spans="1:4" ht="14.25" customHeight="1" x14ac:dyDescent="0.25">
      <c r="A682" s="8"/>
      <c r="B682" s="8"/>
      <c r="C682" s="8"/>
      <c r="D682" s="8"/>
    </row>
    <row r="683" spans="1:4" ht="14.25" customHeight="1" x14ac:dyDescent="0.25">
      <c r="A683" s="8"/>
      <c r="B683" s="8"/>
      <c r="C683" s="8"/>
      <c r="D683" s="8"/>
    </row>
    <row r="684" spans="1:4" ht="14.25" customHeight="1" x14ac:dyDescent="0.25">
      <c r="A684" s="8"/>
      <c r="B684" s="8"/>
      <c r="C684" s="8"/>
      <c r="D684" s="8"/>
    </row>
    <row r="685" spans="1:4" ht="14.25" customHeight="1" x14ac:dyDescent="0.25">
      <c r="A685" s="8"/>
      <c r="B685" s="8"/>
      <c r="C685" s="8"/>
      <c r="D685" s="8"/>
    </row>
    <row r="686" spans="1:4" ht="14.25" customHeight="1" x14ac:dyDescent="0.25">
      <c r="A686" s="8"/>
      <c r="B686" s="8"/>
      <c r="C686" s="8"/>
      <c r="D686" s="8"/>
    </row>
    <row r="687" spans="1:4" ht="14.25" customHeight="1" x14ac:dyDescent="0.25">
      <c r="A687" s="8"/>
      <c r="B687" s="8"/>
      <c r="C687" s="8"/>
      <c r="D687" s="8"/>
    </row>
    <row r="688" spans="1:4" ht="14.25" customHeight="1" x14ac:dyDescent="0.25">
      <c r="A688" s="8"/>
      <c r="B688" s="8"/>
      <c r="C688" s="8"/>
      <c r="D688" s="8"/>
    </row>
    <row r="689" spans="1:4" ht="14.25" customHeight="1" x14ac:dyDescent="0.25">
      <c r="A689" s="8"/>
      <c r="B689" s="8"/>
      <c r="C689" s="8"/>
      <c r="D689" s="8"/>
    </row>
    <row r="690" spans="1:4" ht="14.25" customHeight="1" x14ac:dyDescent="0.25">
      <c r="A690" s="8"/>
      <c r="B690" s="8"/>
      <c r="C690" s="8"/>
      <c r="D690" s="8"/>
    </row>
    <row r="691" spans="1:4" ht="14.25" customHeight="1" x14ac:dyDescent="0.25">
      <c r="A691" s="8"/>
      <c r="B691" s="8"/>
      <c r="C691" s="8"/>
      <c r="D691" s="8"/>
    </row>
    <row r="692" spans="1:4" ht="14.25" customHeight="1" x14ac:dyDescent="0.25">
      <c r="A692" s="8"/>
      <c r="B692" s="8"/>
      <c r="C692" s="8"/>
      <c r="D692" s="8"/>
    </row>
    <row r="693" spans="1:4" ht="14.25" customHeight="1" x14ac:dyDescent="0.25">
      <c r="A693" s="8"/>
      <c r="B693" s="8"/>
      <c r="C693" s="8"/>
      <c r="D693" s="8"/>
    </row>
    <row r="694" spans="1:4" ht="14.25" customHeight="1" x14ac:dyDescent="0.25">
      <c r="A694" s="8"/>
      <c r="B694" s="8"/>
      <c r="C694" s="8"/>
      <c r="D694" s="8"/>
    </row>
    <row r="695" spans="1:4" ht="14.25" customHeight="1" x14ac:dyDescent="0.25">
      <c r="A695" s="8"/>
      <c r="B695" s="8"/>
      <c r="C695" s="8"/>
      <c r="D695" s="8"/>
    </row>
    <row r="696" spans="1:4" ht="14.25" customHeight="1" x14ac:dyDescent="0.25">
      <c r="A696" s="8"/>
      <c r="B696" s="8"/>
      <c r="C696" s="8"/>
      <c r="D696" s="8"/>
    </row>
    <row r="697" spans="1:4" ht="14.25" customHeight="1" x14ac:dyDescent="0.25">
      <c r="A697" s="8"/>
      <c r="B697" s="8"/>
      <c r="C697" s="8"/>
      <c r="D697" s="8"/>
    </row>
    <row r="698" spans="1:4" ht="14.25" customHeight="1" x14ac:dyDescent="0.25">
      <c r="A698" s="8"/>
      <c r="B698" s="8"/>
      <c r="C698" s="8"/>
      <c r="D698" s="8"/>
    </row>
    <row r="699" spans="1:4" ht="14.25" customHeight="1" x14ac:dyDescent="0.25">
      <c r="A699" s="8"/>
      <c r="B699" s="8"/>
      <c r="C699" s="8"/>
      <c r="D699" s="8"/>
    </row>
    <row r="700" spans="1:4" ht="14.25" customHeight="1" x14ac:dyDescent="0.25">
      <c r="A700" s="8"/>
      <c r="B700" s="8"/>
      <c r="C700" s="8"/>
      <c r="D700" s="8"/>
    </row>
    <row r="701" spans="1:4" ht="14.25" customHeight="1" x14ac:dyDescent="0.25">
      <c r="A701" s="8"/>
      <c r="B701" s="8"/>
      <c r="C701" s="8"/>
      <c r="D701" s="8"/>
    </row>
    <row r="702" spans="1:4" ht="14.25" customHeight="1" x14ac:dyDescent="0.25">
      <c r="A702" s="8"/>
      <c r="B702" s="8"/>
      <c r="C702" s="8"/>
      <c r="D702" s="8"/>
    </row>
    <row r="703" spans="1:4" ht="14.25" customHeight="1" x14ac:dyDescent="0.25">
      <c r="A703" s="8"/>
      <c r="B703" s="8"/>
      <c r="C703" s="8"/>
      <c r="D703" s="8"/>
    </row>
    <row r="704" spans="1:4" ht="14.25" customHeight="1" x14ac:dyDescent="0.25">
      <c r="A704" s="8"/>
      <c r="B704" s="8"/>
      <c r="C704" s="8"/>
      <c r="D704" s="8"/>
    </row>
    <row r="705" spans="1:4" ht="14.25" customHeight="1" x14ac:dyDescent="0.25">
      <c r="A705" s="8"/>
      <c r="B705" s="8"/>
      <c r="C705" s="8"/>
      <c r="D705" s="8"/>
    </row>
    <row r="706" spans="1:4" ht="14.25" customHeight="1" x14ac:dyDescent="0.25">
      <c r="A706" s="8"/>
      <c r="B706" s="8"/>
      <c r="C706" s="8"/>
      <c r="D706" s="8"/>
    </row>
    <row r="707" spans="1:4" ht="14.25" customHeight="1" x14ac:dyDescent="0.25">
      <c r="A707" s="8"/>
      <c r="B707" s="8"/>
      <c r="C707" s="8"/>
      <c r="D707" s="8"/>
    </row>
    <row r="708" spans="1:4" ht="14.25" customHeight="1" x14ac:dyDescent="0.25">
      <c r="A708" s="8"/>
      <c r="B708" s="8"/>
      <c r="C708" s="8"/>
      <c r="D708" s="8"/>
    </row>
    <row r="709" spans="1:4" ht="14.25" customHeight="1" x14ac:dyDescent="0.25">
      <c r="A709" s="8"/>
      <c r="B709" s="8"/>
      <c r="C709" s="8"/>
      <c r="D709" s="8"/>
    </row>
    <row r="710" spans="1:4" ht="14.25" customHeight="1" x14ac:dyDescent="0.25">
      <c r="A710" s="8"/>
      <c r="B710" s="8"/>
      <c r="C710" s="8"/>
      <c r="D710" s="8"/>
    </row>
    <row r="711" spans="1:4" ht="14.25" customHeight="1" x14ac:dyDescent="0.25">
      <c r="A711" s="8"/>
      <c r="B711" s="8"/>
      <c r="C711" s="8"/>
      <c r="D711" s="8"/>
    </row>
    <row r="712" spans="1:4" ht="14.25" customHeight="1" x14ac:dyDescent="0.25">
      <c r="A712" s="8"/>
      <c r="B712" s="8"/>
      <c r="C712" s="8"/>
      <c r="D712" s="8"/>
    </row>
    <row r="713" spans="1:4" ht="14.25" customHeight="1" x14ac:dyDescent="0.25">
      <c r="A713" s="8"/>
      <c r="B713" s="8"/>
      <c r="C713" s="8"/>
      <c r="D713" s="8"/>
    </row>
    <row r="714" spans="1:4" ht="14.25" customHeight="1" x14ac:dyDescent="0.25">
      <c r="A714" s="8"/>
      <c r="B714" s="8"/>
      <c r="C714" s="8"/>
      <c r="D714" s="8"/>
    </row>
    <row r="715" spans="1:4" ht="14.25" customHeight="1" x14ac:dyDescent="0.25">
      <c r="A715" s="8"/>
      <c r="B715" s="8"/>
      <c r="C715" s="8"/>
      <c r="D715" s="8"/>
    </row>
    <row r="716" spans="1:4" ht="14.25" customHeight="1" x14ac:dyDescent="0.25">
      <c r="A716" s="8"/>
      <c r="B716" s="8"/>
      <c r="C716" s="8"/>
      <c r="D716" s="8"/>
    </row>
    <row r="717" spans="1:4" ht="14.25" customHeight="1" x14ac:dyDescent="0.25">
      <c r="A717" s="8"/>
      <c r="B717" s="8"/>
      <c r="C717" s="8"/>
      <c r="D717" s="8"/>
    </row>
    <row r="718" spans="1:4" ht="14.25" customHeight="1" x14ac:dyDescent="0.25">
      <c r="A718" s="8"/>
      <c r="B718" s="8"/>
      <c r="C718" s="8"/>
      <c r="D718" s="8"/>
    </row>
    <row r="719" spans="1:4" ht="14.25" customHeight="1" x14ac:dyDescent="0.25">
      <c r="A719" s="8"/>
      <c r="B719" s="8"/>
      <c r="C719" s="8"/>
      <c r="D719" s="8"/>
    </row>
    <row r="720" spans="1:4" ht="14.25" customHeight="1" x14ac:dyDescent="0.25">
      <c r="A720" s="8"/>
      <c r="B720" s="8"/>
      <c r="C720" s="8"/>
      <c r="D720" s="8"/>
    </row>
    <row r="721" spans="1:4" ht="14.25" customHeight="1" x14ac:dyDescent="0.25">
      <c r="A721" s="8"/>
      <c r="B721" s="8"/>
      <c r="C721" s="8"/>
      <c r="D721" s="8"/>
    </row>
    <row r="722" spans="1:4" ht="14.25" customHeight="1" x14ac:dyDescent="0.25">
      <c r="A722" s="8"/>
      <c r="B722" s="8"/>
      <c r="C722" s="8"/>
      <c r="D722" s="8"/>
    </row>
    <row r="723" spans="1:4" ht="14.25" customHeight="1" x14ac:dyDescent="0.25">
      <c r="A723" s="8"/>
      <c r="B723" s="8"/>
      <c r="C723" s="8"/>
      <c r="D723" s="8"/>
    </row>
    <row r="724" spans="1:4" ht="14.25" customHeight="1" x14ac:dyDescent="0.25">
      <c r="A724" s="8"/>
      <c r="B724" s="8"/>
      <c r="C724" s="8"/>
      <c r="D724" s="8"/>
    </row>
    <row r="725" spans="1:4" ht="14.25" customHeight="1" x14ac:dyDescent="0.25">
      <c r="A725" s="8"/>
      <c r="B725" s="8"/>
      <c r="C725" s="8"/>
      <c r="D725" s="8"/>
    </row>
    <row r="726" spans="1:4" ht="14.25" customHeight="1" x14ac:dyDescent="0.25">
      <c r="A726" s="8"/>
      <c r="B726" s="8"/>
      <c r="C726" s="8"/>
      <c r="D726" s="8"/>
    </row>
    <row r="727" spans="1:4" ht="14.25" customHeight="1" x14ac:dyDescent="0.25">
      <c r="A727" s="8"/>
      <c r="B727" s="8"/>
      <c r="C727" s="8"/>
      <c r="D727" s="8"/>
    </row>
    <row r="728" spans="1:4" ht="14.25" customHeight="1" x14ac:dyDescent="0.25">
      <c r="A728" s="8"/>
      <c r="B728" s="8"/>
      <c r="C728" s="8"/>
      <c r="D728" s="8"/>
    </row>
    <row r="729" spans="1:4" ht="14.25" customHeight="1" x14ac:dyDescent="0.25">
      <c r="A729" s="8"/>
      <c r="B729" s="8"/>
      <c r="C729" s="8"/>
      <c r="D729" s="8"/>
    </row>
    <row r="730" spans="1:4" ht="14.25" customHeight="1" x14ac:dyDescent="0.25">
      <c r="A730" s="8"/>
      <c r="B730" s="8"/>
      <c r="C730" s="8"/>
      <c r="D730" s="8"/>
    </row>
    <row r="731" spans="1:4" ht="14.25" customHeight="1" x14ac:dyDescent="0.25">
      <c r="A731" s="8"/>
      <c r="B731" s="8"/>
      <c r="C731" s="8"/>
      <c r="D731" s="8"/>
    </row>
    <row r="732" spans="1:4" ht="14.25" customHeight="1" x14ac:dyDescent="0.25">
      <c r="A732" s="8"/>
      <c r="B732" s="8"/>
      <c r="C732" s="8"/>
      <c r="D732" s="8"/>
    </row>
    <row r="733" spans="1:4" ht="14.25" customHeight="1" x14ac:dyDescent="0.25">
      <c r="A733" s="8"/>
      <c r="B733" s="8"/>
      <c r="C733" s="8"/>
      <c r="D733" s="8"/>
    </row>
    <row r="734" spans="1:4" ht="14.25" customHeight="1" x14ac:dyDescent="0.25">
      <c r="A734" s="8"/>
      <c r="B734" s="8"/>
      <c r="C734" s="8"/>
      <c r="D734" s="8"/>
    </row>
    <row r="735" spans="1:4" ht="14.25" customHeight="1" x14ac:dyDescent="0.25">
      <c r="A735" s="8"/>
      <c r="B735" s="8"/>
      <c r="C735" s="8"/>
      <c r="D735" s="8"/>
    </row>
    <row r="736" spans="1:4" ht="14.25" customHeight="1" x14ac:dyDescent="0.25">
      <c r="A736" s="8"/>
      <c r="B736" s="8"/>
      <c r="C736" s="8"/>
      <c r="D736" s="8"/>
    </row>
    <row r="737" spans="1:4" ht="14.25" customHeight="1" x14ac:dyDescent="0.25">
      <c r="A737" s="8"/>
      <c r="B737" s="8"/>
      <c r="C737" s="8"/>
      <c r="D737" s="8"/>
    </row>
    <row r="738" spans="1:4" ht="14.25" customHeight="1" x14ac:dyDescent="0.25">
      <c r="A738" s="8"/>
      <c r="B738" s="8"/>
      <c r="C738" s="8"/>
      <c r="D738" s="8"/>
    </row>
    <row r="739" spans="1:4" ht="14.25" customHeight="1" x14ac:dyDescent="0.25">
      <c r="A739" s="8"/>
      <c r="B739" s="8"/>
      <c r="C739" s="8"/>
      <c r="D739" s="8"/>
    </row>
    <row r="740" spans="1:4" ht="14.25" customHeight="1" x14ac:dyDescent="0.25">
      <c r="A740" s="8"/>
      <c r="B740" s="8"/>
      <c r="C740" s="8"/>
      <c r="D740" s="8"/>
    </row>
    <row r="741" spans="1:4" ht="14.25" customHeight="1" x14ac:dyDescent="0.25">
      <c r="A741" s="8"/>
      <c r="B741" s="8"/>
      <c r="C741" s="8"/>
      <c r="D741" s="8"/>
    </row>
    <row r="742" spans="1:4" ht="14.25" customHeight="1" x14ac:dyDescent="0.25">
      <c r="A742" s="8"/>
      <c r="B742" s="8"/>
      <c r="C742" s="8"/>
      <c r="D742" s="8"/>
    </row>
    <row r="743" spans="1:4" ht="14.25" customHeight="1" x14ac:dyDescent="0.25">
      <c r="A743" s="8"/>
      <c r="B743" s="8"/>
      <c r="C743" s="8"/>
      <c r="D743" s="8"/>
    </row>
    <row r="744" spans="1:4" ht="14.25" customHeight="1" x14ac:dyDescent="0.25">
      <c r="A744" s="8"/>
      <c r="B744" s="8"/>
      <c r="C744" s="8"/>
      <c r="D744" s="8"/>
    </row>
    <row r="745" spans="1:4" ht="14.25" customHeight="1" x14ac:dyDescent="0.25">
      <c r="A745" s="8"/>
      <c r="B745" s="8"/>
      <c r="C745" s="8"/>
      <c r="D745" s="8"/>
    </row>
    <row r="746" spans="1:4" ht="14.25" customHeight="1" x14ac:dyDescent="0.25">
      <c r="A746" s="8"/>
      <c r="B746" s="8"/>
      <c r="C746" s="8"/>
      <c r="D746" s="8"/>
    </row>
    <row r="747" spans="1:4" ht="14.25" customHeight="1" x14ac:dyDescent="0.25">
      <c r="A747" s="8"/>
      <c r="B747" s="8"/>
      <c r="C747" s="8"/>
      <c r="D747" s="8"/>
    </row>
    <row r="748" spans="1:4" ht="14.25" customHeight="1" x14ac:dyDescent="0.25">
      <c r="A748" s="8"/>
      <c r="B748" s="8"/>
      <c r="C748" s="8"/>
      <c r="D748" s="8"/>
    </row>
    <row r="749" spans="1:4" ht="14.25" customHeight="1" x14ac:dyDescent="0.25">
      <c r="A749" s="8"/>
      <c r="B749" s="8"/>
      <c r="C749" s="8"/>
      <c r="D749" s="8"/>
    </row>
    <row r="750" spans="1:4" ht="14.25" customHeight="1" x14ac:dyDescent="0.25">
      <c r="A750" s="8"/>
      <c r="B750" s="8"/>
      <c r="C750" s="8"/>
      <c r="D750" s="8"/>
    </row>
    <row r="751" spans="1:4" ht="14.25" customHeight="1" x14ac:dyDescent="0.25">
      <c r="A751" s="8"/>
      <c r="B751" s="8"/>
      <c r="C751" s="8"/>
      <c r="D751" s="8"/>
    </row>
    <row r="752" spans="1:4" ht="14.25" customHeight="1" x14ac:dyDescent="0.25">
      <c r="A752" s="8"/>
      <c r="B752" s="8"/>
      <c r="C752" s="8"/>
      <c r="D752" s="8"/>
    </row>
    <row r="753" spans="1:4" ht="14.25" customHeight="1" x14ac:dyDescent="0.25">
      <c r="A753" s="8"/>
      <c r="B753" s="8"/>
      <c r="C753" s="8"/>
      <c r="D753" s="8"/>
    </row>
    <row r="754" spans="1:4" ht="14.25" customHeight="1" x14ac:dyDescent="0.25">
      <c r="A754" s="8"/>
      <c r="B754" s="8"/>
      <c r="C754" s="8"/>
      <c r="D754" s="8"/>
    </row>
    <row r="755" spans="1:4" ht="14.25" customHeight="1" x14ac:dyDescent="0.25">
      <c r="A755" s="8"/>
      <c r="B755" s="8"/>
      <c r="C755" s="8"/>
      <c r="D755" s="8"/>
    </row>
    <row r="756" spans="1:4" ht="14.25" customHeight="1" x14ac:dyDescent="0.25">
      <c r="A756" s="8"/>
      <c r="B756" s="8"/>
      <c r="C756" s="8"/>
      <c r="D756" s="8"/>
    </row>
    <row r="757" spans="1:4" ht="14.25" customHeight="1" x14ac:dyDescent="0.25">
      <c r="A757" s="8"/>
      <c r="B757" s="8"/>
      <c r="C757" s="8"/>
      <c r="D757" s="8"/>
    </row>
    <row r="758" spans="1:4" ht="14.25" customHeight="1" x14ac:dyDescent="0.25">
      <c r="A758" s="8"/>
      <c r="B758" s="8"/>
      <c r="C758" s="8"/>
      <c r="D758" s="8"/>
    </row>
    <row r="759" spans="1:4" ht="14.25" customHeight="1" x14ac:dyDescent="0.25">
      <c r="A759" s="8"/>
      <c r="B759" s="8"/>
      <c r="C759" s="8"/>
      <c r="D759" s="8"/>
    </row>
    <row r="760" spans="1:4" ht="14.25" customHeight="1" x14ac:dyDescent="0.25">
      <c r="A760" s="8"/>
      <c r="B760" s="8"/>
      <c r="C760" s="8"/>
      <c r="D760" s="8"/>
    </row>
    <row r="761" spans="1:4" ht="14.25" customHeight="1" x14ac:dyDescent="0.25">
      <c r="A761" s="8"/>
      <c r="B761" s="8"/>
      <c r="C761" s="8"/>
      <c r="D761" s="8"/>
    </row>
    <row r="762" spans="1:4" ht="14.25" customHeight="1" x14ac:dyDescent="0.25">
      <c r="A762" s="8"/>
      <c r="B762" s="8"/>
      <c r="C762" s="8"/>
      <c r="D762" s="8"/>
    </row>
    <row r="763" spans="1:4" ht="14.25" customHeight="1" x14ac:dyDescent="0.25">
      <c r="A763" s="8"/>
      <c r="B763" s="8"/>
      <c r="C763" s="8"/>
      <c r="D763" s="8"/>
    </row>
    <row r="764" spans="1:4" ht="14.25" customHeight="1" x14ac:dyDescent="0.25">
      <c r="A764" s="8"/>
      <c r="B764" s="8"/>
      <c r="C764" s="8"/>
      <c r="D764" s="8"/>
    </row>
    <row r="765" spans="1:4" ht="14.25" customHeight="1" x14ac:dyDescent="0.25">
      <c r="A765" s="8"/>
      <c r="B765" s="8"/>
      <c r="C765" s="8"/>
      <c r="D765" s="8"/>
    </row>
    <row r="766" spans="1:4" ht="14.25" customHeight="1" x14ac:dyDescent="0.25">
      <c r="A766" s="8"/>
      <c r="B766" s="8"/>
      <c r="C766" s="8"/>
      <c r="D766" s="8"/>
    </row>
    <row r="767" spans="1:4" ht="14.25" customHeight="1" x14ac:dyDescent="0.25">
      <c r="A767" s="8"/>
      <c r="B767" s="8"/>
      <c r="C767" s="8"/>
      <c r="D767" s="8"/>
    </row>
    <row r="768" spans="1:4" ht="14.25" customHeight="1" x14ac:dyDescent="0.25">
      <c r="A768" s="8"/>
      <c r="B768" s="8"/>
      <c r="C768" s="8"/>
      <c r="D768" s="8"/>
    </row>
    <row r="769" spans="1:4" ht="14.25" customHeight="1" x14ac:dyDescent="0.25">
      <c r="A769" s="8"/>
      <c r="B769" s="8"/>
      <c r="C769" s="8"/>
      <c r="D769" s="8"/>
    </row>
    <row r="770" spans="1:4" ht="14.25" customHeight="1" x14ac:dyDescent="0.25">
      <c r="A770" s="8"/>
      <c r="B770" s="8"/>
      <c r="C770" s="8"/>
      <c r="D770" s="8"/>
    </row>
    <row r="771" spans="1:4" ht="14.25" customHeight="1" x14ac:dyDescent="0.25">
      <c r="A771" s="8"/>
      <c r="B771" s="8"/>
      <c r="C771" s="8"/>
      <c r="D771" s="8"/>
    </row>
    <row r="772" spans="1:4" ht="14.25" customHeight="1" x14ac:dyDescent="0.25">
      <c r="A772" s="8"/>
      <c r="B772" s="8"/>
      <c r="C772" s="8"/>
      <c r="D772" s="8"/>
    </row>
    <row r="773" spans="1:4" ht="14.25" customHeight="1" x14ac:dyDescent="0.25">
      <c r="A773" s="8"/>
      <c r="B773" s="8"/>
      <c r="C773" s="8"/>
      <c r="D773" s="8"/>
    </row>
    <row r="774" spans="1:4" ht="14.25" customHeight="1" x14ac:dyDescent="0.25">
      <c r="A774" s="8"/>
      <c r="B774" s="8"/>
      <c r="C774" s="8"/>
      <c r="D774" s="8"/>
    </row>
    <row r="775" spans="1:4" ht="14.25" customHeight="1" x14ac:dyDescent="0.25">
      <c r="A775" s="8"/>
      <c r="B775" s="8"/>
      <c r="C775" s="8"/>
      <c r="D775" s="8"/>
    </row>
    <row r="776" spans="1:4" ht="14.25" customHeight="1" x14ac:dyDescent="0.25">
      <c r="A776" s="8"/>
      <c r="B776" s="8"/>
      <c r="C776" s="8"/>
      <c r="D776" s="8"/>
    </row>
    <row r="777" spans="1:4" ht="14.25" customHeight="1" x14ac:dyDescent="0.25">
      <c r="A777" s="8"/>
      <c r="B777" s="8"/>
      <c r="C777" s="8"/>
      <c r="D777" s="8"/>
    </row>
    <row r="778" spans="1:4" ht="14.25" customHeight="1" x14ac:dyDescent="0.25">
      <c r="A778" s="8"/>
      <c r="B778" s="8"/>
      <c r="C778" s="8"/>
      <c r="D778" s="8"/>
    </row>
    <row r="779" spans="1:4" ht="14.25" customHeight="1" x14ac:dyDescent="0.25">
      <c r="A779" s="8"/>
      <c r="B779" s="8"/>
      <c r="C779" s="8"/>
      <c r="D779" s="8"/>
    </row>
    <row r="780" spans="1:4" ht="14.25" customHeight="1" x14ac:dyDescent="0.25">
      <c r="A780" s="8"/>
      <c r="B780" s="8"/>
      <c r="C780" s="8"/>
      <c r="D780" s="8"/>
    </row>
    <row r="781" spans="1:4" ht="14.25" customHeight="1" x14ac:dyDescent="0.25">
      <c r="A781" s="8"/>
      <c r="B781" s="8"/>
      <c r="C781" s="8"/>
      <c r="D781" s="8"/>
    </row>
    <row r="782" spans="1:4" ht="14.25" customHeight="1" x14ac:dyDescent="0.25">
      <c r="A782" s="8"/>
      <c r="B782" s="8"/>
      <c r="C782" s="8"/>
      <c r="D782" s="8"/>
    </row>
    <row r="783" spans="1:4" ht="14.25" customHeight="1" x14ac:dyDescent="0.25">
      <c r="A783" s="8"/>
      <c r="B783" s="8"/>
      <c r="C783" s="8"/>
      <c r="D783" s="8"/>
    </row>
    <row r="784" spans="1:4" ht="14.25" customHeight="1" x14ac:dyDescent="0.25">
      <c r="A784" s="8"/>
      <c r="B784" s="8"/>
      <c r="C784" s="8"/>
      <c r="D784" s="8"/>
    </row>
    <row r="785" spans="1:4" ht="14.25" customHeight="1" x14ac:dyDescent="0.25">
      <c r="A785" s="8"/>
      <c r="B785" s="8"/>
      <c r="C785" s="8"/>
      <c r="D785" s="8"/>
    </row>
    <row r="786" spans="1:4" ht="14.25" customHeight="1" x14ac:dyDescent="0.25">
      <c r="A786" s="8"/>
      <c r="B786" s="8"/>
      <c r="C786" s="8"/>
      <c r="D786" s="8"/>
    </row>
    <row r="787" spans="1:4" ht="14.25" customHeight="1" x14ac:dyDescent="0.25">
      <c r="A787" s="8"/>
      <c r="B787" s="8"/>
      <c r="C787" s="8"/>
      <c r="D787" s="8"/>
    </row>
    <row r="788" spans="1:4" ht="14.25" customHeight="1" x14ac:dyDescent="0.25">
      <c r="A788" s="8"/>
      <c r="B788" s="8"/>
      <c r="C788" s="8"/>
      <c r="D788" s="8"/>
    </row>
    <row r="789" spans="1:4" ht="14.25" customHeight="1" x14ac:dyDescent="0.25">
      <c r="A789" s="8"/>
      <c r="B789" s="8"/>
      <c r="C789" s="8"/>
      <c r="D789" s="8"/>
    </row>
    <row r="790" spans="1:4" ht="14.25" customHeight="1" x14ac:dyDescent="0.25">
      <c r="A790" s="8"/>
      <c r="B790" s="8"/>
      <c r="C790" s="8"/>
      <c r="D790" s="8"/>
    </row>
    <row r="791" spans="1:4" ht="14.25" customHeight="1" x14ac:dyDescent="0.25">
      <c r="A791" s="8"/>
      <c r="B791" s="8"/>
      <c r="C791" s="8"/>
      <c r="D791" s="8"/>
    </row>
    <row r="792" spans="1:4" ht="14.25" customHeight="1" x14ac:dyDescent="0.25">
      <c r="A792" s="8"/>
      <c r="B792" s="8"/>
      <c r="C792" s="8"/>
      <c r="D792" s="8"/>
    </row>
    <row r="793" spans="1:4" ht="14.25" customHeight="1" x14ac:dyDescent="0.25">
      <c r="A793" s="8"/>
      <c r="B793" s="8"/>
      <c r="C793" s="8"/>
      <c r="D793" s="8"/>
    </row>
    <row r="794" spans="1:4" ht="14.25" customHeight="1" x14ac:dyDescent="0.25">
      <c r="A794" s="8"/>
      <c r="B794" s="8"/>
      <c r="C794" s="8"/>
      <c r="D794" s="8"/>
    </row>
    <row r="795" spans="1:4" ht="14.25" customHeight="1" x14ac:dyDescent="0.25">
      <c r="A795" s="8"/>
      <c r="B795" s="8"/>
      <c r="C795" s="8"/>
      <c r="D795" s="8"/>
    </row>
    <row r="796" spans="1:4" ht="14.25" customHeight="1" x14ac:dyDescent="0.25">
      <c r="A796" s="8"/>
      <c r="B796" s="8"/>
      <c r="C796" s="8"/>
      <c r="D796" s="8"/>
    </row>
    <row r="797" spans="1:4" ht="14.25" customHeight="1" x14ac:dyDescent="0.25">
      <c r="A797" s="8"/>
      <c r="B797" s="8"/>
      <c r="C797" s="8"/>
      <c r="D797" s="8"/>
    </row>
    <row r="798" spans="1:4" ht="14.25" customHeight="1" x14ac:dyDescent="0.25">
      <c r="A798" s="8"/>
      <c r="B798" s="8"/>
      <c r="C798" s="8"/>
      <c r="D798" s="8"/>
    </row>
    <row r="799" spans="1:4" ht="14.25" customHeight="1" x14ac:dyDescent="0.25">
      <c r="A799" s="8"/>
      <c r="B799" s="8"/>
      <c r="C799" s="8"/>
      <c r="D799" s="8"/>
    </row>
    <row r="800" spans="1:4" ht="14.25" customHeight="1" x14ac:dyDescent="0.25">
      <c r="A800" s="8"/>
      <c r="B800" s="8"/>
      <c r="C800" s="8"/>
      <c r="D800" s="8"/>
    </row>
    <row r="801" spans="1:4" ht="14.25" customHeight="1" x14ac:dyDescent="0.25">
      <c r="A801" s="8"/>
      <c r="B801" s="8"/>
      <c r="C801" s="8"/>
      <c r="D801" s="8"/>
    </row>
    <row r="802" spans="1:4" ht="14.25" customHeight="1" x14ac:dyDescent="0.25">
      <c r="A802" s="8"/>
      <c r="B802" s="8"/>
      <c r="C802" s="8"/>
      <c r="D802" s="8"/>
    </row>
    <row r="803" spans="1:4" ht="14.25" customHeight="1" x14ac:dyDescent="0.25">
      <c r="A803" s="8"/>
      <c r="B803" s="8"/>
      <c r="C803" s="8"/>
      <c r="D803" s="8"/>
    </row>
    <row r="804" spans="1:4" ht="14.25" customHeight="1" x14ac:dyDescent="0.25">
      <c r="A804" s="8"/>
      <c r="B804" s="8"/>
      <c r="C804" s="8"/>
      <c r="D804" s="8"/>
    </row>
    <row r="805" spans="1:4" ht="14.25" customHeight="1" x14ac:dyDescent="0.25">
      <c r="A805" s="8"/>
      <c r="B805" s="8"/>
      <c r="C805" s="8"/>
      <c r="D805" s="8"/>
    </row>
    <row r="806" spans="1:4" ht="14.25" customHeight="1" x14ac:dyDescent="0.25">
      <c r="A806" s="8"/>
      <c r="B806" s="8"/>
      <c r="C806" s="8"/>
      <c r="D806" s="8"/>
    </row>
    <row r="807" spans="1:4" ht="14.25" customHeight="1" x14ac:dyDescent="0.25">
      <c r="A807" s="8"/>
      <c r="B807" s="8"/>
      <c r="C807" s="8"/>
      <c r="D807" s="8"/>
    </row>
    <row r="808" spans="1:4" ht="14.25" customHeight="1" x14ac:dyDescent="0.25">
      <c r="A808" s="8"/>
      <c r="B808" s="8"/>
      <c r="C808" s="8"/>
      <c r="D808" s="8"/>
    </row>
    <row r="809" spans="1:4" ht="14.25" customHeight="1" x14ac:dyDescent="0.25">
      <c r="A809" s="8"/>
      <c r="B809" s="8"/>
      <c r="C809" s="8"/>
      <c r="D809" s="8"/>
    </row>
    <row r="810" spans="1:4" ht="14.25" customHeight="1" x14ac:dyDescent="0.25">
      <c r="A810" s="8"/>
      <c r="B810" s="8"/>
      <c r="C810" s="8"/>
      <c r="D810" s="8"/>
    </row>
    <row r="811" spans="1:4" ht="14.25" customHeight="1" x14ac:dyDescent="0.25">
      <c r="A811" s="8"/>
      <c r="B811" s="8"/>
      <c r="C811" s="8"/>
      <c r="D811" s="8"/>
    </row>
    <row r="812" spans="1:4" ht="14.25" customHeight="1" x14ac:dyDescent="0.25">
      <c r="A812" s="8"/>
      <c r="B812" s="8"/>
      <c r="C812" s="8"/>
      <c r="D812" s="8"/>
    </row>
    <row r="813" spans="1:4" ht="14.25" customHeight="1" x14ac:dyDescent="0.25">
      <c r="A813" s="8"/>
      <c r="B813" s="8"/>
      <c r="C813" s="8"/>
      <c r="D813" s="8"/>
    </row>
    <row r="814" spans="1:4" ht="14.25" customHeight="1" x14ac:dyDescent="0.25">
      <c r="A814" s="8"/>
      <c r="B814" s="8"/>
      <c r="C814" s="8"/>
      <c r="D814" s="8"/>
    </row>
    <row r="815" spans="1:4" ht="14.25" customHeight="1" x14ac:dyDescent="0.25">
      <c r="A815" s="8"/>
      <c r="B815" s="8"/>
      <c r="C815" s="8"/>
      <c r="D815" s="8"/>
    </row>
    <row r="816" spans="1:4" ht="14.25" customHeight="1" x14ac:dyDescent="0.25">
      <c r="A816" s="8"/>
      <c r="B816" s="8"/>
      <c r="C816" s="8"/>
      <c r="D816" s="8"/>
    </row>
    <row r="817" spans="1:4" ht="14.25" customHeight="1" x14ac:dyDescent="0.25">
      <c r="A817" s="8"/>
      <c r="B817" s="8"/>
      <c r="C817" s="8"/>
      <c r="D817" s="8"/>
    </row>
    <row r="818" spans="1:4" ht="14.25" customHeight="1" x14ac:dyDescent="0.25">
      <c r="A818" s="8"/>
      <c r="B818" s="8"/>
      <c r="C818" s="8"/>
      <c r="D818" s="8"/>
    </row>
    <row r="819" spans="1:4" ht="14.25" customHeight="1" x14ac:dyDescent="0.25">
      <c r="A819" s="8"/>
      <c r="B819" s="8"/>
      <c r="C819" s="8"/>
      <c r="D819" s="8"/>
    </row>
    <row r="820" spans="1:4" ht="14.25" customHeight="1" x14ac:dyDescent="0.25">
      <c r="A820" s="8"/>
      <c r="B820" s="8"/>
      <c r="C820" s="8"/>
      <c r="D820" s="8"/>
    </row>
    <row r="821" spans="1:4" ht="14.25" customHeight="1" x14ac:dyDescent="0.25">
      <c r="A821" s="8"/>
      <c r="B821" s="8"/>
      <c r="C821" s="8"/>
      <c r="D821" s="8"/>
    </row>
    <row r="822" spans="1:4" ht="14.25" customHeight="1" x14ac:dyDescent="0.25">
      <c r="A822" s="8"/>
      <c r="B822" s="8"/>
      <c r="C822" s="8"/>
      <c r="D822" s="8"/>
    </row>
    <row r="823" spans="1:4" ht="14.25" customHeight="1" x14ac:dyDescent="0.25">
      <c r="A823" s="8"/>
      <c r="B823" s="8"/>
      <c r="C823" s="8"/>
      <c r="D823" s="8"/>
    </row>
    <row r="824" spans="1:4" ht="14.25" customHeight="1" x14ac:dyDescent="0.25">
      <c r="A824" s="8"/>
      <c r="B824" s="8"/>
      <c r="C824" s="8"/>
      <c r="D824" s="8"/>
    </row>
    <row r="825" spans="1:4" ht="14.25" customHeight="1" x14ac:dyDescent="0.25">
      <c r="A825" s="8"/>
      <c r="B825" s="8"/>
      <c r="C825" s="8"/>
      <c r="D825" s="8"/>
    </row>
    <row r="826" spans="1:4" ht="14.25" customHeight="1" x14ac:dyDescent="0.25">
      <c r="A826" s="8"/>
      <c r="B826" s="8"/>
      <c r="C826" s="8"/>
      <c r="D826" s="8"/>
    </row>
    <row r="827" spans="1:4" ht="14.25" customHeight="1" x14ac:dyDescent="0.25">
      <c r="A827" s="8"/>
      <c r="B827" s="8"/>
      <c r="C827" s="8"/>
      <c r="D827" s="8"/>
    </row>
    <row r="828" spans="1:4" ht="14.25" customHeight="1" x14ac:dyDescent="0.25">
      <c r="A828" s="8"/>
      <c r="B828" s="8"/>
      <c r="C828" s="8"/>
      <c r="D828" s="8"/>
    </row>
    <row r="829" spans="1:4" ht="14.25" customHeight="1" x14ac:dyDescent="0.25">
      <c r="A829" s="8"/>
      <c r="B829" s="8"/>
      <c r="C829" s="8"/>
      <c r="D829" s="8"/>
    </row>
    <row r="830" spans="1:4" ht="14.25" customHeight="1" x14ac:dyDescent="0.25">
      <c r="A830" s="8"/>
      <c r="B830" s="8"/>
      <c r="C830" s="8"/>
      <c r="D830" s="8"/>
    </row>
    <row r="831" spans="1:4" ht="14.25" customHeight="1" x14ac:dyDescent="0.25">
      <c r="A831" s="8"/>
      <c r="B831" s="8"/>
      <c r="C831" s="8"/>
      <c r="D831" s="8"/>
    </row>
    <row r="832" spans="1:4" ht="14.25" customHeight="1" x14ac:dyDescent="0.25">
      <c r="A832" s="8"/>
      <c r="B832" s="8"/>
      <c r="C832" s="8"/>
      <c r="D832" s="8"/>
    </row>
    <row r="833" spans="1:4" ht="14.25" customHeight="1" x14ac:dyDescent="0.25">
      <c r="A833" s="8"/>
      <c r="B833" s="8"/>
      <c r="C833" s="8"/>
      <c r="D833" s="8"/>
    </row>
    <row r="834" spans="1:4" ht="14.25" customHeight="1" x14ac:dyDescent="0.25">
      <c r="A834" s="8"/>
      <c r="B834" s="8"/>
      <c r="C834" s="8"/>
      <c r="D834" s="8"/>
    </row>
    <row r="835" spans="1:4" ht="14.25" customHeight="1" x14ac:dyDescent="0.25">
      <c r="A835" s="8"/>
      <c r="B835" s="8"/>
      <c r="C835" s="8"/>
      <c r="D835" s="8"/>
    </row>
    <row r="836" spans="1:4" ht="14.25" customHeight="1" x14ac:dyDescent="0.25">
      <c r="A836" s="8"/>
      <c r="B836" s="8"/>
      <c r="C836" s="8"/>
      <c r="D836" s="8"/>
    </row>
    <row r="837" spans="1:4" ht="14.25" customHeight="1" x14ac:dyDescent="0.25">
      <c r="A837" s="8"/>
      <c r="B837" s="8"/>
      <c r="C837" s="8"/>
      <c r="D837" s="8"/>
    </row>
    <row r="838" spans="1:4" ht="14.25" customHeight="1" x14ac:dyDescent="0.25">
      <c r="A838" s="8"/>
      <c r="B838" s="8"/>
      <c r="C838" s="8"/>
      <c r="D838" s="8"/>
    </row>
    <row r="839" spans="1:4" ht="14.25" customHeight="1" x14ac:dyDescent="0.25">
      <c r="A839" s="8"/>
      <c r="B839" s="8"/>
      <c r="C839" s="8"/>
      <c r="D839" s="8"/>
    </row>
    <row r="840" spans="1:4" ht="14.25" customHeight="1" x14ac:dyDescent="0.25">
      <c r="A840" s="8"/>
      <c r="B840" s="8"/>
      <c r="C840" s="8"/>
      <c r="D840" s="8"/>
    </row>
    <row r="841" spans="1:4" ht="14.25" customHeight="1" x14ac:dyDescent="0.25">
      <c r="A841" s="8"/>
      <c r="B841" s="8"/>
      <c r="C841" s="8"/>
      <c r="D841" s="8"/>
    </row>
    <row r="842" spans="1:4" ht="14.25" customHeight="1" x14ac:dyDescent="0.25">
      <c r="A842" s="8"/>
      <c r="B842" s="8"/>
      <c r="C842" s="8"/>
      <c r="D842" s="8"/>
    </row>
    <row r="843" spans="1:4" ht="14.25" customHeight="1" x14ac:dyDescent="0.25">
      <c r="A843" s="8"/>
      <c r="B843" s="8"/>
      <c r="C843" s="8"/>
      <c r="D843" s="8"/>
    </row>
    <row r="844" spans="1:4" ht="14.25" customHeight="1" x14ac:dyDescent="0.25">
      <c r="A844" s="8"/>
      <c r="B844" s="8"/>
      <c r="C844" s="8"/>
      <c r="D844" s="8"/>
    </row>
    <row r="845" spans="1:4" ht="14.25" customHeight="1" x14ac:dyDescent="0.25">
      <c r="A845" s="8"/>
      <c r="B845" s="8"/>
      <c r="C845" s="8"/>
      <c r="D845" s="8"/>
    </row>
    <row r="846" spans="1:4" ht="14.25" customHeight="1" x14ac:dyDescent="0.25">
      <c r="A846" s="8"/>
      <c r="B846" s="8"/>
      <c r="C846" s="8"/>
      <c r="D846" s="8"/>
    </row>
    <row r="847" spans="1:4" ht="14.25" customHeight="1" x14ac:dyDescent="0.25">
      <c r="A847" s="8"/>
      <c r="B847" s="8"/>
      <c r="C847" s="8"/>
      <c r="D847" s="8"/>
    </row>
    <row r="848" spans="1:4" ht="14.25" customHeight="1" x14ac:dyDescent="0.25">
      <c r="A848" s="8"/>
      <c r="B848" s="8"/>
      <c r="C848" s="8"/>
      <c r="D848" s="8"/>
    </row>
    <row r="849" spans="1:4" ht="14.25" customHeight="1" x14ac:dyDescent="0.25">
      <c r="A849" s="8"/>
      <c r="B849" s="8"/>
      <c r="C849" s="8"/>
      <c r="D849" s="8"/>
    </row>
    <row r="850" spans="1:4" ht="14.25" customHeight="1" x14ac:dyDescent="0.25">
      <c r="A850" s="8"/>
      <c r="B850" s="8"/>
      <c r="C850" s="8"/>
      <c r="D850" s="8"/>
    </row>
    <row r="851" spans="1:4" ht="14.25" customHeight="1" x14ac:dyDescent="0.25">
      <c r="A851" s="8"/>
      <c r="B851" s="8"/>
      <c r="C851" s="8"/>
      <c r="D851" s="8"/>
    </row>
    <row r="852" spans="1:4" ht="14.25" customHeight="1" x14ac:dyDescent="0.25">
      <c r="A852" s="8"/>
      <c r="B852" s="8"/>
      <c r="C852" s="8"/>
      <c r="D852" s="8"/>
    </row>
    <row r="853" spans="1:4" ht="14.25" customHeight="1" x14ac:dyDescent="0.25">
      <c r="A853" s="8"/>
      <c r="B853" s="8"/>
      <c r="C853" s="8"/>
      <c r="D853" s="8"/>
    </row>
    <row r="854" spans="1:4" ht="14.25" customHeight="1" x14ac:dyDescent="0.25">
      <c r="A854" s="8"/>
      <c r="B854" s="8"/>
      <c r="C854" s="8"/>
      <c r="D854" s="8"/>
    </row>
    <row r="855" spans="1:4" ht="14.25" customHeight="1" x14ac:dyDescent="0.25">
      <c r="A855" s="8"/>
      <c r="B855" s="8"/>
      <c r="C855" s="8"/>
      <c r="D855" s="8"/>
    </row>
    <row r="856" spans="1:4" ht="14.25" customHeight="1" x14ac:dyDescent="0.25">
      <c r="A856" s="8"/>
      <c r="B856" s="8"/>
      <c r="C856" s="8"/>
      <c r="D856" s="8"/>
    </row>
    <row r="857" spans="1:4" ht="14.25" customHeight="1" x14ac:dyDescent="0.25">
      <c r="A857" s="8"/>
      <c r="B857" s="8"/>
      <c r="C857" s="8"/>
      <c r="D857" s="8"/>
    </row>
    <row r="858" spans="1:4" ht="14.25" customHeight="1" x14ac:dyDescent="0.25">
      <c r="A858" s="8"/>
      <c r="B858" s="8"/>
      <c r="C858" s="8"/>
      <c r="D858" s="8"/>
    </row>
    <row r="859" spans="1:4" ht="14.25" customHeight="1" x14ac:dyDescent="0.25">
      <c r="A859" s="8"/>
      <c r="B859" s="8"/>
      <c r="C859" s="8"/>
      <c r="D859" s="8"/>
    </row>
    <row r="860" spans="1:4" ht="14.25" customHeight="1" x14ac:dyDescent="0.25">
      <c r="A860" s="8"/>
      <c r="B860" s="8"/>
      <c r="C860" s="8"/>
      <c r="D860" s="8"/>
    </row>
    <row r="861" spans="1:4" ht="14.25" customHeight="1" x14ac:dyDescent="0.25">
      <c r="A861" s="8"/>
      <c r="B861" s="8"/>
      <c r="C861" s="8"/>
      <c r="D861" s="8"/>
    </row>
    <row r="862" spans="1:4" ht="14.25" customHeight="1" x14ac:dyDescent="0.25">
      <c r="A862" s="8"/>
      <c r="B862" s="8"/>
      <c r="C862" s="8"/>
      <c r="D862" s="8"/>
    </row>
    <row r="863" spans="1:4" ht="14.25" customHeight="1" x14ac:dyDescent="0.25">
      <c r="A863" s="8"/>
      <c r="B863" s="8"/>
      <c r="C863" s="8"/>
      <c r="D863" s="8"/>
    </row>
    <row r="864" spans="1:4" ht="14.25" customHeight="1" x14ac:dyDescent="0.25">
      <c r="A864" s="8"/>
      <c r="B864" s="8"/>
      <c r="C864" s="8"/>
      <c r="D864" s="8"/>
    </row>
    <row r="865" spans="1:4" ht="14.25" customHeight="1" x14ac:dyDescent="0.25">
      <c r="A865" s="8"/>
      <c r="B865" s="8"/>
      <c r="C865" s="8"/>
      <c r="D865" s="8"/>
    </row>
    <row r="866" spans="1:4" ht="14.25" customHeight="1" x14ac:dyDescent="0.25">
      <c r="A866" s="8"/>
      <c r="B866" s="8"/>
      <c r="C866" s="8"/>
      <c r="D866" s="8"/>
    </row>
    <row r="867" spans="1:4" ht="14.25" customHeight="1" x14ac:dyDescent="0.25">
      <c r="A867" s="8"/>
      <c r="B867" s="8"/>
      <c r="C867" s="8"/>
      <c r="D867" s="8"/>
    </row>
    <row r="868" spans="1:4" ht="14.25" customHeight="1" x14ac:dyDescent="0.25">
      <c r="A868" s="8"/>
      <c r="B868" s="8"/>
      <c r="C868" s="8"/>
      <c r="D868" s="8"/>
    </row>
    <row r="869" spans="1:4" ht="14.25" customHeight="1" x14ac:dyDescent="0.25">
      <c r="A869" s="8"/>
      <c r="B869" s="8"/>
      <c r="C869" s="8"/>
      <c r="D869" s="8"/>
    </row>
    <row r="870" spans="1:4" ht="14.25" customHeight="1" x14ac:dyDescent="0.25">
      <c r="A870" s="8"/>
      <c r="B870" s="8"/>
      <c r="C870" s="8"/>
      <c r="D870" s="8"/>
    </row>
    <row r="871" spans="1:4" ht="14.25" customHeight="1" x14ac:dyDescent="0.25">
      <c r="A871" s="8"/>
      <c r="B871" s="8"/>
      <c r="C871" s="8"/>
      <c r="D871" s="8"/>
    </row>
    <row r="872" spans="1:4" ht="14.25" customHeight="1" x14ac:dyDescent="0.25">
      <c r="A872" s="8"/>
      <c r="B872" s="8"/>
      <c r="C872" s="8"/>
      <c r="D872" s="8"/>
    </row>
    <row r="873" spans="1:4" ht="14.25" customHeight="1" x14ac:dyDescent="0.25">
      <c r="A873" s="8"/>
      <c r="B873" s="8"/>
      <c r="C873" s="8"/>
      <c r="D873" s="8"/>
    </row>
    <row r="874" spans="1:4" ht="14.25" customHeight="1" x14ac:dyDescent="0.25">
      <c r="A874" s="8"/>
      <c r="B874" s="8"/>
      <c r="C874" s="8"/>
      <c r="D874" s="8"/>
    </row>
    <row r="875" spans="1:4" ht="14.25" customHeight="1" x14ac:dyDescent="0.25">
      <c r="A875" s="8"/>
      <c r="B875" s="8"/>
      <c r="C875" s="8"/>
      <c r="D875" s="8"/>
    </row>
    <row r="876" spans="1:4" ht="14.25" customHeight="1" x14ac:dyDescent="0.25">
      <c r="A876" s="8"/>
      <c r="B876" s="8"/>
      <c r="C876" s="8"/>
      <c r="D876" s="8"/>
    </row>
    <row r="877" spans="1:4" ht="14.25" customHeight="1" x14ac:dyDescent="0.25">
      <c r="A877" s="8"/>
      <c r="B877" s="8"/>
      <c r="C877" s="8"/>
      <c r="D877" s="8"/>
    </row>
    <row r="878" spans="1:4" ht="14.25" customHeight="1" x14ac:dyDescent="0.25">
      <c r="A878" s="8"/>
      <c r="B878" s="8"/>
      <c r="C878" s="8"/>
      <c r="D878" s="8"/>
    </row>
    <row r="879" spans="1:4" ht="14.25" customHeight="1" x14ac:dyDescent="0.25">
      <c r="A879" s="8"/>
      <c r="B879" s="8"/>
      <c r="C879" s="8"/>
      <c r="D879" s="8"/>
    </row>
    <row r="880" spans="1:4" ht="14.25" customHeight="1" x14ac:dyDescent="0.25">
      <c r="A880" s="8"/>
      <c r="B880" s="8"/>
      <c r="C880" s="8"/>
      <c r="D880" s="8"/>
    </row>
    <row r="881" spans="1:4" ht="14.25" customHeight="1" x14ac:dyDescent="0.25">
      <c r="A881" s="8"/>
      <c r="B881" s="8"/>
      <c r="C881" s="8"/>
      <c r="D881" s="8"/>
    </row>
    <row r="882" spans="1:4" ht="14.25" customHeight="1" x14ac:dyDescent="0.25">
      <c r="A882" s="8"/>
      <c r="B882" s="8"/>
      <c r="C882" s="8"/>
      <c r="D882" s="8"/>
    </row>
    <row r="883" spans="1:4" ht="14.25" customHeight="1" x14ac:dyDescent="0.25">
      <c r="A883" s="8"/>
      <c r="B883" s="8"/>
      <c r="C883" s="8"/>
      <c r="D883" s="8"/>
    </row>
    <row r="884" spans="1:4" ht="14.25" customHeight="1" x14ac:dyDescent="0.25">
      <c r="A884" s="8"/>
      <c r="B884" s="8"/>
      <c r="C884" s="8"/>
      <c r="D884" s="8"/>
    </row>
    <row r="885" spans="1:4" ht="14.25" customHeight="1" x14ac:dyDescent="0.25">
      <c r="A885" s="8"/>
      <c r="B885" s="8"/>
      <c r="C885" s="8"/>
      <c r="D885" s="8"/>
    </row>
    <row r="886" spans="1:4" ht="14.25" customHeight="1" x14ac:dyDescent="0.25">
      <c r="A886" s="8"/>
      <c r="B886" s="8"/>
      <c r="C886" s="8"/>
      <c r="D886" s="8"/>
    </row>
    <row r="887" spans="1:4" ht="14.25" customHeight="1" x14ac:dyDescent="0.25">
      <c r="A887" s="8"/>
      <c r="B887" s="8"/>
      <c r="C887" s="8"/>
      <c r="D887" s="8"/>
    </row>
    <row r="888" spans="1:4" ht="14.25" customHeight="1" x14ac:dyDescent="0.25">
      <c r="A888" s="8"/>
      <c r="B888" s="8"/>
      <c r="C888" s="8"/>
      <c r="D888" s="8"/>
    </row>
    <row r="889" spans="1:4" ht="14.25" customHeight="1" x14ac:dyDescent="0.25">
      <c r="A889" s="8"/>
      <c r="B889" s="8"/>
      <c r="C889" s="8"/>
      <c r="D889" s="8"/>
    </row>
    <row r="890" spans="1:4" ht="14.25" customHeight="1" x14ac:dyDescent="0.25">
      <c r="A890" s="8"/>
      <c r="B890" s="8"/>
      <c r="C890" s="8"/>
      <c r="D890" s="8"/>
    </row>
    <row r="891" spans="1:4" ht="14.25" customHeight="1" x14ac:dyDescent="0.25">
      <c r="A891" s="8"/>
      <c r="B891" s="8"/>
      <c r="C891" s="8"/>
      <c r="D891" s="8"/>
    </row>
    <row r="892" spans="1:4" ht="14.25" customHeight="1" x14ac:dyDescent="0.25">
      <c r="A892" s="8"/>
      <c r="B892" s="8"/>
      <c r="C892" s="8"/>
      <c r="D892" s="8"/>
    </row>
    <row r="893" spans="1:4" ht="14.25" customHeight="1" x14ac:dyDescent="0.25">
      <c r="A893" s="8"/>
      <c r="B893" s="8"/>
      <c r="C893" s="8"/>
      <c r="D893" s="8"/>
    </row>
    <row r="894" spans="1:4" ht="14.25" customHeight="1" x14ac:dyDescent="0.25">
      <c r="A894" s="8"/>
      <c r="B894" s="8"/>
      <c r="C894" s="8"/>
      <c r="D894" s="8"/>
    </row>
    <row r="895" spans="1:4" ht="14.25" customHeight="1" x14ac:dyDescent="0.25">
      <c r="A895" s="8"/>
      <c r="B895" s="8"/>
      <c r="C895" s="8"/>
      <c r="D895" s="8"/>
    </row>
    <row r="896" spans="1:4" ht="14.25" customHeight="1" x14ac:dyDescent="0.25">
      <c r="A896" s="8"/>
      <c r="B896" s="8"/>
      <c r="C896" s="8"/>
      <c r="D896" s="8"/>
    </row>
    <row r="897" spans="1:4" ht="14.25" customHeight="1" x14ac:dyDescent="0.25">
      <c r="A897" s="8"/>
      <c r="B897" s="8"/>
      <c r="C897" s="8"/>
      <c r="D897" s="8"/>
    </row>
    <row r="898" spans="1:4" ht="14.25" customHeight="1" x14ac:dyDescent="0.25">
      <c r="A898" s="8"/>
      <c r="B898" s="8"/>
      <c r="C898" s="8"/>
      <c r="D898" s="8"/>
    </row>
    <row r="899" spans="1:4" ht="14.25" customHeight="1" x14ac:dyDescent="0.25">
      <c r="A899" s="8"/>
      <c r="B899" s="8"/>
      <c r="C899" s="8"/>
      <c r="D899" s="8"/>
    </row>
    <row r="900" spans="1:4" ht="14.25" customHeight="1" x14ac:dyDescent="0.25">
      <c r="A900" s="8"/>
      <c r="B900" s="8"/>
      <c r="C900" s="8"/>
      <c r="D900" s="8"/>
    </row>
    <row r="901" spans="1:4" ht="14.25" customHeight="1" x14ac:dyDescent="0.25">
      <c r="A901" s="8"/>
      <c r="B901" s="8"/>
      <c r="C901" s="8"/>
      <c r="D901" s="8"/>
    </row>
    <row r="902" spans="1:4" ht="14.25" customHeight="1" x14ac:dyDescent="0.25">
      <c r="A902" s="8"/>
      <c r="B902" s="8"/>
      <c r="C902" s="8"/>
      <c r="D902" s="8"/>
    </row>
    <row r="903" spans="1:4" ht="14.25" customHeight="1" x14ac:dyDescent="0.25">
      <c r="A903" s="8"/>
      <c r="B903" s="8"/>
      <c r="C903" s="8"/>
      <c r="D903" s="8"/>
    </row>
    <row r="904" spans="1:4" ht="14.25" customHeight="1" x14ac:dyDescent="0.25">
      <c r="A904" s="8"/>
      <c r="B904" s="8"/>
      <c r="C904" s="8"/>
      <c r="D904" s="8"/>
    </row>
    <row r="905" spans="1:4" ht="14.25" customHeight="1" x14ac:dyDescent="0.25">
      <c r="A905" s="8"/>
      <c r="B905" s="8"/>
      <c r="C905" s="8"/>
      <c r="D905" s="8"/>
    </row>
    <row r="906" spans="1:4" ht="14.25" customHeight="1" x14ac:dyDescent="0.25">
      <c r="A906" s="8"/>
      <c r="B906" s="8"/>
      <c r="C906" s="8"/>
      <c r="D906" s="8"/>
    </row>
    <row r="907" spans="1:4" ht="14.25" customHeight="1" x14ac:dyDescent="0.25">
      <c r="A907" s="8"/>
      <c r="B907" s="8"/>
      <c r="C907" s="8"/>
      <c r="D907" s="8"/>
    </row>
    <row r="908" spans="1:4" ht="14.25" customHeight="1" x14ac:dyDescent="0.25">
      <c r="A908" s="8"/>
      <c r="B908" s="8"/>
      <c r="C908" s="8"/>
      <c r="D908" s="8"/>
    </row>
    <row r="909" spans="1:4" ht="14.25" customHeight="1" x14ac:dyDescent="0.25">
      <c r="A909" s="8"/>
      <c r="B909" s="8"/>
      <c r="C909" s="8"/>
      <c r="D909" s="8"/>
    </row>
    <row r="910" spans="1:4" ht="14.25" customHeight="1" x14ac:dyDescent="0.25">
      <c r="A910" s="8"/>
      <c r="B910" s="8"/>
      <c r="C910" s="8"/>
      <c r="D910" s="8"/>
    </row>
    <row r="911" spans="1:4" ht="14.25" customHeight="1" x14ac:dyDescent="0.25">
      <c r="A911" s="8"/>
      <c r="B911" s="8"/>
      <c r="C911" s="8"/>
      <c r="D911" s="8"/>
    </row>
    <row r="912" spans="1:4" ht="14.25" customHeight="1" x14ac:dyDescent="0.25">
      <c r="A912" s="8"/>
      <c r="B912" s="8"/>
      <c r="C912" s="8"/>
      <c r="D912" s="8"/>
    </row>
    <row r="913" spans="1:4" ht="14.25" customHeight="1" x14ac:dyDescent="0.25">
      <c r="A913" s="8"/>
      <c r="B913" s="8"/>
      <c r="C913" s="8"/>
      <c r="D913" s="8"/>
    </row>
    <row r="914" spans="1:4" ht="14.25" customHeight="1" x14ac:dyDescent="0.25">
      <c r="A914" s="8"/>
      <c r="B914" s="8"/>
      <c r="C914" s="8"/>
      <c r="D914" s="8"/>
    </row>
    <row r="915" spans="1:4" ht="14.25" customHeight="1" x14ac:dyDescent="0.25">
      <c r="A915" s="8"/>
      <c r="B915" s="8"/>
      <c r="C915" s="8"/>
      <c r="D915" s="8"/>
    </row>
    <row r="916" spans="1:4" ht="14.25" customHeight="1" x14ac:dyDescent="0.25">
      <c r="A916" s="8"/>
      <c r="B916" s="8"/>
      <c r="C916" s="8"/>
      <c r="D916" s="8"/>
    </row>
    <row r="917" spans="1:4" ht="14.25" customHeight="1" x14ac:dyDescent="0.25">
      <c r="A917" s="8"/>
      <c r="B917" s="8"/>
      <c r="C917" s="8"/>
      <c r="D917" s="8"/>
    </row>
    <row r="918" spans="1:4" ht="14.25" customHeight="1" x14ac:dyDescent="0.25">
      <c r="A918" s="8"/>
      <c r="B918" s="8"/>
      <c r="C918" s="8"/>
      <c r="D918" s="8"/>
    </row>
    <row r="919" spans="1:4" ht="14.25" customHeight="1" x14ac:dyDescent="0.25">
      <c r="A919" s="8"/>
      <c r="B919" s="8"/>
      <c r="C919" s="8"/>
      <c r="D919" s="8"/>
    </row>
    <row r="920" spans="1:4" ht="14.25" customHeight="1" x14ac:dyDescent="0.25">
      <c r="A920" s="8"/>
      <c r="B920" s="8"/>
      <c r="C920" s="8"/>
      <c r="D920" s="8"/>
    </row>
    <row r="921" spans="1:4" ht="14.25" customHeight="1" x14ac:dyDescent="0.25">
      <c r="A921" s="8"/>
      <c r="B921" s="8"/>
      <c r="C921" s="8"/>
      <c r="D921" s="8"/>
    </row>
    <row r="922" spans="1:4" ht="14.25" customHeight="1" x14ac:dyDescent="0.25">
      <c r="A922" s="8"/>
      <c r="B922" s="8"/>
      <c r="C922" s="8"/>
      <c r="D922" s="8"/>
    </row>
    <row r="923" spans="1:4" ht="14.25" customHeight="1" x14ac:dyDescent="0.25">
      <c r="A923" s="8"/>
      <c r="B923" s="8"/>
      <c r="C923" s="8"/>
      <c r="D923" s="8"/>
    </row>
    <row r="924" spans="1:4" ht="14.25" customHeight="1" x14ac:dyDescent="0.25">
      <c r="A924" s="8"/>
      <c r="B924" s="8"/>
      <c r="C924" s="8"/>
      <c r="D924" s="8"/>
    </row>
    <row r="925" spans="1:4" ht="14.25" customHeight="1" x14ac:dyDescent="0.25">
      <c r="A925" s="8"/>
      <c r="B925" s="8"/>
      <c r="C925" s="8"/>
      <c r="D925" s="8"/>
    </row>
    <row r="926" spans="1:4" ht="14.25" customHeight="1" x14ac:dyDescent="0.25">
      <c r="A926" s="8"/>
      <c r="B926" s="8"/>
      <c r="C926" s="8"/>
      <c r="D926" s="8"/>
    </row>
    <row r="927" spans="1:4" ht="14.25" customHeight="1" x14ac:dyDescent="0.25">
      <c r="A927" s="8"/>
      <c r="B927" s="8"/>
      <c r="C927" s="8"/>
      <c r="D927" s="8"/>
    </row>
    <row r="928" spans="1:4" ht="14.25" customHeight="1" x14ac:dyDescent="0.25">
      <c r="A928" s="8"/>
      <c r="B928" s="8"/>
      <c r="C928" s="8"/>
      <c r="D928" s="8"/>
    </row>
    <row r="929" spans="1:4" ht="14.25" customHeight="1" x14ac:dyDescent="0.25">
      <c r="A929" s="8"/>
      <c r="B929" s="8"/>
      <c r="C929" s="8"/>
      <c r="D929" s="8"/>
    </row>
    <row r="930" spans="1:4" ht="14.25" customHeight="1" x14ac:dyDescent="0.25">
      <c r="A930" s="8"/>
      <c r="B930" s="8"/>
      <c r="C930" s="8"/>
      <c r="D930" s="8"/>
    </row>
    <row r="931" spans="1:4" ht="14.25" customHeight="1" x14ac:dyDescent="0.25">
      <c r="A931" s="8"/>
      <c r="B931" s="8"/>
      <c r="C931" s="8"/>
      <c r="D931" s="8"/>
    </row>
    <row r="932" spans="1:4" ht="14.25" customHeight="1" x14ac:dyDescent="0.25">
      <c r="A932" s="8"/>
      <c r="B932" s="8"/>
      <c r="C932" s="8"/>
      <c r="D932" s="8"/>
    </row>
    <row r="933" spans="1:4" ht="14.25" customHeight="1" x14ac:dyDescent="0.25">
      <c r="A933" s="8"/>
      <c r="B933" s="8"/>
      <c r="C933" s="8"/>
      <c r="D933" s="8"/>
    </row>
    <row r="934" spans="1:4" ht="14.25" customHeight="1" x14ac:dyDescent="0.25">
      <c r="A934" s="8"/>
      <c r="B934" s="8"/>
      <c r="C934" s="8"/>
      <c r="D934" s="8"/>
    </row>
    <row r="935" spans="1:4" ht="14.25" customHeight="1" x14ac:dyDescent="0.25">
      <c r="A935" s="8"/>
      <c r="B935" s="8"/>
      <c r="C935" s="8"/>
      <c r="D935" s="8"/>
    </row>
    <row r="936" spans="1:4" ht="14.25" customHeight="1" x14ac:dyDescent="0.25">
      <c r="A936" s="8"/>
      <c r="B936" s="8"/>
      <c r="C936" s="8"/>
      <c r="D936" s="8"/>
    </row>
    <row r="937" spans="1:4" ht="14.25" customHeight="1" x14ac:dyDescent="0.25">
      <c r="A937" s="8"/>
      <c r="B937" s="8"/>
      <c r="C937" s="8"/>
      <c r="D937" s="8"/>
    </row>
    <row r="938" spans="1:4" ht="14.25" customHeight="1" x14ac:dyDescent="0.25">
      <c r="A938" s="8"/>
      <c r="B938" s="8"/>
      <c r="C938" s="8"/>
      <c r="D938" s="8"/>
    </row>
    <row r="939" spans="1:4" ht="14.25" customHeight="1" x14ac:dyDescent="0.25">
      <c r="A939" s="8"/>
      <c r="B939" s="8"/>
      <c r="C939" s="8"/>
      <c r="D939" s="8"/>
    </row>
    <row r="940" spans="1:4" ht="14.25" customHeight="1" x14ac:dyDescent="0.25">
      <c r="A940" s="8"/>
      <c r="B940" s="8"/>
      <c r="C940" s="8"/>
      <c r="D940" s="8"/>
    </row>
    <row r="941" spans="1:4" ht="14.25" customHeight="1" x14ac:dyDescent="0.25">
      <c r="A941" s="8"/>
      <c r="B941" s="8"/>
      <c r="C941" s="8"/>
      <c r="D941" s="8"/>
    </row>
    <row r="942" spans="1:4" ht="14.25" customHeight="1" x14ac:dyDescent="0.25">
      <c r="A942" s="8"/>
      <c r="B942" s="8"/>
      <c r="C942" s="8"/>
      <c r="D942" s="8"/>
    </row>
    <row r="943" spans="1:4" ht="14.25" customHeight="1" x14ac:dyDescent="0.25">
      <c r="A943" s="8"/>
      <c r="B943" s="8"/>
      <c r="C943" s="8"/>
      <c r="D943" s="8"/>
    </row>
    <row r="944" spans="1:4" ht="14.25" customHeight="1" x14ac:dyDescent="0.25">
      <c r="A944" s="8"/>
      <c r="B944" s="8"/>
      <c r="C944" s="8"/>
      <c r="D944" s="8"/>
    </row>
    <row r="945" spans="1:4" ht="14.25" customHeight="1" x14ac:dyDescent="0.25">
      <c r="A945" s="8"/>
      <c r="B945" s="8"/>
      <c r="C945" s="8"/>
      <c r="D945" s="8"/>
    </row>
    <row r="946" spans="1:4" ht="14.25" customHeight="1" x14ac:dyDescent="0.25">
      <c r="A946" s="8"/>
      <c r="B946" s="8"/>
      <c r="C946" s="8"/>
      <c r="D946" s="8"/>
    </row>
    <row r="947" spans="1:4" ht="14.25" customHeight="1" x14ac:dyDescent="0.25">
      <c r="A947" s="8"/>
      <c r="B947" s="8"/>
      <c r="C947" s="8"/>
      <c r="D947" s="8"/>
    </row>
    <row r="948" spans="1:4" ht="14.25" customHeight="1" x14ac:dyDescent="0.25">
      <c r="A948" s="8"/>
      <c r="B948" s="8"/>
      <c r="C948" s="8"/>
      <c r="D948" s="8"/>
    </row>
    <row r="949" spans="1:4" ht="14.25" customHeight="1" x14ac:dyDescent="0.25">
      <c r="A949" s="8"/>
      <c r="B949" s="8"/>
      <c r="C949" s="8"/>
      <c r="D949" s="8"/>
    </row>
    <row r="950" spans="1:4" ht="14.25" customHeight="1" x14ac:dyDescent="0.25">
      <c r="A950" s="8"/>
      <c r="B950" s="8"/>
      <c r="C950" s="8"/>
      <c r="D950" s="8"/>
    </row>
    <row r="951" spans="1:4" ht="14.25" customHeight="1" x14ac:dyDescent="0.25">
      <c r="A951" s="8"/>
      <c r="B951" s="8"/>
      <c r="C951" s="8"/>
      <c r="D951" s="8"/>
    </row>
    <row r="952" spans="1:4" ht="14.25" customHeight="1" x14ac:dyDescent="0.25">
      <c r="A952" s="8"/>
      <c r="B952" s="8"/>
      <c r="C952" s="8"/>
      <c r="D952" s="8"/>
    </row>
    <row r="953" spans="1:4" ht="14.25" customHeight="1" x14ac:dyDescent="0.25">
      <c r="A953" s="8"/>
      <c r="B953" s="8"/>
      <c r="C953" s="8"/>
      <c r="D953" s="8"/>
    </row>
    <row r="954" spans="1:4" ht="14.25" customHeight="1" x14ac:dyDescent="0.25">
      <c r="A954" s="8"/>
      <c r="B954" s="8"/>
      <c r="C954" s="8"/>
      <c r="D954" s="8"/>
    </row>
    <row r="955" spans="1:4" ht="14.25" customHeight="1" x14ac:dyDescent="0.25">
      <c r="A955" s="8"/>
      <c r="B955" s="8"/>
      <c r="C955" s="8"/>
      <c r="D955" s="8"/>
    </row>
    <row r="956" spans="1:4" ht="14.25" customHeight="1" x14ac:dyDescent="0.25">
      <c r="A956" s="8"/>
      <c r="B956" s="8"/>
      <c r="C956" s="8"/>
      <c r="D956" s="8"/>
    </row>
    <row r="957" spans="1:4" ht="14.25" customHeight="1" x14ac:dyDescent="0.25">
      <c r="A957" s="8"/>
      <c r="B957" s="8"/>
      <c r="C957" s="8"/>
      <c r="D957" s="8"/>
    </row>
    <row r="958" spans="1:4" ht="14.25" customHeight="1" x14ac:dyDescent="0.25">
      <c r="A958" s="8"/>
      <c r="B958" s="8"/>
      <c r="C958" s="8"/>
      <c r="D958" s="8"/>
    </row>
    <row r="959" spans="1:4" ht="14.25" customHeight="1" x14ac:dyDescent="0.25">
      <c r="A959" s="8"/>
      <c r="B959" s="8"/>
      <c r="C959" s="8"/>
      <c r="D959" s="8"/>
    </row>
    <row r="960" spans="1:4" ht="14.25" customHeight="1" x14ac:dyDescent="0.25">
      <c r="A960" s="8"/>
      <c r="B960" s="8"/>
      <c r="C960" s="8"/>
      <c r="D960" s="8"/>
    </row>
    <row r="961" spans="1:4" ht="14.25" customHeight="1" x14ac:dyDescent="0.25">
      <c r="A961" s="8"/>
      <c r="B961" s="8"/>
      <c r="C961" s="8"/>
      <c r="D961" s="8"/>
    </row>
    <row r="962" spans="1:4" ht="14.25" customHeight="1" x14ac:dyDescent="0.25">
      <c r="A962" s="8"/>
      <c r="B962" s="8"/>
      <c r="C962" s="8"/>
      <c r="D962" s="8"/>
    </row>
    <row r="963" spans="1:4" ht="14.25" customHeight="1" x14ac:dyDescent="0.25">
      <c r="A963" s="8"/>
      <c r="B963" s="8"/>
      <c r="C963" s="8"/>
      <c r="D963" s="8"/>
    </row>
    <row r="964" spans="1:4" ht="14.25" customHeight="1" x14ac:dyDescent="0.25">
      <c r="A964" s="8"/>
      <c r="B964" s="8"/>
      <c r="C964" s="8"/>
      <c r="D964" s="8"/>
    </row>
    <row r="965" spans="1:4" ht="14.25" customHeight="1" x14ac:dyDescent="0.25">
      <c r="A965" s="8"/>
      <c r="B965" s="8"/>
      <c r="C965" s="8"/>
      <c r="D965" s="8"/>
    </row>
    <row r="966" spans="1:4" ht="14.25" customHeight="1" x14ac:dyDescent="0.25">
      <c r="A966" s="8"/>
      <c r="B966" s="8"/>
      <c r="C966" s="8"/>
      <c r="D966" s="8"/>
    </row>
    <row r="967" spans="1:4" ht="14.25" customHeight="1" x14ac:dyDescent="0.25">
      <c r="A967" s="8"/>
      <c r="B967" s="8"/>
      <c r="C967" s="8"/>
      <c r="D967" s="8"/>
    </row>
    <row r="968" spans="1:4" ht="14.25" customHeight="1" x14ac:dyDescent="0.25">
      <c r="A968" s="8"/>
      <c r="B968" s="8"/>
      <c r="C968" s="8"/>
      <c r="D968" s="8"/>
    </row>
    <row r="969" spans="1:4" ht="14.25" customHeight="1" x14ac:dyDescent="0.25">
      <c r="A969" s="8"/>
      <c r="B969" s="8"/>
      <c r="C969" s="8"/>
      <c r="D969" s="8"/>
    </row>
    <row r="970" spans="1:4" ht="14.25" customHeight="1" x14ac:dyDescent="0.25">
      <c r="A970" s="8"/>
      <c r="B970" s="8"/>
      <c r="C970" s="8"/>
      <c r="D970" s="8"/>
    </row>
    <row r="971" spans="1:4" ht="14.25" customHeight="1" x14ac:dyDescent="0.25">
      <c r="A971" s="8"/>
      <c r="B971" s="8"/>
      <c r="C971" s="8"/>
      <c r="D971" s="8"/>
    </row>
    <row r="972" spans="1:4" ht="14.25" customHeight="1" x14ac:dyDescent="0.25">
      <c r="A972" s="8"/>
      <c r="B972" s="8"/>
      <c r="C972" s="8"/>
      <c r="D972" s="8"/>
    </row>
    <row r="973" spans="1:4" ht="14.25" customHeight="1" x14ac:dyDescent="0.25">
      <c r="A973" s="8"/>
      <c r="B973" s="8"/>
      <c r="C973" s="8"/>
      <c r="D973" s="8"/>
    </row>
    <row r="974" spans="1:4" ht="14.25" customHeight="1" x14ac:dyDescent="0.25">
      <c r="A974" s="8"/>
      <c r="B974" s="8"/>
      <c r="C974" s="8"/>
      <c r="D974" s="8"/>
    </row>
    <row r="975" spans="1:4" ht="14.25" customHeight="1" x14ac:dyDescent="0.25">
      <c r="A975" s="8"/>
      <c r="B975" s="8"/>
      <c r="C975" s="8"/>
      <c r="D975" s="8"/>
    </row>
    <row r="976" spans="1:4" ht="14.25" customHeight="1" x14ac:dyDescent="0.25">
      <c r="A976" s="8"/>
      <c r="B976" s="8"/>
      <c r="C976" s="8"/>
      <c r="D976" s="8"/>
    </row>
    <row r="977" spans="1:4" ht="14.25" customHeight="1" x14ac:dyDescent="0.25">
      <c r="A977" s="8"/>
      <c r="B977" s="8"/>
      <c r="C977" s="8"/>
      <c r="D977" s="8"/>
    </row>
    <row r="978" spans="1:4" ht="14.25" customHeight="1" x14ac:dyDescent="0.25">
      <c r="A978" s="8"/>
      <c r="B978" s="8"/>
      <c r="C978" s="8"/>
      <c r="D978" s="8"/>
    </row>
    <row r="979" spans="1:4" ht="14.25" customHeight="1" x14ac:dyDescent="0.25">
      <c r="A979" s="8"/>
      <c r="B979" s="8"/>
      <c r="C979" s="8"/>
      <c r="D979" s="8"/>
    </row>
    <row r="980" spans="1:4" ht="14.25" customHeight="1" x14ac:dyDescent="0.25">
      <c r="A980" s="8"/>
      <c r="B980" s="8"/>
      <c r="C980" s="8"/>
      <c r="D980" s="8"/>
    </row>
    <row r="981" spans="1:4" ht="14.25" customHeight="1" x14ac:dyDescent="0.25">
      <c r="A981" s="8"/>
      <c r="B981" s="8"/>
      <c r="C981" s="8"/>
      <c r="D981" s="8"/>
    </row>
    <row r="982" spans="1:4" ht="14.25" customHeight="1" x14ac:dyDescent="0.25">
      <c r="A982" s="8"/>
      <c r="B982" s="8"/>
      <c r="C982" s="8"/>
      <c r="D982" s="8"/>
    </row>
    <row r="983" spans="1:4" ht="14.25" customHeight="1" x14ac:dyDescent="0.25">
      <c r="A983" s="8"/>
      <c r="B983" s="8"/>
      <c r="C983" s="8"/>
      <c r="D983" s="8"/>
    </row>
    <row r="984" spans="1:4" ht="14.25" customHeight="1" x14ac:dyDescent="0.25">
      <c r="A984" s="8"/>
      <c r="B984" s="8"/>
      <c r="C984" s="8"/>
      <c r="D984" s="8"/>
    </row>
    <row r="985" spans="1:4" ht="14.25" customHeight="1" x14ac:dyDescent="0.25">
      <c r="A985" s="8"/>
      <c r="B985" s="8"/>
      <c r="C985" s="8"/>
      <c r="D985" s="8"/>
    </row>
    <row r="986" spans="1:4" ht="14.25" customHeight="1" x14ac:dyDescent="0.25">
      <c r="A986" s="8"/>
      <c r="B986" s="8"/>
      <c r="C986" s="8"/>
      <c r="D986" s="8"/>
    </row>
    <row r="987" spans="1:4" ht="14.25" customHeight="1" x14ac:dyDescent="0.25">
      <c r="A987" s="8"/>
      <c r="B987" s="8"/>
      <c r="C987" s="8"/>
      <c r="D987" s="8"/>
    </row>
    <row r="988" spans="1:4" ht="14.25" customHeight="1" x14ac:dyDescent="0.25">
      <c r="A988" s="8"/>
      <c r="B988" s="8"/>
      <c r="C988" s="8"/>
      <c r="D988" s="8"/>
    </row>
    <row r="989" spans="1:4" ht="14.25" customHeight="1" x14ac:dyDescent="0.25">
      <c r="A989" s="8"/>
      <c r="B989" s="8"/>
      <c r="C989" s="8"/>
      <c r="D989" s="8"/>
    </row>
    <row r="990" spans="1:4" ht="14.25" customHeight="1" x14ac:dyDescent="0.25">
      <c r="A990" s="8"/>
      <c r="B990" s="8"/>
      <c r="C990" s="8"/>
      <c r="D990" s="8"/>
    </row>
    <row r="991" spans="1:4" ht="14.25" customHeight="1" x14ac:dyDescent="0.25">
      <c r="A991" s="8"/>
      <c r="B991" s="8"/>
      <c r="C991" s="8"/>
      <c r="D991" s="8"/>
    </row>
    <row r="992" spans="1:4" ht="14.25" customHeight="1" x14ac:dyDescent="0.25">
      <c r="A992" s="8"/>
      <c r="B992" s="8"/>
      <c r="C992" s="8"/>
      <c r="D992" s="8"/>
    </row>
    <row r="993" spans="1:4" ht="14.25" customHeight="1" x14ac:dyDescent="0.25">
      <c r="A993" s="8"/>
      <c r="B993" s="8"/>
      <c r="C993" s="8"/>
      <c r="D993" s="8"/>
    </row>
    <row r="994" spans="1:4" ht="14.25" customHeight="1" x14ac:dyDescent="0.25">
      <c r="A994" s="8"/>
      <c r="B994" s="8"/>
      <c r="C994" s="8"/>
      <c r="D994" s="8"/>
    </row>
    <row r="995" spans="1:4" ht="14.25" customHeight="1" x14ac:dyDescent="0.25">
      <c r="A995" s="8"/>
      <c r="B995" s="8"/>
      <c r="C995" s="8"/>
      <c r="D995" s="8"/>
    </row>
    <row r="996" spans="1:4" ht="14.25" customHeight="1" x14ac:dyDescent="0.25">
      <c r="A996" s="8"/>
      <c r="B996" s="8"/>
      <c r="C996" s="8"/>
      <c r="D996" s="8"/>
    </row>
    <row r="997" spans="1:4" ht="14.25" customHeight="1" x14ac:dyDescent="0.25">
      <c r="A997" s="8"/>
      <c r="B997" s="8"/>
      <c r="C997" s="8"/>
      <c r="D997" s="8"/>
    </row>
    <row r="998" spans="1:4" ht="14.25" customHeight="1" x14ac:dyDescent="0.25">
      <c r="A998" s="8"/>
      <c r="B998" s="8"/>
      <c r="C998" s="8"/>
      <c r="D998" s="8"/>
    </row>
    <row r="999" spans="1:4" ht="14.25" customHeight="1" x14ac:dyDescent="0.25">
      <c r="A999" s="8"/>
      <c r="B999" s="8"/>
      <c r="C999" s="8"/>
      <c r="D999" s="8"/>
    </row>
    <row r="1000" spans="1:4" ht="14.25" customHeight="1" x14ac:dyDescent="0.25">
      <c r="A1000" s="8"/>
      <c r="B1000" s="8"/>
      <c r="C1000" s="8"/>
      <c r="D1000" s="8"/>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1027"/>
  <sheetViews>
    <sheetView workbookViewId="0"/>
  </sheetViews>
  <sheetFormatPr defaultColWidth="14.42578125" defaultRowHeight="15" x14ac:dyDescent="0.25"/>
  <cols>
    <col min="1" max="1" width="15.5703125" customWidth="1"/>
    <col min="2" max="5" width="8.7109375" customWidth="1"/>
    <col min="6" max="6" width="8.5703125" customWidth="1"/>
    <col min="7" max="26" width="8.7109375" customWidth="1"/>
  </cols>
  <sheetData>
    <row r="1" spans="1:10" ht="14.25" customHeight="1" x14ac:dyDescent="0.25">
      <c r="A1" s="36" t="s">
        <v>51</v>
      </c>
      <c r="B1" s="36" t="s">
        <v>52</v>
      </c>
      <c r="C1" s="36" t="s">
        <v>53</v>
      </c>
      <c r="D1" s="36" t="s">
        <v>54</v>
      </c>
      <c r="E1" s="36" t="s">
        <v>55</v>
      </c>
      <c r="F1" s="17" t="s">
        <v>26</v>
      </c>
      <c r="G1" s="36" t="s">
        <v>38</v>
      </c>
      <c r="H1" s="36" t="s">
        <v>39</v>
      </c>
      <c r="I1" s="36" t="s">
        <v>56</v>
      </c>
    </row>
    <row r="2" spans="1:10" ht="14.25" customHeight="1" x14ac:dyDescent="0.25">
      <c r="A2" s="36" t="s">
        <v>160</v>
      </c>
      <c r="B2" s="36">
        <v>2026</v>
      </c>
      <c r="C2" s="36" t="s">
        <v>75</v>
      </c>
      <c r="D2" s="36" t="s">
        <v>75</v>
      </c>
      <c r="E2" s="36" t="s">
        <v>48</v>
      </c>
      <c r="F2" s="17" t="s">
        <v>418</v>
      </c>
      <c r="G2" s="36">
        <v>201</v>
      </c>
      <c r="H2" s="36">
        <v>281</v>
      </c>
      <c r="I2" s="36">
        <f t="shared" ref="I2:I11" si="0">(G2+H2)/2</f>
        <v>241</v>
      </c>
      <c r="J2" s="1"/>
    </row>
    <row r="3" spans="1:10" ht="14.25" customHeight="1" x14ac:dyDescent="0.25">
      <c r="A3" s="36" t="s">
        <v>419</v>
      </c>
      <c r="B3" s="36">
        <v>2026</v>
      </c>
      <c r="C3" s="36" t="s">
        <v>65</v>
      </c>
      <c r="D3" s="36" t="s">
        <v>66</v>
      </c>
      <c r="E3" s="36" t="s">
        <v>71</v>
      </c>
      <c r="F3" s="17" t="s">
        <v>420</v>
      </c>
      <c r="G3" s="17" t="s">
        <v>420</v>
      </c>
      <c r="H3" s="17" t="s">
        <v>420</v>
      </c>
      <c r="I3" s="36">
        <f t="shared" si="0"/>
        <v>180</v>
      </c>
      <c r="J3" s="1"/>
    </row>
    <row r="4" spans="1:10" ht="14.25" customHeight="1" x14ac:dyDescent="0.25">
      <c r="A4" s="36" t="s">
        <v>64</v>
      </c>
      <c r="B4" s="36">
        <v>2026</v>
      </c>
      <c r="C4" s="36" t="s">
        <v>65</v>
      </c>
      <c r="D4" s="36" t="s">
        <v>66</v>
      </c>
      <c r="E4" s="36" t="s">
        <v>46</v>
      </c>
      <c r="F4" s="17" t="s">
        <v>421</v>
      </c>
      <c r="G4" s="17" t="s">
        <v>421</v>
      </c>
      <c r="H4" s="17" t="s">
        <v>421</v>
      </c>
      <c r="I4" s="36">
        <f t="shared" si="0"/>
        <v>150</v>
      </c>
      <c r="J4" s="1"/>
    </row>
    <row r="5" spans="1:10" ht="14.25" customHeight="1" x14ac:dyDescent="0.25">
      <c r="A5" s="36" t="s">
        <v>164</v>
      </c>
      <c r="B5" s="36">
        <v>2026</v>
      </c>
      <c r="C5" s="36" t="s">
        <v>65</v>
      </c>
      <c r="D5" s="36" t="s">
        <v>66</v>
      </c>
      <c r="E5" s="36" t="s">
        <v>46</v>
      </c>
      <c r="F5" s="17" t="s">
        <v>422</v>
      </c>
      <c r="G5" s="36">
        <v>70</v>
      </c>
      <c r="H5" s="36">
        <v>150</v>
      </c>
      <c r="I5" s="36">
        <f t="shared" si="0"/>
        <v>110</v>
      </c>
      <c r="J5" s="1"/>
    </row>
    <row r="6" spans="1:10" ht="14.25" customHeight="1" x14ac:dyDescent="0.25">
      <c r="A6" s="36" t="s">
        <v>69</v>
      </c>
      <c r="B6" s="36">
        <v>2026</v>
      </c>
      <c r="C6" s="36" t="s">
        <v>70</v>
      </c>
      <c r="D6" s="36" t="s">
        <v>66</v>
      </c>
      <c r="E6" s="36" t="s">
        <v>71</v>
      </c>
      <c r="F6" s="17" t="s">
        <v>423</v>
      </c>
      <c r="G6" s="36">
        <v>80</v>
      </c>
      <c r="H6" s="36">
        <v>200</v>
      </c>
      <c r="I6" s="36">
        <f t="shared" si="0"/>
        <v>140</v>
      </c>
      <c r="J6" s="1"/>
    </row>
    <row r="7" spans="1:10" ht="14.25" customHeight="1" x14ac:dyDescent="0.25">
      <c r="A7" s="36" t="s">
        <v>172</v>
      </c>
      <c r="B7" s="36">
        <v>2026</v>
      </c>
      <c r="C7" s="36" t="s">
        <v>173</v>
      </c>
      <c r="D7" s="36" t="s">
        <v>97</v>
      </c>
      <c r="E7" s="36" t="s">
        <v>48</v>
      </c>
      <c r="F7" s="17" t="s">
        <v>424</v>
      </c>
      <c r="G7" s="36">
        <v>100</v>
      </c>
      <c r="H7" s="36">
        <v>150</v>
      </c>
      <c r="I7" s="36">
        <f t="shared" si="0"/>
        <v>125</v>
      </c>
      <c r="J7" s="1"/>
    </row>
    <row r="8" spans="1:10" ht="14.25" customHeight="1" x14ac:dyDescent="0.25">
      <c r="A8" s="36" t="s">
        <v>73</v>
      </c>
      <c r="B8" s="36">
        <v>2026</v>
      </c>
      <c r="C8" s="36" t="s">
        <v>75</v>
      </c>
      <c r="D8" s="39" t="s">
        <v>75</v>
      </c>
      <c r="E8" s="36" t="s">
        <v>48</v>
      </c>
      <c r="F8" s="17" t="s">
        <v>425</v>
      </c>
      <c r="G8" s="36">
        <v>241</v>
      </c>
      <c r="H8" s="36">
        <v>322</v>
      </c>
      <c r="I8" s="36">
        <f t="shared" si="0"/>
        <v>281.5</v>
      </c>
      <c r="J8" s="1"/>
    </row>
    <row r="9" spans="1:10" ht="14.25" customHeight="1" x14ac:dyDescent="0.25">
      <c r="A9" s="36" t="s">
        <v>78</v>
      </c>
      <c r="B9" s="36">
        <v>2026</v>
      </c>
      <c r="C9" s="36" t="s">
        <v>75</v>
      </c>
      <c r="D9" s="36" t="s">
        <v>75</v>
      </c>
      <c r="E9" s="36" t="s">
        <v>48</v>
      </c>
      <c r="F9" s="17" t="s">
        <v>426</v>
      </c>
      <c r="G9" s="36">
        <v>280.02</v>
      </c>
      <c r="H9" s="36">
        <v>280.02</v>
      </c>
      <c r="I9" s="36">
        <f t="shared" si="0"/>
        <v>280.02</v>
      </c>
      <c r="J9" s="1"/>
    </row>
    <row r="10" spans="1:10" ht="14.25" customHeight="1" x14ac:dyDescent="0.25">
      <c r="A10" s="36" t="s">
        <v>81</v>
      </c>
      <c r="B10" s="36">
        <v>2026</v>
      </c>
      <c r="C10" s="36" t="s">
        <v>65</v>
      </c>
      <c r="D10" s="36" t="s">
        <v>66</v>
      </c>
      <c r="E10" s="36" t="s">
        <v>46</v>
      </c>
      <c r="F10" s="17" t="s">
        <v>427</v>
      </c>
      <c r="G10" s="36">
        <v>130</v>
      </c>
      <c r="H10" s="36">
        <v>200</v>
      </c>
      <c r="I10" s="36">
        <f t="shared" si="0"/>
        <v>165</v>
      </c>
      <c r="J10" s="1"/>
    </row>
    <row r="11" spans="1:10" ht="14.25" customHeight="1" x14ac:dyDescent="0.25">
      <c r="A11" s="36" t="s">
        <v>81</v>
      </c>
      <c r="B11" s="36">
        <v>2026</v>
      </c>
      <c r="C11" s="36" t="s">
        <v>65</v>
      </c>
      <c r="D11" s="36" t="s">
        <v>66</v>
      </c>
      <c r="E11" s="36" t="s">
        <v>47</v>
      </c>
      <c r="F11" s="17" t="s">
        <v>427</v>
      </c>
      <c r="G11" s="36">
        <v>130</v>
      </c>
      <c r="H11" s="36">
        <v>200</v>
      </c>
      <c r="I11" s="36">
        <f t="shared" si="0"/>
        <v>165</v>
      </c>
      <c r="J11" s="1"/>
    </row>
    <row r="12" spans="1:10" ht="14.25" customHeight="1" x14ac:dyDescent="0.25">
      <c r="A12" s="36" t="s">
        <v>180</v>
      </c>
      <c r="B12" s="36">
        <v>2025</v>
      </c>
      <c r="C12" s="36" t="s">
        <v>142</v>
      </c>
      <c r="D12" s="36" t="s">
        <v>97</v>
      </c>
      <c r="E12" s="36" t="s">
        <v>48</v>
      </c>
      <c r="F12" s="17" t="s">
        <v>424</v>
      </c>
      <c r="G12" s="36">
        <v>120</v>
      </c>
      <c r="H12" s="36">
        <v>120</v>
      </c>
      <c r="I12" s="36">
        <v>120</v>
      </c>
      <c r="J12" s="1"/>
    </row>
    <row r="13" spans="1:10" ht="14.25" customHeight="1" x14ac:dyDescent="0.25">
      <c r="A13" s="36" t="s">
        <v>87</v>
      </c>
      <c r="B13" s="36">
        <v>2025</v>
      </c>
      <c r="C13" s="36" t="s">
        <v>88</v>
      </c>
      <c r="D13" s="36" t="s">
        <v>66</v>
      </c>
      <c r="E13" s="36" t="s">
        <v>48</v>
      </c>
      <c r="F13" s="17" t="s">
        <v>424</v>
      </c>
      <c r="G13" s="36">
        <v>120</v>
      </c>
      <c r="H13" s="36">
        <v>120</v>
      </c>
      <c r="I13" s="36">
        <f>(G13+H13)/2</f>
        <v>120</v>
      </c>
      <c r="J13" s="1"/>
    </row>
    <row r="14" spans="1:10" ht="14.25" customHeight="1" x14ac:dyDescent="0.25">
      <c r="A14" s="36" t="s">
        <v>182</v>
      </c>
      <c r="B14" s="36">
        <v>2025</v>
      </c>
      <c r="C14" s="36" t="s">
        <v>65</v>
      </c>
      <c r="D14" s="39" t="s">
        <v>66</v>
      </c>
      <c r="E14" s="36" t="s">
        <v>46</v>
      </c>
      <c r="F14" s="17" t="s">
        <v>421</v>
      </c>
      <c r="G14" s="36">
        <v>150</v>
      </c>
      <c r="H14" s="36">
        <v>150</v>
      </c>
      <c r="I14" s="36">
        <v>150</v>
      </c>
      <c r="J14" s="1"/>
    </row>
    <row r="15" spans="1:10" ht="14.25" customHeight="1" x14ac:dyDescent="0.25">
      <c r="A15" s="36" t="s">
        <v>186</v>
      </c>
      <c r="B15" s="36">
        <v>2025</v>
      </c>
      <c r="C15" s="36" t="s">
        <v>65</v>
      </c>
      <c r="D15" s="39" t="s">
        <v>66</v>
      </c>
      <c r="E15" s="36" t="s">
        <v>71</v>
      </c>
      <c r="F15" s="17" t="s">
        <v>428</v>
      </c>
      <c r="G15" s="36">
        <v>80</v>
      </c>
      <c r="H15" s="36">
        <v>130</v>
      </c>
      <c r="I15" s="36">
        <f t="shared" ref="I15:I18" si="1">(G15+H15)/2</f>
        <v>105</v>
      </c>
      <c r="J15" s="1"/>
    </row>
    <row r="16" spans="1:10" ht="14.25" customHeight="1" x14ac:dyDescent="0.25">
      <c r="A16" s="36" t="s">
        <v>95</v>
      </c>
      <c r="B16" s="36">
        <v>2025</v>
      </c>
      <c r="C16" s="36" t="s">
        <v>96</v>
      </c>
      <c r="D16" s="39" t="s">
        <v>97</v>
      </c>
      <c r="E16" s="36" t="s">
        <v>46</v>
      </c>
      <c r="F16" s="17">
        <v>150</v>
      </c>
      <c r="G16" s="36">
        <v>150</v>
      </c>
      <c r="H16" s="36">
        <v>150</v>
      </c>
      <c r="I16" s="36">
        <f t="shared" si="1"/>
        <v>150</v>
      </c>
      <c r="J16" s="1"/>
    </row>
    <row r="17" spans="1:10" ht="14.25" customHeight="1" x14ac:dyDescent="0.25">
      <c r="A17" s="36" t="s">
        <v>95</v>
      </c>
      <c r="B17" s="36">
        <v>2025</v>
      </c>
      <c r="C17" s="36" t="s">
        <v>96</v>
      </c>
      <c r="D17" s="39" t="s">
        <v>97</v>
      </c>
      <c r="E17" s="36" t="s">
        <v>47</v>
      </c>
      <c r="F17" s="17">
        <v>150</v>
      </c>
      <c r="G17" s="36">
        <v>150</v>
      </c>
      <c r="H17" s="36">
        <v>150</v>
      </c>
      <c r="I17" s="36">
        <f t="shared" si="1"/>
        <v>150</v>
      </c>
      <c r="J17" s="1"/>
    </row>
    <row r="18" spans="1:10" ht="14.25" customHeight="1" x14ac:dyDescent="0.25">
      <c r="A18" s="36" t="s">
        <v>95</v>
      </c>
      <c r="B18" s="36">
        <v>2025</v>
      </c>
      <c r="C18" s="36" t="s">
        <v>96</v>
      </c>
      <c r="D18" s="39" t="s">
        <v>97</v>
      </c>
      <c r="E18" s="36" t="s">
        <v>48</v>
      </c>
      <c r="F18" s="17">
        <v>150</v>
      </c>
      <c r="G18" s="36">
        <v>150</v>
      </c>
      <c r="H18" s="36">
        <v>150</v>
      </c>
      <c r="I18" s="36">
        <f t="shared" si="1"/>
        <v>150</v>
      </c>
      <c r="J18" s="1"/>
    </row>
    <row r="19" spans="1:10" ht="14.25" customHeight="1" x14ac:dyDescent="0.25">
      <c r="A19" s="36" t="s">
        <v>429</v>
      </c>
      <c r="B19" s="36">
        <v>2025</v>
      </c>
      <c r="C19" s="36" t="s">
        <v>142</v>
      </c>
      <c r="D19" s="39" t="s">
        <v>97</v>
      </c>
      <c r="E19" s="36" t="s">
        <v>71</v>
      </c>
      <c r="F19" s="17" t="s">
        <v>430</v>
      </c>
      <c r="G19" s="36">
        <v>100</v>
      </c>
      <c r="H19" s="36">
        <v>100</v>
      </c>
      <c r="I19" s="36">
        <v>100</v>
      </c>
      <c r="J19" s="1"/>
    </row>
    <row r="20" spans="1:10" ht="14.25" customHeight="1" x14ac:dyDescent="0.25">
      <c r="A20" s="36" t="s">
        <v>151</v>
      </c>
      <c r="B20" s="36">
        <v>2025</v>
      </c>
      <c r="C20" s="36" t="s">
        <v>75</v>
      </c>
      <c r="D20" s="39" t="s">
        <v>75</v>
      </c>
      <c r="E20" s="36" t="s">
        <v>46</v>
      </c>
      <c r="F20" s="17">
        <v>241</v>
      </c>
      <c r="G20" s="36">
        <v>241</v>
      </c>
      <c r="H20" s="36">
        <v>241</v>
      </c>
      <c r="I20" s="36">
        <f t="shared" ref="I20:I23" si="2">(G20+H20)/2</f>
        <v>241</v>
      </c>
      <c r="J20" s="1"/>
    </row>
    <row r="21" spans="1:10" ht="14.25" customHeight="1" x14ac:dyDescent="0.25">
      <c r="A21" s="36" t="s">
        <v>98</v>
      </c>
      <c r="B21" s="36">
        <v>2025</v>
      </c>
      <c r="C21" s="36" t="s">
        <v>70</v>
      </c>
      <c r="D21" s="39" t="s">
        <v>66</v>
      </c>
      <c r="E21" s="36" t="s">
        <v>48</v>
      </c>
      <c r="F21" s="17">
        <v>150</v>
      </c>
      <c r="G21" s="36">
        <v>150</v>
      </c>
      <c r="H21" s="36">
        <v>150</v>
      </c>
      <c r="I21" s="36">
        <f t="shared" si="2"/>
        <v>150</v>
      </c>
      <c r="J21" s="1"/>
    </row>
    <row r="22" spans="1:10" ht="14.25" customHeight="1" x14ac:dyDescent="0.25">
      <c r="A22" s="36" t="s">
        <v>166</v>
      </c>
      <c r="B22" s="36">
        <v>2025</v>
      </c>
      <c r="C22" s="36" t="s">
        <v>70</v>
      </c>
      <c r="D22" s="39" t="s">
        <v>66</v>
      </c>
      <c r="E22" s="36" t="s">
        <v>48</v>
      </c>
      <c r="F22" s="17" t="s">
        <v>421</v>
      </c>
      <c r="G22" s="36">
        <v>150</v>
      </c>
      <c r="H22" s="36">
        <v>150</v>
      </c>
      <c r="I22" s="36">
        <f t="shared" si="2"/>
        <v>150</v>
      </c>
      <c r="J22" s="1"/>
    </row>
    <row r="23" spans="1:10" ht="14.25" customHeight="1" x14ac:dyDescent="0.25">
      <c r="A23" s="36" t="s">
        <v>431</v>
      </c>
      <c r="B23" s="36">
        <v>2025</v>
      </c>
      <c r="C23" s="36" t="s">
        <v>70</v>
      </c>
      <c r="D23" s="39" t="s">
        <v>66</v>
      </c>
      <c r="E23" s="36" t="s">
        <v>48</v>
      </c>
      <c r="F23" s="17" t="s">
        <v>432</v>
      </c>
      <c r="G23" s="36">
        <v>150</v>
      </c>
      <c r="H23" s="36">
        <v>300</v>
      </c>
      <c r="I23" s="36">
        <f t="shared" si="2"/>
        <v>225</v>
      </c>
      <c r="J23" s="1"/>
    </row>
    <row r="24" spans="1:10" ht="14.25" customHeight="1" x14ac:dyDescent="0.25">
      <c r="A24" s="36" t="s">
        <v>433</v>
      </c>
      <c r="B24" s="36">
        <v>2025</v>
      </c>
      <c r="C24" s="36" t="s">
        <v>88</v>
      </c>
      <c r="D24" s="39" t="s">
        <v>66</v>
      </c>
      <c r="E24" s="36" t="s">
        <v>71</v>
      </c>
      <c r="F24" s="17" t="s">
        <v>430</v>
      </c>
      <c r="G24" s="36">
        <v>100</v>
      </c>
      <c r="H24" s="36">
        <v>100</v>
      </c>
      <c r="I24" s="36">
        <v>100</v>
      </c>
      <c r="J24" s="1"/>
    </row>
    <row r="25" spans="1:10" ht="14.25" customHeight="1" x14ac:dyDescent="0.25">
      <c r="A25" s="36" t="s">
        <v>111</v>
      </c>
      <c r="B25" s="36">
        <v>2025</v>
      </c>
      <c r="C25" s="36" t="s">
        <v>75</v>
      </c>
      <c r="D25" s="36" t="s">
        <v>75</v>
      </c>
      <c r="E25" s="36" t="s">
        <v>48</v>
      </c>
      <c r="F25" s="17" t="s">
        <v>434</v>
      </c>
      <c r="G25" s="17" t="s">
        <v>434</v>
      </c>
      <c r="H25" s="17" t="s">
        <v>434</v>
      </c>
      <c r="I25" s="36">
        <v>100</v>
      </c>
      <c r="J25" s="1"/>
    </row>
    <row r="26" spans="1:10" ht="14.25" customHeight="1" x14ac:dyDescent="0.25">
      <c r="A26" s="36" t="s">
        <v>111</v>
      </c>
      <c r="B26" s="36">
        <v>2025</v>
      </c>
      <c r="C26" s="36" t="s">
        <v>75</v>
      </c>
      <c r="D26" s="36" t="s">
        <v>75</v>
      </c>
      <c r="E26" s="36" t="s">
        <v>48</v>
      </c>
      <c r="F26" s="17" t="s">
        <v>435</v>
      </c>
      <c r="G26" s="17" t="s">
        <v>435</v>
      </c>
      <c r="H26" s="17" t="s">
        <v>435</v>
      </c>
      <c r="I26" s="36">
        <v>100</v>
      </c>
      <c r="J26" s="1"/>
    </row>
    <row r="27" spans="1:10" ht="14.25" customHeight="1" x14ac:dyDescent="0.25">
      <c r="A27" s="36" t="s">
        <v>111</v>
      </c>
      <c r="B27" s="36">
        <v>2025</v>
      </c>
      <c r="C27" s="36" t="s">
        <v>75</v>
      </c>
      <c r="D27" s="36" t="s">
        <v>75</v>
      </c>
      <c r="E27" s="36" t="s">
        <v>48</v>
      </c>
      <c r="F27" s="17" t="s">
        <v>436</v>
      </c>
      <c r="G27" s="17" t="s">
        <v>436</v>
      </c>
      <c r="H27" s="17" t="s">
        <v>436</v>
      </c>
      <c r="I27" s="36">
        <v>100</v>
      </c>
      <c r="J27" s="1"/>
    </row>
    <row r="28" spans="1:10" ht="14.25" customHeight="1" x14ac:dyDescent="0.25">
      <c r="A28" s="36" t="s">
        <v>197</v>
      </c>
      <c r="B28" s="36">
        <v>2025</v>
      </c>
      <c r="C28" s="36" t="s">
        <v>65</v>
      </c>
      <c r="D28" s="39" t="s">
        <v>66</v>
      </c>
      <c r="E28" s="36" t="s">
        <v>46</v>
      </c>
      <c r="F28" s="17" t="s">
        <v>437</v>
      </c>
      <c r="G28" s="36">
        <v>160</v>
      </c>
      <c r="H28" s="36">
        <v>160</v>
      </c>
      <c r="I28" s="36">
        <f t="shared" ref="I28:I96" si="3">(G28+H28)/2</f>
        <v>160</v>
      </c>
      <c r="J28" s="1"/>
    </row>
    <row r="29" spans="1:10" ht="14.25" customHeight="1" x14ac:dyDescent="0.25">
      <c r="A29" s="36" t="s">
        <v>198</v>
      </c>
      <c r="B29" s="36">
        <v>2025</v>
      </c>
      <c r="C29" s="36" t="s">
        <v>65</v>
      </c>
      <c r="D29" s="39" t="s">
        <v>66</v>
      </c>
      <c r="E29" s="36" t="s">
        <v>46</v>
      </c>
      <c r="F29" s="17" t="s">
        <v>437</v>
      </c>
      <c r="G29" s="36">
        <v>160</v>
      </c>
      <c r="H29" s="36">
        <v>160</v>
      </c>
      <c r="I29" s="36">
        <f t="shared" si="3"/>
        <v>160</v>
      </c>
      <c r="J29" s="1"/>
    </row>
    <row r="30" spans="1:10" ht="14.25" customHeight="1" x14ac:dyDescent="0.25">
      <c r="A30" s="36" t="s">
        <v>199</v>
      </c>
      <c r="B30" s="36">
        <v>2025</v>
      </c>
      <c r="C30" s="36" t="s">
        <v>65</v>
      </c>
      <c r="D30" s="39" t="s">
        <v>66</v>
      </c>
      <c r="E30" s="36" t="s">
        <v>46</v>
      </c>
      <c r="F30" s="17" t="s">
        <v>437</v>
      </c>
      <c r="G30" s="36">
        <v>160</v>
      </c>
      <c r="H30" s="36">
        <v>160</v>
      </c>
      <c r="I30" s="36">
        <f t="shared" si="3"/>
        <v>160</v>
      </c>
      <c r="J30" s="1"/>
    </row>
    <row r="31" spans="1:10" ht="14.25" customHeight="1" x14ac:dyDescent="0.25">
      <c r="A31" s="36" t="s">
        <v>200</v>
      </c>
      <c r="B31" s="36">
        <v>2024</v>
      </c>
      <c r="C31" s="36" t="s">
        <v>201</v>
      </c>
      <c r="D31" s="39" t="s">
        <v>201</v>
      </c>
      <c r="E31" s="36" t="s">
        <v>46</v>
      </c>
      <c r="F31" s="17">
        <v>100</v>
      </c>
      <c r="G31" s="36">
        <v>100</v>
      </c>
      <c r="H31" s="36">
        <v>100</v>
      </c>
      <c r="I31" s="36">
        <f t="shared" si="3"/>
        <v>100</v>
      </c>
      <c r="J31" s="1"/>
    </row>
    <row r="32" spans="1:10" ht="14.25" customHeight="1" x14ac:dyDescent="0.25">
      <c r="A32" s="36" t="s">
        <v>113</v>
      </c>
      <c r="B32" s="36">
        <v>2024</v>
      </c>
      <c r="C32" s="36" t="s">
        <v>75</v>
      </c>
      <c r="D32" s="39" t="s">
        <v>75</v>
      </c>
      <c r="E32" s="36" t="s">
        <v>46</v>
      </c>
      <c r="F32" s="17">
        <v>241</v>
      </c>
      <c r="G32" s="36">
        <v>241</v>
      </c>
      <c r="H32" s="36">
        <v>241</v>
      </c>
      <c r="I32" s="36">
        <f t="shared" si="3"/>
        <v>241</v>
      </c>
      <c r="J32" s="1"/>
    </row>
    <row r="33" spans="1:10" ht="14.25" customHeight="1" x14ac:dyDescent="0.25">
      <c r="A33" s="36" t="s">
        <v>205</v>
      </c>
      <c r="B33" s="36">
        <v>2024</v>
      </c>
      <c r="C33" s="36" t="s">
        <v>70</v>
      </c>
      <c r="D33" s="39" t="s">
        <v>66</v>
      </c>
      <c r="E33" s="36" t="s">
        <v>46</v>
      </c>
      <c r="F33" s="17">
        <v>200</v>
      </c>
      <c r="G33" s="36">
        <v>200</v>
      </c>
      <c r="H33" s="36">
        <v>200</v>
      </c>
      <c r="I33" s="36">
        <f t="shared" si="3"/>
        <v>200</v>
      </c>
      <c r="J33" s="1"/>
    </row>
    <row r="34" spans="1:10" ht="14.25" customHeight="1" x14ac:dyDescent="0.25">
      <c r="A34" s="36" t="s">
        <v>205</v>
      </c>
      <c r="B34" s="36">
        <v>2024</v>
      </c>
      <c r="C34" s="36" t="s">
        <v>70</v>
      </c>
      <c r="D34" s="39" t="s">
        <v>66</v>
      </c>
      <c r="E34" s="36" t="s">
        <v>48</v>
      </c>
      <c r="F34" s="17">
        <v>200</v>
      </c>
      <c r="G34" s="36">
        <v>200</v>
      </c>
      <c r="H34" s="36">
        <v>200</v>
      </c>
      <c r="I34" s="36">
        <f t="shared" si="3"/>
        <v>200</v>
      </c>
      <c r="J34" s="1"/>
    </row>
    <row r="35" spans="1:10" ht="14.25" customHeight="1" x14ac:dyDescent="0.25">
      <c r="A35" s="36" t="s">
        <v>186</v>
      </c>
      <c r="B35" s="36">
        <v>2024</v>
      </c>
      <c r="C35" s="36" t="s">
        <v>208</v>
      </c>
      <c r="D35" s="39" t="s">
        <v>75</v>
      </c>
      <c r="E35" s="36" t="s">
        <v>46</v>
      </c>
      <c r="F35" s="17" t="s">
        <v>438</v>
      </c>
      <c r="G35" s="36">
        <v>120</v>
      </c>
      <c r="H35" s="36">
        <v>322</v>
      </c>
      <c r="I35" s="36">
        <f t="shared" si="3"/>
        <v>221</v>
      </c>
      <c r="J35" s="1"/>
    </row>
    <row r="36" spans="1:10" ht="14.25" customHeight="1" x14ac:dyDescent="0.25">
      <c r="A36" s="36" t="s">
        <v>186</v>
      </c>
      <c r="B36" s="36">
        <v>2024</v>
      </c>
      <c r="C36" s="36" t="s">
        <v>208</v>
      </c>
      <c r="D36" s="39" t="s">
        <v>75</v>
      </c>
      <c r="E36" s="36" t="s">
        <v>47</v>
      </c>
      <c r="F36" s="17" t="s">
        <v>438</v>
      </c>
      <c r="G36" s="36">
        <v>120</v>
      </c>
      <c r="H36" s="36">
        <v>322</v>
      </c>
      <c r="I36" s="36">
        <f t="shared" si="3"/>
        <v>221</v>
      </c>
      <c r="J36" s="1"/>
    </row>
    <row r="37" spans="1:10" ht="14.25" customHeight="1" x14ac:dyDescent="0.25">
      <c r="A37" s="36" t="s">
        <v>115</v>
      </c>
      <c r="B37" s="36">
        <v>2024</v>
      </c>
      <c r="C37" s="36" t="s">
        <v>96</v>
      </c>
      <c r="D37" s="39" t="s">
        <v>97</v>
      </c>
      <c r="E37" s="36" t="s">
        <v>46</v>
      </c>
      <c r="F37" s="17">
        <v>150</v>
      </c>
      <c r="G37" s="36">
        <v>150</v>
      </c>
      <c r="H37" s="36">
        <v>150</v>
      </c>
      <c r="I37" s="36">
        <f t="shared" si="3"/>
        <v>150</v>
      </c>
      <c r="J37" s="1"/>
    </row>
    <row r="38" spans="1:10" ht="14.25" customHeight="1" x14ac:dyDescent="0.25">
      <c r="A38" s="36" t="s">
        <v>115</v>
      </c>
      <c r="B38" s="36">
        <v>2024</v>
      </c>
      <c r="C38" s="36" t="s">
        <v>96</v>
      </c>
      <c r="D38" s="39" t="s">
        <v>97</v>
      </c>
      <c r="E38" s="36" t="s">
        <v>48</v>
      </c>
      <c r="F38" s="17">
        <v>150</v>
      </c>
      <c r="G38" s="36">
        <v>150</v>
      </c>
      <c r="H38" s="36">
        <v>150</v>
      </c>
      <c r="I38" s="36">
        <f t="shared" si="3"/>
        <v>150</v>
      </c>
    </row>
    <row r="39" spans="1:10" ht="14.25" customHeight="1" x14ac:dyDescent="0.25">
      <c r="A39" s="36" t="s">
        <v>224</v>
      </c>
      <c r="B39" s="36">
        <v>2024</v>
      </c>
      <c r="C39" s="36" t="s">
        <v>65</v>
      </c>
      <c r="D39" s="39" t="s">
        <v>66</v>
      </c>
      <c r="E39" s="36" t="s">
        <v>46</v>
      </c>
      <c r="F39" s="17">
        <v>60</v>
      </c>
      <c r="G39" s="36">
        <v>60</v>
      </c>
      <c r="H39" s="36">
        <v>60</v>
      </c>
      <c r="I39" s="36">
        <f t="shared" si="3"/>
        <v>60</v>
      </c>
    </row>
    <row r="40" spans="1:10" ht="14.25" customHeight="1" x14ac:dyDescent="0.25">
      <c r="A40" s="36" t="s">
        <v>119</v>
      </c>
      <c r="B40" s="36">
        <v>2024</v>
      </c>
      <c r="C40" s="36" t="s">
        <v>118</v>
      </c>
      <c r="D40" s="39" t="s">
        <v>66</v>
      </c>
      <c r="E40" s="36" t="s">
        <v>47</v>
      </c>
      <c r="F40" s="17" t="s">
        <v>439</v>
      </c>
      <c r="G40" s="36">
        <v>150</v>
      </c>
      <c r="H40" s="36">
        <v>200</v>
      </c>
      <c r="I40" s="36">
        <f t="shared" si="3"/>
        <v>175</v>
      </c>
    </row>
    <row r="41" spans="1:10" ht="14.25" customHeight="1" x14ac:dyDescent="0.25">
      <c r="A41" s="36" t="s">
        <v>119</v>
      </c>
      <c r="B41" s="36">
        <v>2024</v>
      </c>
      <c r="C41" s="36" t="s">
        <v>118</v>
      </c>
      <c r="D41" s="39" t="s">
        <v>66</v>
      </c>
      <c r="E41" s="36" t="s">
        <v>48</v>
      </c>
      <c r="F41" s="17" t="s">
        <v>439</v>
      </c>
      <c r="G41" s="36">
        <v>150</v>
      </c>
      <c r="H41" s="36">
        <v>200</v>
      </c>
      <c r="I41" s="36">
        <f t="shared" si="3"/>
        <v>175</v>
      </c>
    </row>
    <row r="42" spans="1:10" ht="14.25" customHeight="1" x14ac:dyDescent="0.25">
      <c r="A42" s="36" t="s">
        <v>440</v>
      </c>
      <c r="B42" s="36">
        <v>2024</v>
      </c>
      <c r="C42" s="36" t="s">
        <v>441</v>
      </c>
      <c r="D42" s="39" t="s">
        <v>97</v>
      </c>
      <c r="E42" s="36" t="s">
        <v>46</v>
      </c>
      <c r="F42" s="17">
        <v>241</v>
      </c>
      <c r="G42" s="36">
        <v>241</v>
      </c>
      <c r="H42" s="36">
        <v>241</v>
      </c>
      <c r="I42" s="36">
        <f t="shared" si="3"/>
        <v>241</v>
      </c>
    </row>
    <row r="43" spans="1:10" ht="14.25" customHeight="1" x14ac:dyDescent="0.25">
      <c r="A43" s="36" t="s">
        <v>442</v>
      </c>
      <c r="B43" s="36">
        <v>2023</v>
      </c>
      <c r="C43" s="36" t="s">
        <v>75</v>
      </c>
      <c r="D43" s="39" t="s">
        <v>75</v>
      </c>
      <c r="E43" s="36" t="s">
        <v>47</v>
      </c>
      <c r="F43" s="17">
        <v>201</v>
      </c>
      <c r="G43" s="36">
        <v>201</v>
      </c>
      <c r="H43" s="36">
        <v>201</v>
      </c>
      <c r="I43" s="36">
        <f t="shared" si="3"/>
        <v>201</v>
      </c>
    </row>
    <row r="44" spans="1:10" ht="14.25" customHeight="1" x14ac:dyDescent="0.25">
      <c r="A44" s="36" t="s">
        <v>227</v>
      </c>
      <c r="B44" s="36">
        <v>2023</v>
      </c>
      <c r="C44" s="36" t="s">
        <v>96</v>
      </c>
      <c r="D44" s="39" t="s">
        <v>97</v>
      </c>
      <c r="E44" s="36" t="s">
        <v>48</v>
      </c>
      <c r="F44" s="17" t="s">
        <v>443</v>
      </c>
      <c r="G44" s="36">
        <v>120</v>
      </c>
      <c r="H44" s="36">
        <v>200</v>
      </c>
      <c r="I44" s="36">
        <f t="shared" si="3"/>
        <v>160</v>
      </c>
    </row>
    <row r="45" spans="1:10" ht="14.25" customHeight="1" x14ac:dyDescent="0.25">
      <c r="A45" s="36" t="s">
        <v>126</v>
      </c>
      <c r="B45" s="36">
        <v>2023</v>
      </c>
      <c r="C45" s="36" t="s">
        <v>70</v>
      </c>
      <c r="D45" s="39" t="s">
        <v>66</v>
      </c>
      <c r="E45" s="36" t="s">
        <v>46</v>
      </c>
      <c r="F45" s="17">
        <v>150</v>
      </c>
      <c r="G45" s="36">
        <v>150</v>
      </c>
      <c r="H45" s="36">
        <v>150</v>
      </c>
      <c r="I45" s="36">
        <f t="shared" si="3"/>
        <v>150</v>
      </c>
    </row>
    <row r="46" spans="1:10" ht="14.25" customHeight="1" x14ac:dyDescent="0.25">
      <c r="A46" s="36" t="s">
        <v>126</v>
      </c>
      <c r="B46" s="36">
        <v>2023</v>
      </c>
      <c r="C46" s="36" t="s">
        <v>70</v>
      </c>
      <c r="D46" s="39" t="s">
        <v>66</v>
      </c>
      <c r="E46" s="36" t="s">
        <v>46</v>
      </c>
      <c r="F46" s="17">
        <v>150</v>
      </c>
      <c r="G46" s="36">
        <v>150</v>
      </c>
      <c r="H46" s="36">
        <v>150</v>
      </c>
      <c r="I46" s="36">
        <f t="shared" si="3"/>
        <v>150</v>
      </c>
    </row>
    <row r="47" spans="1:10" ht="14.25" customHeight="1" x14ac:dyDescent="0.25">
      <c r="A47" s="36" t="s">
        <v>126</v>
      </c>
      <c r="B47" s="36">
        <v>2023</v>
      </c>
      <c r="C47" s="36" t="s">
        <v>70</v>
      </c>
      <c r="D47" s="39" t="s">
        <v>66</v>
      </c>
      <c r="E47" s="36" t="s">
        <v>47</v>
      </c>
      <c r="F47" s="17">
        <v>150</v>
      </c>
      <c r="G47" s="36">
        <v>150</v>
      </c>
      <c r="H47" s="36">
        <v>150</v>
      </c>
      <c r="I47" s="36">
        <f t="shared" si="3"/>
        <v>150</v>
      </c>
    </row>
    <row r="48" spans="1:10" ht="14.25" customHeight="1" x14ac:dyDescent="0.25">
      <c r="A48" s="36" t="s">
        <v>231</v>
      </c>
      <c r="B48" s="36">
        <v>2023</v>
      </c>
      <c r="C48" s="36" t="s">
        <v>70</v>
      </c>
      <c r="D48" s="39" t="s">
        <v>66</v>
      </c>
      <c r="E48" s="36" t="s">
        <v>46</v>
      </c>
      <c r="F48" s="17">
        <v>150</v>
      </c>
      <c r="G48" s="36">
        <v>150</v>
      </c>
      <c r="H48" s="36">
        <v>150</v>
      </c>
      <c r="I48" s="36">
        <f t="shared" si="3"/>
        <v>150</v>
      </c>
    </row>
    <row r="49" spans="1:9" ht="14.25" customHeight="1" x14ac:dyDescent="0.25">
      <c r="A49" s="36" t="s">
        <v>231</v>
      </c>
      <c r="B49" s="36">
        <v>2023</v>
      </c>
      <c r="C49" s="36" t="s">
        <v>70</v>
      </c>
      <c r="D49" s="39" t="s">
        <v>66</v>
      </c>
      <c r="E49" s="36" t="s">
        <v>47</v>
      </c>
      <c r="F49" s="17">
        <v>150</v>
      </c>
      <c r="G49" s="36">
        <v>150</v>
      </c>
      <c r="H49" s="36">
        <v>150</v>
      </c>
      <c r="I49" s="36">
        <f t="shared" si="3"/>
        <v>150</v>
      </c>
    </row>
    <row r="50" spans="1:9" ht="14.25" customHeight="1" x14ac:dyDescent="0.25">
      <c r="A50" s="36" t="s">
        <v>231</v>
      </c>
      <c r="B50" s="36">
        <v>2023</v>
      </c>
      <c r="C50" s="36" t="s">
        <v>70</v>
      </c>
      <c r="D50" s="39" t="s">
        <v>66</v>
      </c>
      <c r="E50" s="36" t="s">
        <v>48</v>
      </c>
      <c r="F50" s="17">
        <v>150</v>
      </c>
      <c r="G50" s="36">
        <v>150</v>
      </c>
      <c r="H50" s="36">
        <v>150</v>
      </c>
      <c r="I50" s="36">
        <f t="shared" si="3"/>
        <v>150</v>
      </c>
    </row>
    <row r="51" spans="1:9" ht="14.25" customHeight="1" x14ac:dyDescent="0.25">
      <c r="A51" s="36" t="s">
        <v>235</v>
      </c>
      <c r="B51" s="36">
        <v>2023</v>
      </c>
      <c r="C51" s="36" t="s">
        <v>142</v>
      </c>
      <c r="D51" s="39" t="s">
        <v>97</v>
      </c>
      <c r="E51" s="36" t="s">
        <v>46</v>
      </c>
      <c r="F51" s="17">
        <v>150</v>
      </c>
      <c r="G51" s="36">
        <v>150</v>
      </c>
      <c r="H51" s="36">
        <v>150</v>
      </c>
      <c r="I51" s="36">
        <f t="shared" si="3"/>
        <v>150</v>
      </c>
    </row>
    <row r="52" spans="1:9" ht="14.25" customHeight="1" x14ac:dyDescent="0.25">
      <c r="A52" s="36" t="s">
        <v>130</v>
      </c>
      <c r="B52" s="36">
        <v>2023</v>
      </c>
      <c r="C52" s="36" t="s">
        <v>131</v>
      </c>
      <c r="D52" s="39" t="s">
        <v>97</v>
      </c>
      <c r="E52" s="36" t="s">
        <v>47</v>
      </c>
      <c r="F52" s="17">
        <v>160</v>
      </c>
      <c r="G52" s="36">
        <v>160</v>
      </c>
      <c r="H52" s="36">
        <v>160</v>
      </c>
      <c r="I52" s="36">
        <f t="shared" si="3"/>
        <v>160</v>
      </c>
    </row>
    <row r="53" spans="1:9" ht="14.25" customHeight="1" x14ac:dyDescent="0.25">
      <c r="A53" s="36" t="s">
        <v>444</v>
      </c>
      <c r="B53" s="36">
        <v>2023</v>
      </c>
      <c r="C53" s="36" t="s">
        <v>142</v>
      </c>
      <c r="D53" s="39" t="s">
        <v>97</v>
      </c>
      <c r="E53" s="36" t="s">
        <v>46</v>
      </c>
      <c r="F53" s="17">
        <v>120</v>
      </c>
      <c r="G53" s="36">
        <v>120</v>
      </c>
      <c r="H53" s="36">
        <v>120</v>
      </c>
      <c r="I53" s="36">
        <f t="shared" si="3"/>
        <v>120</v>
      </c>
    </row>
    <row r="54" spans="1:9" ht="14.25" customHeight="1" x14ac:dyDescent="0.25">
      <c r="A54" s="36" t="s">
        <v>186</v>
      </c>
      <c r="B54" s="36">
        <v>2022</v>
      </c>
      <c r="C54" s="36" t="s">
        <v>75</v>
      </c>
      <c r="D54" s="39" t="s">
        <v>75</v>
      </c>
      <c r="E54" s="36" t="s">
        <v>46</v>
      </c>
      <c r="F54" s="17" t="s">
        <v>438</v>
      </c>
      <c r="G54" s="36">
        <v>120</v>
      </c>
      <c r="H54" s="36">
        <v>322</v>
      </c>
      <c r="I54" s="36">
        <f t="shared" si="3"/>
        <v>221</v>
      </c>
    </row>
    <row r="55" spans="1:9" ht="14.25" customHeight="1" x14ac:dyDescent="0.25">
      <c r="A55" s="36" t="s">
        <v>236</v>
      </c>
      <c r="B55" s="36">
        <v>2022</v>
      </c>
      <c r="C55" s="36" t="s">
        <v>75</v>
      </c>
      <c r="D55" s="39" t="s">
        <v>75</v>
      </c>
      <c r="E55" s="36" t="s">
        <v>46</v>
      </c>
      <c r="F55" s="17">
        <v>207</v>
      </c>
      <c r="G55" s="36">
        <v>207</v>
      </c>
      <c r="H55" s="36">
        <v>207</v>
      </c>
      <c r="I55" s="36">
        <f t="shared" si="3"/>
        <v>207</v>
      </c>
    </row>
    <row r="56" spans="1:9" ht="14.25" customHeight="1" x14ac:dyDescent="0.25">
      <c r="A56" s="36" t="s">
        <v>133</v>
      </c>
      <c r="B56" s="36">
        <v>2022</v>
      </c>
      <c r="C56" s="36" t="s">
        <v>131</v>
      </c>
      <c r="D56" s="39" t="s">
        <v>97</v>
      </c>
      <c r="E56" s="36" t="s">
        <v>47</v>
      </c>
      <c r="F56" s="17" t="s">
        <v>445</v>
      </c>
      <c r="G56" s="36">
        <v>60</v>
      </c>
      <c r="H56" s="36">
        <v>80</v>
      </c>
      <c r="I56" s="36">
        <f t="shared" si="3"/>
        <v>70</v>
      </c>
    </row>
    <row r="57" spans="1:9" ht="14.25" customHeight="1" x14ac:dyDescent="0.25">
      <c r="A57" s="36" t="s">
        <v>133</v>
      </c>
      <c r="B57" s="36">
        <v>2022</v>
      </c>
      <c r="C57" s="36" t="s">
        <v>131</v>
      </c>
      <c r="D57" s="39" t="s">
        <v>97</v>
      </c>
      <c r="E57" s="36" t="s">
        <v>48</v>
      </c>
      <c r="F57" s="17" t="s">
        <v>445</v>
      </c>
      <c r="G57" s="36">
        <v>60</v>
      </c>
      <c r="H57" s="36">
        <v>80</v>
      </c>
      <c r="I57" s="36">
        <f t="shared" si="3"/>
        <v>70</v>
      </c>
    </row>
    <row r="58" spans="1:9" ht="14.25" customHeight="1" x14ac:dyDescent="0.25">
      <c r="A58" s="36" t="s">
        <v>240</v>
      </c>
      <c r="B58" s="36">
        <v>2022</v>
      </c>
      <c r="C58" s="36" t="s">
        <v>142</v>
      </c>
      <c r="D58" s="39" t="s">
        <v>97</v>
      </c>
      <c r="E58" s="36" t="s">
        <v>46</v>
      </c>
      <c r="F58" s="17" t="s">
        <v>446</v>
      </c>
      <c r="G58" s="36">
        <v>112.5</v>
      </c>
      <c r="H58" s="36">
        <v>300</v>
      </c>
      <c r="I58" s="36">
        <f t="shared" si="3"/>
        <v>206.25</v>
      </c>
    </row>
    <row r="59" spans="1:9" ht="14.25" customHeight="1" x14ac:dyDescent="0.25">
      <c r="A59" s="36" t="s">
        <v>240</v>
      </c>
      <c r="B59" s="36">
        <v>2022</v>
      </c>
      <c r="C59" s="36" t="s">
        <v>142</v>
      </c>
      <c r="D59" s="39" t="s">
        <v>97</v>
      </c>
      <c r="E59" s="36" t="s">
        <v>47</v>
      </c>
      <c r="F59" s="17" t="s">
        <v>447</v>
      </c>
      <c r="G59" s="36">
        <v>191</v>
      </c>
      <c r="H59" s="36">
        <v>350</v>
      </c>
      <c r="I59" s="36">
        <f t="shared" si="3"/>
        <v>270.5</v>
      </c>
    </row>
    <row r="60" spans="1:9" ht="14.25" customHeight="1" x14ac:dyDescent="0.25">
      <c r="A60" s="36" t="s">
        <v>240</v>
      </c>
      <c r="B60" s="36">
        <v>2022</v>
      </c>
      <c r="C60" s="36" t="s">
        <v>142</v>
      </c>
      <c r="D60" s="39" t="s">
        <v>97</v>
      </c>
      <c r="E60" s="36" t="s">
        <v>48</v>
      </c>
      <c r="F60" s="17" t="s">
        <v>448</v>
      </c>
      <c r="G60" s="36">
        <v>198</v>
      </c>
      <c r="H60" s="36">
        <v>304</v>
      </c>
      <c r="I60" s="36">
        <f t="shared" si="3"/>
        <v>251</v>
      </c>
    </row>
    <row r="61" spans="1:9" ht="14.25" customHeight="1" x14ac:dyDescent="0.25">
      <c r="A61" s="36" t="s">
        <v>244</v>
      </c>
      <c r="B61" s="36">
        <v>2021</v>
      </c>
      <c r="C61" s="36" t="s">
        <v>201</v>
      </c>
      <c r="D61" s="39" t="s">
        <v>201</v>
      </c>
      <c r="E61" s="36" t="s">
        <v>46</v>
      </c>
      <c r="F61" s="17">
        <v>120</v>
      </c>
      <c r="G61" s="36">
        <v>120</v>
      </c>
      <c r="H61" s="36">
        <v>120</v>
      </c>
      <c r="I61" s="36">
        <f t="shared" si="3"/>
        <v>120</v>
      </c>
    </row>
    <row r="62" spans="1:9" ht="14.25" customHeight="1" x14ac:dyDescent="0.25">
      <c r="A62" s="36" t="s">
        <v>244</v>
      </c>
      <c r="B62" s="36">
        <v>2021</v>
      </c>
      <c r="C62" s="36" t="s">
        <v>201</v>
      </c>
      <c r="D62" s="39" t="s">
        <v>201</v>
      </c>
      <c r="E62" s="36" t="s">
        <v>46</v>
      </c>
      <c r="F62" s="17">
        <v>240</v>
      </c>
      <c r="G62" s="36">
        <v>240</v>
      </c>
      <c r="H62" s="36">
        <v>240</v>
      </c>
      <c r="I62" s="36">
        <f t="shared" si="3"/>
        <v>240</v>
      </c>
    </row>
    <row r="63" spans="1:9" ht="14.25" customHeight="1" x14ac:dyDescent="0.25">
      <c r="A63" s="36" t="s">
        <v>322</v>
      </c>
      <c r="B63" s="36">
        <v>2021</v>
      </c>
      <c r="C63" s="36" t="s">
        <v>75</v>
      </c>
      <c r="D63" s="39" t="s">
        <v>75</v>
      </c>
      <c r="E63" s="36" t="s">
        <v>47</v>
      </c>
      <c r="F63" s="17">
        <v>161</v>
      </c>
      <c r="G63" s="36">
        <v>161</v>
      </c>
      <c r="H63" s="36">
        <v>161</v>
      </c>
      <c r="I63" s="36">
        <f t="shared" si="3"/>
        <v>161</v>
      </c>
    </row>
    <row r="64" spans="1:9" ht="14.25" customHeight="1" x14ac:dyDescent="0.25">
      <c r="A64" s="36" t="s">
        <v>135</v>
      </c>
      <c r="B64" s="36">
        <v>2021</v>
      </c>
      <c r="C64" s="36" t="s">
        <v>75</v>
      </c>
      <c r="D64" s="39" t="s">
        <v>75</v>
      </c>
      <c r="E64" s="36" t="s">
        <v>46</v>
      </c>
      <c r="F64" s="17" t="s">
        <v>449</v>
      </c>
      <c r="G64" s="36">
        <v>201</v>
      </c>
      <c r="H64" s="36">
        <v>282</v>
      </c>
      <c r="I64" s="36">
        <f t="shared" si="3"/>
        <v>241.5</v>
      </c>
    </row>
    <row r="65" spans="1:9" ht="14.25" customHeight="1" x14ac:dyDescent="0.25">
      <c r="A65" s="36" t="s">
        <v>140</v>
      </c>
      <c r="B65" s="36">
        <v>2021</v>
      </c>
      <c r="C65" s="36" t="s">
        <v>75</v>
      </c>
      <c r="D65" s="36" t="s">
        <v>75</v>
      </c>
      <c r="E65" s="36" t="s">
        <v>46</v>
      </c>
      <c r="F65" s="17" t="s">
        <v>450</v>
      </c>
      <c r="G65" s="36">
        <v>241</v>
      </c>
      <c r="H65" s="36">
        <v>241</v>
      </c>
      <c r="I65" s="36">
        <f t="shared" si="3"/>
        <v>241</v>
      </c>
    </row>
    <row r="66" spans="1:9" ht="14.25" customHeight="1" x14ac:dyDescent="0.25">
      <c r="A66" s="36" t="s">
        <v>254</v>
      </c>
      <c r="B66" s="36">
        <v>2021</v>
      </c>
      <c r="C66" s="36" t="s">
        <v>142</v>
      </c>
      <c r="D66" s="39" t="s">
        <v>97</v>
      </c>
      <c r="E66" s="36" t="s">
        <v>47</v>
      </c>
      <c r="F66" s="17">
        <v>100</v>
      </c>
      <c r="G66" s="36">
        <v>100</v>
      </c>
      <c r="H66" s="36">
        <v>100</v>
      </c>
      <c r="I66" s="36">
        <f t="shared" si="3"/>
        <v>100</v>
      </c>
    </row>
    <row r="67" spans="1:9" ht="14.25" customHeight="1" x14ac:dyDescent="0.25">
      <c r="A67" s="36" t="s">
        <v>257</v>
      </c>
      <c r="B67" s="36">
        <v>2021</v>
      </c>
      <c r="C67" s="36" t="s">
        <v>75</v>
      </c>
      <c r="D67" s="39" t="s">
        <v>75</v>
      </c>
      <c r="E67" s="36" t="s">
        <v>46</v>
      </c>
      <c r="F67" s="17">
        <v>193</v>
      </c>
      <c r="G67" s="36">
        <v>193</v>
      </c>
      <c r="H67" s="36">
        <v>193</v>
      </c>
      <c r="I67" s="36">
        <f t="shared" si="3"/>
        <v>193</v>
      </c>
    </row>
    <row r="68" spans="1:9" ht="14.25" customHeight="1" x14ac:dyDescent="0.25">
      <c r="A68" s="36" t="s">
        <v>261</v>
      </c>
      <c r="B68" s="36">
        <v>2021</v>
      </c>
      <c r="C68" s="36" t="s">
        <v>75</v>
      </c>
      <c r="D68" s="39" t="s">
        <v>75</v>
      </c>
      <c r="E68" s="36" t="s">
        <v>48</v>
      </c>
      <c r="F68" s="17">
        <v>193</v>
      </c>
      <c r="G68" s="36">
        <v>193</v>
      </c>
      <c r="H68" s="36">
        <v>193</v>
      </c>
      <c r="I68" s="36">
        <f t="shared" si="3"/>
        <v>193</v>
      </c>
    </row>
    <row r="69" spans="1:9" ht="14.25" customHeight="1" x14ac:dyDescent="0.25">
      <c r="A69" s="36" t="s">
        <v>264</v>
      </c>
      <c r="B69" s="36">
        <v>2021</v>
      </c>
      <c r="C69" s="36" t="s">
        <v>75</v>
      </c>
      <c r="D69" s="39" t="s">
        <v>75</v>
      </c>
      <c r="E69" s="36" t="s">
        <v>48</v>
      </c>
      <c r="F69" s="17">
        <v>193</v>
      </c>
      <c r="G69" s="36">
        <v>193</v>
      </c>
      <c r="H69" s="36">
        <v>193</v>
      </c>
      <c r="I69" s="36">
        <f t="shared" si="3"/>
        <v>193</v>
      </c>
    </row>
    <row r="70" spans="1:9" ht="14.25" customHeight="1" x14ac:dyDescent="0.25">
      <c r="A70" s="36" t="s">
        <v>133</v>
      </c>
      <c r="B70" s="36">
        <v>2021</v>
      </c>
      <c r="C70" s="36" t="s">
        <v>351</v>
      </c>
      <c r="D70" s="39" t="s">
        <v>97</v>
      </c>
      <c r="E70" s="36" t="s">
        <v>47</v>
      </c>
      <c r="F70" s="17" t="s">
        <v>451</v>
      </c>
      <c r="G70" s="36">
        <v>80</v>
      </c>
      <c r="H70" s="36">
        <v>300</v>
      </c>
      <c r="I70" s="36">
        <f t="shared" si="3"/>
        <v>190</v>
      </c>
    </row>
    <row r="71" spans="1:9" ht="14.25" customHeight="1" x14ac:dyDescent="0.25">
      <c r="A71" s="36" t="s">
        <v>452</v>
      </c>
      <c r="B71" s="36">
        <v>2021</v>
      </c>
      <c r="C71" s="36" t="s">
        <v>75</v>
      </c>
      <c r="D71" s="39" t="s">
        <v>75</v>
      </c>
      <c r="E71" s="36" t="s">
        <v>48</v>
      </c>
      <c r="F71" s="17" t="s">
        <v>453</v>
      </c>
      <c r="G71" s="36">
        <v>100</v>
      </c>
      <c r="H71" s="36">
        <v>200</v>
      </c>
      <c r="I71" s="36">
        <f t="shared" si="3"/>
        <v>150</v>
      </c>
    </row>
    <row r="72" spans="1:9" ht="14.25" customHeight="1" x14ac:dyDescent="0.25">
      <c r="A72" s="36" t="s">
        <v>454</v>
      </c>
      <c r="B72" s="36">
        <v>2021</v>
      </c>
      <c r="C72" s="36" t="s">
        <v>268</v>
      </c>
      <c r="D72" s="39" t="s">
        <v>66</v>
      </c>
      <c r="E72" s="36" t="s">
        <v>46</v>
      </c>
      <c r="F72" s="17" t="s">
        <v>430</v>
      </c>
      <c r="G72" s="36">
        <v>100</v>
      </c>
      <c r="H72" s="36">
        <v>100</v>
      </c>
      <c r="I72" s="36">
        <f t="shared" si="3"/>
        <v>100</v>
      </c>
    </row>
    <row r="73" spans="1:9" ht="14.25" customHeight="1" x14ac:dyDescent="0.25">
      <c r="A73" s="36" t="s">
        <v>270</v>
      </c>
      <c r="B73" s="36">
        <v>2021</v>
      </c>
      <c r="C73" s="36" t="s">
        <v>75</v>
      </c>
      <c r="D73" s="39" t="s">
        <v>75</v>
      </c>
      <c r="E73" s="36" t="s">
        <v>46</v>
      </c>
      <c r="F73" s="17" t="s">
        <v>450</v>
      </c>
      <c r="G73" s="36">
        <v>241</v>
      </c>
      <c r="H73" s="36">
        <v>241</v>
      </c>
      <c r="I73" s="36">
        <f t="shared" si="3"/>
        <v>241</v>
      </c>
    </row>
    <row r="74" spans="1:9" ht="14.25" customHeight="1" x14ac:dyDescent="0.25">
      <c r="A74" s="36" t="s">
        <v>405</v>
      </c>
      <c r="B74" s="36">
        <v>2020</v>
      </c>
      <c r="C74" s="36" t="s">
        <v>97</v>
      </c>
      <c r="D74" s="39" t="s">
        <v>97</v>
      </c>
      <c r="E74" s="36" t="s">
        <v>46</v>
      </c>
      <c r="F74" s="17">
        <v>150</v>
      </c>
      <c r="G74" s="36">
        <v>150</v>
      </c>
      <c r="H74" s="36">
        <v>150</v>
      </c>
      <c r="I74" s="36">
        <f t="shared" si="3"/>
        <v>150</v>
      </c>
    </row>
    <row r="75" spans="1:9" ht="14.25" customHeight="1" x14ac:dyDescent="0.25">
      <c r="A75" s="36" t="s">
        <v>405</v>
      </c>
      <c r="B75" s="36">
        <v>2020</v>
      </c>
      <c r="C75" s="36" t="s">
        <v>97</v>
      </c>
      <c r="D75" s="39" t="s">
        <v>97</v>
      </c>
      <c r="E75" s="36" t="s">
        <v>48</v>
      </c>
      <c r="F75" s="17">
        <v>150</v>
      </c>
      <c r="G75" s="36">
        <v>150</v>
      </c>
      <c r="H75" s="36">
        <v>150</v>
      </c>
      <c r="I75" s="36">
        <f t="shared" si="3"/>
        <v>150</v>
      </c>
    </row>
    <row r="76" spans="1:9" ht="14.25" customHeight="1" x14ac:dyDescent="0.25">
      <c r="A76" s="36" t="s">
        <v>141</v>
      </c>
      <c r="B76" s="36">
        <v>2020</v>
      </c>
      <c r="C76" s="36" t="s">
        <v>142</v>
      </c>
      <c r="D76" s="39" t="s">
        <v>97</v>
      </c>
      <c r="E76" s="36" t="s">
        <v>71</v>
      </c>
      <c r="F76" s="17" t="s">
        <v>455</v>
      </c>
      <c r="G76" s="36">
        <v>50</v>
      </c>
      <c r="H76" s="36">
        <v>300</v>
      </c>
      <c r="I76" s="36">
        <f t="shared" si="3"/>
        <v>175</v>
      </c>
    </row>
    <row r="77" spans="1:9" ht="14.25" customHeight="1" x14ac:dyDescent="0.25">
      <c r="A77" s="36" t="s">
        <v>143</v>
      </c>
      <c r="B77" s="36">
        <v>2020</v>
      </c>
      <c r="C77" s="36" t="s">
        <v>142</v>
      </c>
      <c r="D77" s="39" t="s">
        <v>97</v>
      </c>
      <c r="E77" s="36" t="s">
        <v>46</v>
      </c>
      <c r="F77" s="17" t="s">
        <v>455</v>
      </c>
      <c r="G77" s="36">
        <v>50</v>
      </c>
      <c r="H77" s="36">
        <v>300</v>
      </c>
      <c r="I77" s="36">
        <f t="shared" si="3"/>
        <v>175</v>
      </c>
    </row>
    <row r="78" spans="1:9" ht="14.25" customHeight="1" x14ac:dyDescent="0.25">
      <c r="A78" s="36" t="s">
        <v>143</v>
      </c>
      <c r="B78" s="36">
        <v>2020</v>
      </c>
      <c r="C78" s="36" t="s">
        <v>142</v>
      </c>
      <c r="D78" s="39" t="s">
        <v>97</v>
      </c>
      <c r="E78" s="36" t="s">
        <v>47</v>
      </c>
      <c r="F78" s="17" t="s">
        <v>455</v>
      </c>
      <c r="G78" s="36">
        <v>50</v>
      </c>
      <c r="H78" s="36">
        <v>300</v>
      </c>
      <c r="I78" s="36">
        <f t="shared" si="3"/>
        <v>175</v>
      </c>
    </row>
    <row r="79" spans="1:9" ht="14.25" customHeight="1" x14ac:dyDescent="0.25">
      <c r="A79" s="36" t="s">
        <v>143</v>
      </c>
      <c r="B79" s="36">
        <v>2020</v>
      </c>
      <c r="C79" s="36" t="s">
        <v>142</v>
      </c>
      <c r="D79" s="39" t="s">
        <v>97</v>
      </c>
      <c r="E79" s="36" t="s">
        <v>48</v>
      </c>
      <c r="F79" s="17" t="s">
        <v>455</v>
      </c>
      <c r="G79" s="36">
        <v>50</v>
      </c>
      <c r="H79" s="36">
        <v>300</v>
      </c>
      <c r="I79" s="36">
        <f t="shared" si="3"/>
        <v>175</v>
      </c>
    </row>
    <row r="80" spans="1:9" ht="14.25" customHeight="1" x14ac:dyDescent="0.25">
      <c r="A80" s="36" t="s">
        <v>276</v>
      </c>
      <c r="B80" s="36">
        <v>2020</v>
      </c>
      <c r="C80" s="36" t="s">
        <v>201</v>
      </c>
      <c r="D80" s="39" t="s">
        <v>201</v>
      </c>
      <c r="E80" s="36" t="s">
        <v>46</v>
      </c>
      <c r="F80" s="17">
        <v>240</v>
      </c>
      <c r="G80" s="36">
        <v>240</v>
      </c>
      <c r="H80" s="36">
        <v>240</v>
      </c>
      <c r="I80" s="36">
        <f t="shared" si="3"/>
        <v>240</v>
      </c>
    </row>
    <row r="81" spans="1:9" ht="14.25" customHeight="1" x14ac:dyDescent="0.25">
      <c r="A81" s="36" t="s">
        <v>144</v>
      </c>
      <c r="B81" s="36">
        <v>2020</v>
      </c>
      <c r="C81" s="36" t="s">
        <v>142</v>
      </c>
      <c r="D81" s="39" t="s">
        <v>97</v>
      </c>
      <c r="E81" s="36" t="s">
        <v>46</v>
      </c>
      <c r="F81" s="17" t="s">
        <v>456</v>
      </c>
      <c r="G81" s="36">
        <v>50</v>
      </c>
      <c r="H81" s="36">
        <v>350</v>
      </c>
      <c r="I81" s="36">
        <f t="shared" si="3"/>
        <v>200</v>
      </c>
    </row>
    <row r="82" spans="1:9" ht="14.25" customHeight="1" x14ac:dyDescent="0.25">
      <c r="A82" s="36" t="s">
        <v>144</v>
      </c>
      <c r="B82" s="36">
        <v>2020</v>
      </c>
      <c r="C82" s="36" t="s">
        <v>142</v>
      </c>
      <c r="D82" s="39" t="s">
        <v>97</v>
      </c>
      <c r="E82" s="36" t="s">
        <v>47</v>
      </c>
      <c r="F82" s="17" t="s">
        <v>456</v>
      </c>
      <c r="G82" s="36">
        <v>50</v>
      </c>
      <c r="H82" s="36">
        <v>350</v>
      </c>
      <c r="I82" s="36">
        <f t="shared" si="3"/>
        <v>200</v>
      </c>
    </row>
    <row r="83" spans="1:9" ht="14.25" customHeight="1" x14ac:dyDescent="0.25">
      <c r="A83" s="36" t="s">
        <v>144</v>
      </c>
      <c r="B83" s="36">
        <v>2020</v>
      </c>
      <c r="C83" s="36" t="s">
        <v>142</v>
      </c>
      <c r="D83" s="39" t="s">
        <v>97</v>
      </c>
      <c r="E83" s="36" t="s">
        <v>48</v>
      </c>
      <c r="F83" s="17" t="s">
        <v>456</v>
      </c>
      <c r="G83" s="36">
        <v>50</v>
      </c>
      <c r="H83" s="36">
        <v>350</v>
      </c>
      <c r="I83" s="36">
        <f t="shared" si="3"/>
        <v>200</v>
      </c>
    </row>
    <row r="84" spans="1:9" ht="14.25" customHeight="1" x14ac:dyDescent="0.25">
      <c r="A84" s="36" t="s">
        <v>278</v>
      </c>
      <c r="B84" s="36">
        <v>2019</v>
      </c>
      <c r="C84" s="36" t="s">
        <v>146</v>
      </c>
      <c r="D84" s="39" t="s">
        <v>97</v>
      </c>
      <c r="E84" s="36" t="s">
        <v>46</v>
      </c>
      <c r="F84" s="17" t="s">
        <v>457</v>
      </c>
      <c r="G84" s="36">
        <v>60</v>
      </c>
      <c r="H84" s="36">
        <v>240</v>
      </c>
      <c r="I84" s="36">
        <f t="shared" si="3"/>
        <v>150</v>
      </c>
    </row>
    <row r="85" spans="1:9" ht="14.25" customHeight="1" x14ac:dyDescent="0.25">
      <c r="A85" s="36" t="s">
        <v>278</v>
      </c>
      <c r="B85" s="36">
        <v>2019</v>
      </c>
      <c r="C85" s="36" t="s">
        <v>146</v>
      </c>
      <c r="D85" s="39" t="s">
        <v>97</v>
      </c>
      <c r="E85" s="36" t="s">
        <v>47</v>
      </c>
      <c r="F85" s="17" t="s">
        <v>457</v>
      </c>
      <c r="G85" s="36">
        <v>60</v>
      </c>
      <c r="H85" s="36">
        <v>240</v>
      </c>
      <c r="I85" s="36">
        <f t="shared" si="3"/>
        <v>150</v>
      </c>
    </row>
    <row r="86" spans="1:9" ht="14.25" customHeight="1" x14ac:dyDescent="0.25">
      <c r="A86" s="36" t="s">
        <v>278</v>
      </c>
      <c r="B86" s="36">
        <v>2019</v>
      </c>
      <c r="C86" s="36" t="s">
        <v>146</v>
      </c>
      <c r="D86" s="39" t="s">
        <v>97</v>
      </c>
      <c r="E86" s="36" t="s">
        <v>48</v>
      </c>
      <c r="F86" s="17" t="s">
        <v>457</v>
      </c>
      <c r="G86" s="36">
        <v>60</v>
      </c>
      <c r="H86" s="36">
        <v>240</v>
      </c>
      <c r="I86" s="36">
        <f t="shared" si="3"/>
        <v>150</v>
      </c>
    </row>
    <row r="87" spans="1:9" ht="14.25" customHeight="1" x14ac:dyDescent="0.25">
      <c r="A87" s="36" t="s">
        <v>145</v>
      </c>
      <c r="B87" s="36">
        <v>2019</v>
      </c>
      <c r="C87" s="36" t="s">
        <v>146</v>
      </c>
      <c r="D87" s="39" t="s">
        <v>97</v>
      </c>
      <c r="E87" s="36" t="s">
        <v>46</v>
      </c>
      <c r="F87" s="17" t="s">
        <v>458</v>
      </c>
      <c r="G87" s="36">
        <v>72</v>
      </c>
      <c r="H87" s="36">
        <v>108</v>
      </c>
      <c r="I87" s="36">
        <f t="shared" si="3"/>
        <v>90</v>
      </c>
    </row>
    <row r="88" spans="1:9" ht="14.25" customHeight="1" x14ac:dyDescent="0.25">
      <c r="A88" s="36" t="s">
        <v>145</v>
      </c>
      <c r="B88" s="36">
        <v>2019</v>
      </c>
      <c r="C88" s="36" t="s">
        <v>146</v>
      </c>
      <c r="D88" s="39" t="s">
        <v>97</v>
      </c>
      <c r="E88" s="36" t="s">
        <v>47</v>
      </c>
      <c r="F88" s="17" t="s">
        <v>458</v>
      </c>
      <c r="G88" s="36">
        <v>72</v>
      </c>
      <c r="H88" s="36">
        <v>108</v>
      </c>
      <c r="I88" s="36">
        <f t="shared" si="3"/>
        <v>90</v>
      </c>
    </row>
    <row r="89" spans="1:9" ht="14.25" customHeight="1" x14ac:dyDescent="0.25">
      <c r="A89" s="36" t="s">
        <v>151</v>
      </c>
      <c r="B89" s="36">
        <v>2019</v>
      </c>
      <c r="C89" s="36" t="s">
        <v>75</v>
      </c>
      <c r="D89" s="39" t="s">
        <v>75</v>
      </c>
      <c r="E89" s="36" t="s">
        <v>46</v>
      </c>
      <c r="F89" s="17" t="s">
        <v>459</v>
      </c>
      <c r="G89" s="36">
        <v>274</v>
      </c>
      <c r="H89" s="36">
        <v>322</v>
      </c>
      <c r="I89" s="36">
        <f t="shared" si="3"/>
        <v>298</v>
      </c>
    </row>
    <row r="90" spans="1:9" ht="14.25" customHeight="1" x14ac:dyDescent="0.25">
      <c r="A90" s="36" t="s">
        <v>408</v>
      </c>
      <c r="B90" s="36">
        <v>2018</v>
      </c>
      <c r="C90" s="36" t="s">
        <v>142</v>
      </c>
      <c r="D90" s="39" t="s">
        <v>97</v>
      </c>
      <c r="E90" s="36" t="s">
        <v>46</v>
      </c>
      <c r="F90" s="17">
        <v>150</v>
      </c>
      <c r="G90" s="36">
        <v>150</v>
      </c>
      <c r="H90" s="36">
        <v>150</v>
      </c>
      <c r="I90" s="36">
        <f t="shared" si="3"/>
        <v>150</v>
      </c>
    </row>
    <row r="91" spans="1:9" ht="14.25" customHeight="1" x14ac:dyDescent="0.25">
      <c r="A91" s="36" t="s">
        <v>408</v>
      </c>
      <c r="B91" s="36">
        <v>2018</v>
      </c>
      <c r="C91" s="36" t="s">
        <v>142</v>
      </c>
      <c r="D91" s="39" t="s">
        <v>97</v>
      </c>
      <c r="E91" s="36" t="s">
        <v>48</v>
      </c>
      <c r="F91" s="17">
        <v>150</v>
      </c>
      <c r="G91" s="36">
        <v>150</v>
      </c>
      <c r="H91" s="36">
        <v>150</v>
      </c>
      <c r="I91" s="36">
        <f t="shared" si="3"/>
        <v>150</v>
      </c>
    </row>
    <row r="92" spans="1:9" ht="14.25" customHeight="1" x14ac:dyDescent="0.25">
      <c r="A92" s="36" t="s">
        <v>152</v>
      </c>
      <c r="B92" s="36">
        <v>2018</v>
      </c>
      <c r="C92" s="36" t="s">
        <v>75</v>
      </c>
      <c r="D92" s="39" t="s">
        <v>75</v>
      </c>
      <c r="E92" s="36" t="s">
        <v>46</v>
      </c>
      <c r="F92" s="17">
        <v>241</v>
      </c>
      <c r="G92" s="36">
        <v>241</v>
      </c>
      <c r="H92" s="36">
        <v>241</v>
      </c>
      <c r="I92" s="36">
        <f t="shared" si="3"/>
        <v>241</v>
      </c>
    </row>
    <row r="93" spans="1:9" ht="14.25" customHeight="1" x14ac:dyDescent="0.25">
      <c r="A93" s="36" t="s">
        <v>133</v>
      </c>
      <c r="B93" s="36">
        <v>2018</v>
      </c>
      <c r="C93" s="36" t="s">
        <v>75</v>
      </c>
      <c r="D93" s="39" t="s">
        <v>75</v>
      </c>
      <c r="E93" s="36" t="s">
        <v>46</v>
      </c>
      <c r="F93" s="17" t="s">
        <v>460</v>
      </c>
      <c r="G93" s="36">
        <v>50</v>
      </c>
      <c r="H93" s="36">
        <v>450</v>
      </c>
      <c r="I93" s="36">
        <f t="shared" si="3"/>
        <v>250</v>
      </c>
    </row>
    <row r="94" spans="1:9" ht="14.25" customHeight="1" x14ac:dyDescent="0.25">
      <c r="A94" s="36" t="s">
        <v>293</v>
      </c>
      <c r="B94" s="36">
        <v>2017</v>
      </c>
      <c r="C94" s="36" t="s">
        <v>142</v>
      </c>
      <c r="D94" s="39" t="s">
        <v>97</v>
      </c>
      <c r="E94" s="36" t="s">
        <v>47</v>
      </c>
      <c r="F94" s="17" t="s">
        <v>461</v>
      </c>
      <c r="G94" s="36">
        <v>250</v>
      </c>
      <c r="H94" s="36">
        <v>400</v>
      </c>
      <c r="I94" s="36">
        <f t="shared" si="3"/>
        <v>325</v>
      </c>
    </row>
    <row r="95" spans="1:9" ht="14.25" customHeight="1" x14ac:dyDescent="0.25">
      <c r="A95" s="36" t="s">
        <v>295</v>
      </c>
      <c r="B95" s="36">
        <v>2017</v>
      </c>
      <c r="C95" s="36" t="s">
        <v>75</v>
      </c>
      <c r="D95" s="39" t="s">
        <v>75</v>
      </c>
      <c r="E95" s="36" t="s">
        <v>47</v>
      </c>
      <c r="F95" s="17">
        <v>209</v>
      </c>
      <c r="G95" s="36">
        <v>209</v>
      </c>
      <c r="H95" s="36">
        <v>209</v>
      </c>
      <c r="I95" s="36">
        <f t="shared" si="3"/>
        <v>209</v>
      </c>
    </row>
    <row r="96" spans="1:9" ht="14.25" customHeight="1" x14ac:dyDescent="0.25">
      <c r="A96" s="36" t="s">
        <v>298</v>
      </c>
      <c r="B96" s="36">
        <v>2017</v>
      </c>
      <c r="C96" s="36" t="s">
        <v>75</v>
      </c>
      <c r="D96" s="39" t="s">
        <v>75</v>
      </c>
      <c r="E96" s="36" t="s">
        <v>47</v>
      </c>
      <c r="F96" s="17">
        <v>209</v>
      </c>
      <c r="G96" s="36">
        <v>209</v>
      </c>
      <c r="H96" s="36">
        <v>209</v>
      </c>
      <c r="I96" s="36">
        <f t="shared" si="3"/>
        <v>209</v>
      </c>
    </row>
    <row r="97" spans="1:9" ht="14.25" customHeight="1" x14ac:dyDescent="0.25">
      <c r="A97" s="8"/>
      <c r="B97" s="8"/>
      <c r="C97" s="8"/>
      <c r="D97" s="8"/>
      <c r="E97" s="8"/>
      <c r="F97" s="9"/>
      <c r="G97" s="8"/>
      <c r="H97" s="8"/>
      <c r="I97" s="8"/>
    </row>
    <row r="98" spans="1:9" ht="14.25" customHeight="1" x14ac:dyDescent="0.25">
      <c r="A98" s="8"/>
      <c r="B98" s="8"/>
      <c r="C98" s="8"/>
      <c r="D98" s="8"/>
      <c r="E98" s="8"/>
      <c r="F98" s="9"/>
      <c r="G98" s="8"/>
      <c r="H98" s="8"/>
      <c r="I98" s="8"/>
    </row>
    <row r="99" spans="1:9" ht="14.25" customHeight="1" x14ac:dyDescent="0.25">
      <c r="A99" s="8"/>
      <c r="B99" s="8"/>
      <c r="C99" s="8"/>
      <c r="D99" s="8"/>
      <c r="E99" s="8"/>
      <c r="F99" s="9"/>
      <c r="G99" s="8"/>
      <c r="H99" s="8"/>
      <c r="I99" s="8"/>
    </row>
    <row r="100" spans="1:9" ht="14.25" customHeight="1" x14ac:dyDescent="0.25">
      <c r="A100" s="8"/>
      <c r="B100" s="8"/>
      <c r="C100" s="8"/>
      <c r="D100" s="8"/>
      <c r="E100" s="8"/>
      <c r="F100" s="9"/>
      <c r="G100" s="8"/>
      <c r="H100" s="8"/>
      <c r="I100" s="8"/>
    </row>
    <row r="101" spans="1:9" ht="14.25" customHeight="1" x14ac:dyDescent="0.25">
      <c r="A101" s="8"/>
      <c r="B101" s="8"/>
      <c r="C101" s="8"/>
      <c r="D101" s="8"/>
      <c r="E101" s="8"/>
      <c r="F101" s="9"/>
      <c r="G101" s="8"/>
      <c r="H101" s="8"/>
      <c r="I101" s="8"/>
    </row>
    <row r="102" spans="1:9" ht="14.25" customHeight="1" x14ac:dyDescent="0.25">
      <c r="A102" s="8"/>
      <c r="B102" s="8"/>
      <c r="C102" s="8"/>
      <c r="D102" s="8"/>
      <c r="E102" s="8"/>
      <c r="F102" s="9"/>
      <c r="G102" s="8"/>
      <c r="H102" s="8"/>
      <c r="I102" s="8"/>
    </row>
    <row r="103" spans="1:9" ht="14.25" customHeight="1" x14ac:dyDescent="0.25">
      <c r="A103" s="8"/>
      <c r="B103" s="8"/>
      <c r="C103" s="8"/>
      <c r="D103" s="8"/>
      <c r="E103" s="8"/>
      <c r="F103" s="9"/>
      <c r="G103" s="8"/>
      <c r="H103" s="8"/>
      <c r="I103" s="8"/>
    </row>
    <row r="104" spans="1:9" ht="14.25" customHeight="1" x14ac:dyDescent="0.25">
      <c r="A104" s="8"/>
      <c r="B104" s="8"/>
      <c r="C104" s="8"/>
      <c r="D104" s="8"/>
      <c r="E104" s="8"/>
      <c r="F104" s="9"/>
      <c r="G104" s="8"/>
      <c r="H104" s="8"/>
      <c r="I104" s="8"/>
    </row>
    <row r="105" spans="1:9" ht="14.25" customHeight="1" x14ac:dyDescent="0.25">
      <c r="A105" s="8"/>
      <c r="B105" s="8"/>
      <c r="C105" s="8"/>
      <c r="D105" s="8"/>
      <c r="E105" s="8"/>
      <c r="F105" s="9"/>
      <c r="G105" s="8"/>
      <c r="H105" s="8"/>
      <c r="I105" s="8"/>
    </row>
    <row r="106" spans="1:9" ht="14.25" customHeight="1" x14ac:dyDescent="0.25">
      <c r="A106" s="8"/>
      <c r="B106" s="8"/>
      <c r="C106" s="8"/>
      <c r="D106" s="8"/>
      <c r="E106" s="8"/>
      <c r="F106" s="9"/>
      <c r="G106" s="8"/>
      <c r="H106" s="8"/>
      <c r="I106" s="8"/>
    </row>
    <row r="107" spans="1:9" ht="14.25" customHeight="1" x14ac:dyDescent="0.25">
      <c r="A107" s="8"/>
      <c r="B107" s="8"/>
      <c r="C107" s="8"/>
      <c r="D107" s="8"/>
      <c r="E107" s="8"/>
      <c r="F107" s="9"/>
      <c r="G107" s="8"/>
      <c r="H107" s="8"/>
      <c r="I107" s="8"/>
    </row>
    <row r="108" spans="1:9" ht="14.25" customHeight="1" x14ac:dyDescent="0.25">
      <c r="A108" s="8"/>
      <c r="B108" s="8"/>
      <c r="C108" s="8"/>
      <c r="D108" s="8"/>
      <c r="E108" s="8"/>
      <c r="F108" s="9"/>
      <c r="G108" s="8"/>
      <c r="H108" s="8"/>
      <c r="I108" s="8"/>
    </row>
    <row r="109" spans="1:9" ht="14.25" customHeight="1" x14ac:dyDescent="0.25">
      <c r="A109" s="8"/>
      <c r="B109" s="8"/>
      <c r="C109" s="8"/>
      <c r="D109" s="8"/>
      <c r="E109" s="8"/>
      <c r="F109" s="9"/>
      <c r="G109" s="8"/>
      <c r="H109" s="8"/>
      <c r="I109" s="8"/>
    </row>
    <row r="110" spans="1:9" ht="14.25" customHeight="1" x14ac:dyDescent="0.25">
      <c r="A110" s="8"/>
      <c r="B110" s="8"/>
      <c r="C110" s="8"/>
      <c r="D110" s="8"/>
      <c r="E110" s="8"/>
      <c r="F110" s="9"/>
      <c r="G110" s="8"/>
      <c r="H110" s="8"/>
      <c r="I110" s="8"/>
    </row>
    <row r="111" spans="1:9" ht="14.25" customHeight="1" x14ac:dyDescent="0.25">
      <c r="A111" s="8"/>
      <c r="B111" s="8"/>
      <c r="C111" s="8"/>
      <c r="D111" s="8"/>
      <c r="E111" s="8"/>
      <c r="F111" s="9"/>
      <c r="G111" s="8"/>
      <c r="H111" s="8"/>
      <c r="I111" s="8"/>
    </row>
    <row r="112" spans="1:9" ht="14.25" customHeight="1" x14ac:dyDescent="0.25">
      <c r="A112" s="8"/>
      <c r="B112" s="8"/>
      <c r="C112" s="8"/>
      <c r="D112" s="8"/>
      <c r="E112" s="8"/>
      <c r="F112" s="9"/>
      <c r="G112" s="8"/>
      <c r="H112" s="8"/>
      <c r="I112" s="8"/>
    </row>
    <row r="113" spans="1:9" ht="14.25" customHeight="1" x14ac:dyDescent="0.25">
      <c r="A113" s="8"/>
      <c r="B113" s="8"/>
      <c r="C113" s="8"/>
      <c r="D113" s="8"/>
      <c r="E113" s="8"/>
      <c r="F113" s="9"/>
      <c r="G113" s="8"/>
      <c r="H113" s="8"/>
      <c r="I113" s="8"/>
    </row>
    <row r="114" spans="1:9" ht="14.25" customHeight="1" x14ac:dyDescent="0.25">
      <c r="A114" s="8"/>
      <c r="B114" s="8"/>
      <c r="C114" s="8"/>
      <c r="D114" s="8"/>
      <c r="E114" s="8"/>
      <c r="F114" s="9"/>
      <c r="G114" s="8"/>
      <c r="H114" s="8"/>
      <c r="I114" s="8"/>
    </row>
    <row r="115" spans="1:9" ht="14.25" customHeight="1" x14ac:dyDescent="0.25">
      <c r="A115" s="8"/>
      <c r="B115" s="8"/>
      <c r="C115" s="8"/>
      <c r="D115" s="8"/>
      <c r="E115" s="8"/>
      <c r="F115" s="9"/>
      <c r="G115" s="8"/>
      <c r="H115" s="8"/>
      <c r="I115" s="8"/>
    </row>
    <row r="116" spans="1:9" ht="14.25" customHeight="1" x14ac:dyDescent="0.25">
      <c r="A116" s="8"/>
      <c r="B116" s="8"/>
      <c r="C116" s="8"/>
      <c r="D116" s="8"/>
      <c r="E116" s="8"/>
      <c r="F116" s="9"/>
      <c r="G116" s="8"/>
      <c r="H116" s="8"/>
      <c r="I116" s="8"/>
    </row>
    <row r="117" spans="1:9" ht="14.25" customHeight="1" x14ac:dyDescent="0.25">
      <c r="A117" s="8"/>
      <c r="B117" s="8"/>
      <c r="C117" s="8"/>
      <c r="D117" s="8"/>
      <c r="E117" s="8"/>
      <c r="F117" s="9"/>
      <c r="G117" s="8"/>
      <c r="H117" s="8"/>
      <c r="I117" s="8"/>
    </row>
    <row r="118" spans="1:9" ht="14.25" customHeight="1" x14ac:dyDescent="0.25">
      <c r="A118" s="8"/>
      <c r="B118" s="8"/>
      <c r="C118" s="8"/>
      <c r="D118" s="8"/>
      <c r="E118" s="8"/>
      <c r="F118" s="9"/>
      <c r="G118" s="8"/>
      <c r="H118" s="8"/>
      <c r="I118" s="8"/>
    </row>
    <row r="119" spans="1:9" ht="14.25" customHeight="1" x14ac:dyDescent="0.25">
      <c r="A119" s="8"/>
      <c r="B119" s="8"/>
      <c r="C119" s="8"/>
      <c r="D119" s="8"/>
      <c r="E119" s="8"/>
      <c r="F119" s="9"/>
      <c r="G119" s="8"/>
      <c r="H119" s="8"/>
      <c r="I119" s="8"/>
    </row>
    <row r="120" spans="1:9" ht="14.25" customHeight="1" x14ac:dyDescent="0.25">
      <c r="A120" s="8"/>
      <c r="B120" s="8"/>
      <c r="C120" s="8"/>
      <c r="D120" s="8"/>
      <c r="E120" s="8"/>
      <c r="F120" s="9"/>
      <c r="G120" s="8"/>
      <c r="H120" s="8"/>
      <c r="I120" s="8"/>
    </row>
    <row r="121" spans="1:9" ht="14.25" customHeight="1" x14ac:dyDescent="0.25">
      <c r="A121" s="8"/>
      <c r="B121" s="8"/>
      <c r="C121" s="8"/>
      <c r="D121" s="8"/>
      <c r="E121" s="8"/>
      <c r="F121" s="9"/>
      <c r="G121" s="8"/>
      <c r="H121" s="8"/>
      <c r="I121" s="8"/>
    </row>
    <row r="122" spans="1:9" ht="14.25" customHeight="1" x14ac:dyDescent="0.25">
      <c r="A122" s="8"/>
      <c r="B122" s="8"/>
      <c r="C122" s="8"/>
      <c r="D122" s="8"/>
      <c r="E122" s="8"/>
      <c r="F122" s="9"/>
      <c r="G122" s="8"/>
      <c r="H122" s="8"/>
      <c r="I122" s="8"/>
    </row>
    <row r="123" spans="1:9" ht="14.25" customHeight="1" x14ac:dyDescent="0.25">
      <c r="A123" s="8"/>
      <c r="B123" s="8"/>
      <c r="C123" s="8"/>
      <c r="D123" s="8"/>
      <c r="E123" s="8"/>
      <c r="F123" s="9"/>
      <c r="G123" s="8"/>
      <c r="H123" s="8"/>
      <c r="I123" s="8"/>
    </row>
    <row r="124" spans="1:9" ht="14.25" customHeight="1" x14ac:dyDescent="0.25">
      <c r="A124" s="8"/>
      <c r="B124" s="8"/>
      <c r="C124" s="8"/>
      <c r="D124" s="8"/>
      <c r="E124" s="8"/>
      <c r="F124" s="9"/>
      <c r="G124" s="8"/>
      <c r="H124" s="8"/>
      <c r="I124" s="8"/>
    </row>
    <row r="125" spans="1:9" ht="14.25" customHeight="1" x14ac:dyDescent="0.25">
      <c r="A125" s="8"/>
      <c r="B125" s="8"/>
      <c r="C125" s="8"/>
      <c r="D125" s="8"/>
      <c r="E125" s="8"/>
      <c r="F125" s="9"/>
      <c r="G125" s="8"/>
      <c r="H125" s="8"/>
      <c r="I125" s="8"/>
    </row>
    <row r="126" spans="1:9" ht="14.25" customHeight="1" x14ac:dyDescent="0.25">
      <c r="A126" s="8"/>
      <c r="B126" s="8"/>
      <c r="C126" s="8"/>
      <c r="D126" s="8"/>
      <c r="E126" s="8"/>
      <c r="F126" s="9"/>
      <c r="G126" s="8"/>
      <c r="H126" s="8"/>
      <c r="I126" s="8"/>
    </row>
    <row r="127" spans="1:9" ht="14.25" customHeight="1" x14ac:dyDescent="0.25">
      <c r="A127" s="8"/>
      <c r="B127" s="8"/>
      <c r="C127" s="8"/>
      <c r="D127" s="8"/>
      <c r="E127" s="8"/>
      <c r="F127" s="9"/>
      <c r="G127" s="8"/>
      <c r="H127" s="8"/>
      <c r="I127" s="8"/>
    </row>
    <row r="128" spans="1:9" ht="14.25" customHeight="1" x14ac:dyDescent="0.25">
      <c r="A128" s="8"/>
      <c r="B128" s="8"/>
      <c r="C128" s="8"/>
      <c r="D128" s="8"/>
      <c r="E128" s="8"/>
      <c r="F128" s="9"/>
      <c r="G128" s="8"/>
      <c r="H128" s="8"/>
      <c r="I128" s="8"/>
    </row>
    <row r="129" spans="1:9" ht="14.25" customHeight="1" x14ac:dyDescent="0.25">
      <c r="A129" s="8"/>
      <c r="B129" s="8"/>
      <c r="C129" s="8"/>
      <c r="D129" s="8"/>
      <c r="E129" s="8"/>
      <c r="F129" s="9"/>
      <c r="G129" s="8"/>
      <c r="H129" s="8"/>
      <c r="I129" s="8"/>
    </row>
    <row r="130" spans="1:9" ht="14.25" customHeight="1" x14ac:dyDescent="0.25">
      <c r="A130" s="8"/>
      <c r="B130" s="8"/>
      <c r="C130" s="8"/>
      <c r="D130" s="8"/>
      <c r="E130" s="8"/>
      <c r="F130" s="9"/>
      <c r="G130" s="8"/>
      <c r="H130" s="8"/>
      <c r="I130" s="8"/>
    </row>
    <row r="131" spans="1:9" ht="14.25" customHeight="1" x14ac:dyDescent="0.25">
      <c r="A131" s="8"/>
      <c r="B131" s="8"/>
      <c r="C131" s="8"/>
      <c r="D131" s="8"/>
      <c r="E131" s="8"/>
      <c r="F131" s="9"/>
      <c r="G131" s="8"/>
      <c r="H131" s="8"/>
      <c r="I131" s="8"/>
    </row>
    <row r="132" spans="1:9" ht="14.25" customHeight="1" x14ac:dyDescent="0.25">
      <c r="A132" s="8"/>
      <c r="B132" s="8"/>
      <c r="C132" s="8"/>
      <c r="D132" s="8"/>
      <c r="E132" s="8"/>
      <c r="F132" s="9"/>
      <c r="G132" s="8"/>
      <c r="H132" s="8"/>
      <c r="I132" s="8"/>
    </row>
    <row r="133" spans="1:9" ht="14.25" customHeight="1" x14ac:dyDescent="0.25">
      <c r="A133" s="8"/>
      <c r="B133" s="8"/>
      <c r="C133" s="8"/>
      <c r="D133" s="8"/>
      <c r="E133" s="8"/>
      <c r="F133" s="9"/>
      <c r="G133" s="8"/>
      <c r="H133" s="8"/>
      <c r="I133" s="8"/>
    </row>
    <row r="134" spans="1:9" ht="14.25" customHeight="1" x14ac:dyDescent="0.25">
      <c r="A134" s="8"/>
      <c r="B134" s="8"/>
      <c r="C134" s="8"/>
      <c r="D134" s="8"/>
      <c r="E134" s="8"/>
      <c r="F134" s="9"/>
      <c r="G134" s="8"/>
      <c r="H134" s="8"/>
      <c r="I134" s="8"/>
    </row>
    <row r="135" spans="1:9" ht="14.25" customHeight="1" x14ac:dyDescent="0.25">
      <c r="A135" s="8"/>
      <c r="B135" s="8"/>
      <c r="C135" s="8"/>
      <c r="D135" s="8"/>
      <c r="E135" s="8"/>
      <c r="F135" s="9"/>
      <c r="G135" s="8"/>
      <c r="H135" s="8"/>
      <c r="I135" s="8"/>
    </row>
    <row r="136" spans="1:9" ht="14.25" customHeight="1" x14ac:dyDescent="0.25">
      <c r="A136" s="8"/>
      <c r="B136" s="8"/>
      <c r="C136" s="8"/>
      <c r="D136" s="8"/>
      <c r="E136" s="8"/>
      <c r="F136" s="9"/>
      <c r="G136" s="8"/>
      <c r="H136" s="8"/>
      <c r="I136" s="8"/>
    </row>
    <row r="137" spans="1:9" ht="14.25" customHeight="1" x14ac:dyDescent="0.25">
      <c r="A137" s="8"/>
      <c r="B137" s="8"/>
      <c r="C137" s="8"/>
      <c r="D137" s="8"/>
      <c r="E137" s="8"/>
      <c r="F137" s="9"/>
      <c r="G137" s="8"/>
      <c r="H137" s="8"/>
      <c r="I137" s="8"/>
    </row>
    <row r="138" spans="1:9" ht="14.25" customHeight="1" x14ac:dyDescent="0.25">
      <c r="A138" s="8"/>
      <c r="B138" s="8"/>
      <c r="C138" s="8"/>
      <c r="D138" s="8"/>
      <c r="E138" s="8"/>
      <c r="F138" s="9"/>
      <c r="G138" s="8"/>
      <c r="H138" s="8"/>
      <c r="I138" s="8"/>
    </row>
    <row r="139" spans="1:9" ht="14.25" customHeight="1" x14ac:dyDescent="0.25">
      <c r="A139" s="8"/>
      <c r="B139" s="8"/>
      <c r="C139" s="8"/>
      <c r="D139" s="8"/>
      <c r="E139" s="8"/>
      <c r="F139" s="9"/>
      <c r="G139" s="8"/>
      <c r="H139" s="8"/>
      <c r="I139" s="8"/>
    </row>
    <row r="140" spans="1:9" ht="14.25" customHeight="1" x14ac:dyDescent="0.25">
      <c r="A140" s="8"/>
      <c r="B140" s="8"/>
      <c r="C140" s="8"/>
      <c r="D140" s="8"/>
      <c r="E140" s="8"/>
      <c r="F140" s="9"/>
      <c r="G140" s="8"/>
      <c r="H140" s="8"/>
      <c r="I140" s="8"/>
    </row>
    <row r="141" spans="1:9" ht="14.25" customHeight="1" x14ac:dyDescent="0.25">
      <c r="A141" s="8"/>
      <c r="B141" s="8"/>
      <c r="C141" s="8"/>
      <c r="D141" s="8"/>
      <c r="E141" s="8"/>
      <c r="F141" s="9"/>
      <c r="G141" s="8"/>
      <c r="H141" s="8"/>
      <c r="I141" s="8"/>
    </row>
    <row r="142" spans="1:9" ht="14.25" customHeight="1" x14ac:dyDescent="0.25">
      <c r="A142" s="8"/>
      <c r="B142" s="8"/>
      <c r="C142" s="8"/>
      <c r="D142" s="8"/>
      <c r="E142" s="8"/>
      <c r="F142" s="9"/>
      <c r="G142" s="8"/>
      <c r="H142" s="8"/>
      <c r="I142" s="8"/>
    </row>
    <row r="143" spans="1:9" ht="14.25" customHeight="1" x14ac:dyDescent="0.25">
      <c r="A143" s="8"/>
      <c r="B143" s="8"/>
      <c r="C143" s="8"/>
      <c r="D143" s="8"/>
      <c r="E143" s="8"/>
      <c r="F143" s="9"/>
      <c r="G143" s="8"/>
      <c r="H143" s="8"/>
      <c r="I143" s="8"/>
    </row>
    <row r="144" spans="1:9" ht="14.25" customHeight="1" x14ac:dyDescent="0.25">
      <c r="A144" s="8"/>
      <c r="B144" s="8"/>
      <c r="C144" s="8"/>
      <c r="D144" s="8"/>
      <c r="E144" s="8"/>
      <c r="F144" s="9"/>
      <c r="G144" s="8"/>
      <c r="H144" s="8"/>
      <c r="I144" s="8"/>
    </row>
    <row r="145" spans="1:9" ht="14.25" customHeight="1" x14ac:dyDescent="0.25">
      <c r="A145" s="8"/>
      <c r="B145" s="8"/>
      <c r="C145" s="8"/>
      <c r="D145" s="8"/>
      <c r="E145" s="8"/>
      <c r="F145" s="9"/>
      <c r="G145" s="8"/>
      <c r="H145" s="8"/>
      <c r="I145" s="8"/>
    </row>
    <row r="146" spans="1:9" ht="14.25" customHeight="1" x14ac:dyDescent="0.25">
      <c r="A146" s="8"/>
      <c r="B146" s="8"/>
      <c r="C146" s="8"/>
      <c r="D146" s="8"/>
      <c r="E146" s="8"/>
      <c r="F146" s="9"/>
      <c r="G146" s="8"/>
      <c r="H146" s="8"/>
      <c r="I146" s="8"/>
    </row>
    <row r="147" spans="1:9" ht="14.25" customHeight="1" x14ac:dyDescent="0.25">
      <c r="A147" s="8"/>
      <c r="B147" s="8"/>
      <c r="C147" s="8"/>
      <c r="D147" s="8"/>
      <c r="E147" s="8"/>
      <c r="F147" s="9"/>
      <c r="G147" s="8"/>
      <c r="H147" s="8"/>
      <c r="I147" s="8"/>
    </row>
    <row r="148" spans="1:9" ht="14.25" customHeight="1" x14ac:dyDescent="0.25">
      <c r="A148" s="8"/>
      <c r="B148" s="8"/>
      <c r="C148" s="8"/>
      <c r="D148" s="8"/>
      <c r="E148" s="8"/>
      <c r="F148" s="9"/>
      <c r="G148" s="8"/>
      <c r="H148" s="8"/>
      <c r="I148" s="8"/>
    </row>
    <row r="149" spans="1:9" ht="14.25" customHeight="1" x14ac:dyDescent="0.25">
      <c r="A149" s="8"/>
      <c r="B149" s="8"/>
      <c r="C149" s="8"/>
      <c r="D149" s="8"/>
      <c r="E149" s="8"/>
      <c r="F149" s="9"/>
      <c r="G149" s="8"/>
      <c r="H149" s="8"/>
      <c r="I149" s="8"/>
    </row>
    <row r="150" spans="1:9" ht="14.25" customHeight="1" x14ac:dyDescent="0.25">
      <c r="A150" s="8"/>
      <c r="B150" s="8"/>
      <c r="C150" s="8"/>
      <c r="D150" s="8"/>
      <c r="E150" s="8"/>
      <c r="F150" s="9"/>
      <c r="G150" s="8"/>
      <c r="H150" s="8"/>
      <c r="I150" s="8"/>
    </row>
    <row r="151" spans="1:9" ht="14.25" customHeight="1" x14ac:dyDescent="0.25">
      <c r="A151" s="8"/>
      <c r="B151" s="8"/>
      <c r="C151" s="8"/>
      <c r="D151" s="8"/>
      <c r="E151" s="8"/>
      <c r="F151" s="9"/>
      <c r="G151" s="8"/>
      <c r="H151" s="8"/>
      <c r="I151" s="8"/>
    </row>
    <row r="152" spans="1:9" ht="14.25" customHeight="1" x14ac:dyDescent="0.25">
      <c r="A152" s="8"/>
      <c r="B152" s="8"/>
      <c r="C152" s="8"/>
      <c r="D152" s="8"/>
      <c r="E152" s="8"/>
      <c r="F152" s="9"/>
      <c r="G152" s="8"/>
      <c r="H152" s="8"/>
      <c r="I152" s="8"/>
    </row>
    <row r="153" spans="1:9" ht="14.25" customHeight="1" x14ac:dyDescent="0.25">
      <c r="A153" s="8"/>
      <c r="B153" s="8"/>
      <c r="C153" s="8"/>
      <c r="D153" s="8"/>
      <c r="E153" s="8"/>
      <c r="F153" s="9"/>
      <c r="G153" s="8"/>
      <c r="H153" s="8"/>
      <c r="I153" s="8"/>
    </row>
    <row r="154" spans="1:9" ht="14.25" customHeight="1" x14ac:dyDescent="0.25">
      <c r="A154" s="8"/>
      <c r="B154" s="8"/>
      <c r="C154" s="8"/>
      <c r="D154" s="8"/>
      <c r="E154" s="8"/>
      <c r="F154" s="9"/>
      <c r="G154" s="8"/>
      <c r="H154" s="8"/>
      <c r="I154" s="8"/>
    </row>
    <row r="155" spans="1:9" ht="14.25" customHeight="1" x14ac:dyDescent="0.25">
      <c r="A155" s="8"/>
      <c r="B155" s="8"/>
      <c r="C155" s="8"/>
      <c r="D155" s="8"/>
      <c r="E155" s="8"/>
      <c r="F155" s="9"/>
      <c r="G155" s="8"/>
      <c r="H155" s="8"/>
      <c r="I155" s="8"/>
    </row>
    <row r="156" spans="1:9" ht="14.25" customHeight="1" x14ac:dyDescent="0.25">
      <c r="A156" s="8"/>
      <c r="B156" s="8"/>
      <c r="C156" s="8"/>
      <c r="D156" s="8"/>
      <c r="E156" s="8"/>
      <c r="F156" s="9"/>
      <c r="G156" s="8"/>
      <c r="H156" s="8"/>
      <c r="I156" s="8"/>
    </row>
    <row r="157" spans="1:9" ht="14.25" customHeight="1" x14ac:dyDescent="0.25">
      <c r="A157" s="8"/>
      <c r="B157" s="8"/>
      <c r="C157" s="8"/>
      <c r="D157" s="8"/>
      <c r="E157" s="8"/>
      <c r="F157" s="9"/>
      <c r="G157" s="8"/>
      <c r="H157" s="8"/>
      <c r="I157" s="8"/>
    </row>
    <row r="158" spans="1:9" ht="14.25" customHeight="1" x14ac:dyDescent="0.25">
      <c r="A158" s="8"/>
      <c r="B158" s="8"/>
      <c r="C158" s="8"/>
      <c r="D158" s="8"/>
      <c r="E158" s="8"/>
      <c r="F158" s="9"/>
      <c r="G158" s="8"/>
      <c r="H158" s="8"/>
      <c r="I158" s="8"/>
    </row>
    <row r="159" spans="1:9" ht="14.25" customHeight="1" x14ac:dyDescent="0.25">
      <c r="A159" s="8"/>
      <c r="B159" s="8"/>
      <c r="C159" s="8"/>
      <c r="D159" s="8"/>
      <c r="E159" s="8"/>
      <c r="F159" s="9"/>
      <c r="G159" s="8"/>
      <c r="H159" s="8"/>
      <c r="I159" s="8"/>
    </row>
    <row r="160" spans="1:9" ht="14.25" customHeight="1" x14ac:dyDescent="0.25">
      <c r="A160" s="8"/>
      <c r="B160" s="8"/>
      <c r="C160" s="8"/>
      <c r="D160" s="8"/>
      <c r="E160" s="8"/>
      <c r="F160" s="9"/>
      <c r="G160" s="8"/>
      <c r="H160" s="8"/>
      <c r="I160" s="8"/>
    </row>
    <row r="161" spans="1:9" ht="14.25" customHeight="1" x14ac:dyDescent="0.25">
      <c r="A161" s="8"/>
      <c r="B161" s="8"/>
      <c r="C161" s="8"/>
      <c r="D161" s="8"/>
      <c r="E161" s="8"/>
      <c r="F161" s="9"/>
      <c r="G161" s="8"/>
      <c r="H161" s="8"/>
      <c r="I161" s="8"/>
    </row>
    <row r="162" spans="1:9" ht="14.25" customHeight="1" x14ac:dyDescent="0.25">
      <c r="A162" s="8"/>
      <c r="B162" s="8"/>
      <c r="C162" s="8"/>
      <c r="D162" s="8"/>
      <c r="E162" s="8"/>
      <c r="F162" s="9"/>
      <c r="G162" s="8"/>
      <c r="H162" s="8"/>
      <c r="I162" s="8"/>
    </row>
    <row r="163" spans="1:9" ht="14.25" customHeight="1" x14ac:dyDescent="0.25">
      <c r="A163" s="8"/>
      <c r="B163" s="8"/>
      <c r="C163" s="8"/>
      <c r="D163" s="8"/>
      <c r="E163" s="8"/>
      <c r="F163" s="9"/>
      <c r="G163" s="8"/>
      <c r="H163" s="8"/>
      <c r="I163" s="8"/>
    </row>
    <row r="164" spans="1:9" ht="14.25" customHeight="1" x14ac:dyDescent="0.25">
      <c r="A164" s="8"/>
      <c r="B164" s="8"/>
      <c r="C164" s="8"/>
      <c r="D164" s="8"/>
      <c r="E164" s="8"/>
      <c r="F164" s="9"/>
      <c r="G164" s="8"/>
      <c r="H164" s="8"/>
      <c r="I164" s="8"/>
    </row>
    <row r="165" spans="1:9" ht="14.25" customHeight="1" x14ac:dyDescent="0.25">
      <c r="A165" s="8"/>
      <c r="B165" s="8"/>
      <c r="C165" s="8"/>
      <c r="D165" s="8"/>
      <c r="E165" s="8"/>
      <c r="F165" s="9"/>
      <c r="G165" s="8"/>
      <c r="H165" s="8"/>
      <c r="I165" s="8"/>
    </row>
    <row r="166" spans="1:9" ht="14.25" customHeight="1" x14ac:dyDescent="0.25">
      <c r="A166" s="8"/>
      <c r="B166" s="8"/>
      <c r="C166" s="8"/>
      <c r="D166" s="8"/>
      <c r="E166" s="8"/>
      <c r="F166" s="9"/>
      <c r="G166" s="8"/>
      <c r="H166" s="8"/>
      <c r="I166" s="8"/>
    </row>
    <row r="167" spans="1:9" ht="14.25" customHeight="1" x14ac:dyDescent="0.25">
      <c r="A167" s="8"/>
      <c r="B167" s="8"/>
      <c r="C167" s="8"/>
      <c r="D167" s="8"/>
      <c r="E167" s="8"/>
      <c r="F167" s="9"/>
      <c r="G167" s="8"/>
      <c r="H167" s="8"/>
      <c r="I167" s="8"/>
    </row>
    <row r="168" spans="1:9" ht="14.25" customHeight="1" x14ac:dyDescent="0.25">
      <c r="A168" s="8"/>
      <c r="B168" s="8"/>
      <c r="C168" s="8"/>
      <c r="D168" s="8"/>
      <c r="E168" s="8"/>
      <c r="F168" s="9"/>
      <c r="G168" s="8"/>
      <c r="H168" s="8"/>
      <c r="I168" s="8"/>
    </row>
    <row r="169" spans="1:9" ht="14.25" customHeight="1" x14ac:dyDescent="0.25">
      <c r="A169" s="8"/>
      <c r="B169" s="8"/>
      <c r="C169" s="8"/>
      <c r="D169" s="8"/>
      <c r="E169" s="8"/>
      <c r="F169" s="9"/>
      <c r="G169" s="8"/>
      <c r="H169" s="8"/>
      <c r="I169" s="8"/>
    </row>
    <row r="170" spans="1:9" ht="14.25" customHeight="1" x14ac:dyDescent="0.25">
      <c r="A170" s="8"/>
      <c r="B170" s="8"/>
      <c r="C170" s="8"/>
      <c r="D170" s="8"/>
      <c r="E170" s="8"/>
      <c r="F170" s="9"/>
      <c r="G170" s="8"/>
      <c r="H170" s="8"/>
      <c r="I170" s="8"/>
    </row>
    <row r="171" spans="1:9" ht="14.25" customHeight="1" x14ac:dyDescent="0.25">
      <c r="A171" s="8"/>
      <c r="B171" s="8"/>
      <c r="C171" s="8"/>
      <c r="D171" s="8"/>
      <c r="E171" s="8"/>
      <c r="F171" s="9"/>
      <c r="G171" s="8"/>
      <c r="H171" s="8"/>
      <c r="I171" s="8"/>
    </row>
    <row r="172" spans="1:9" ht="14.25" customHeight="1" x14ac:dyDescent="0.25">
      <c r="A172" s="8"/>
      <c r="B172" s="8"/>
      <c r="C172" s="8"/>
      <c r="D172" s="8"/>
      <c r="E172" s="8"/>
      <c r="F172" s="9"/>
      <c r="G172" s="8"/>
      <c r="H172" s="8"/>
      <c r="I172" s="8"/>
    </row>
    <row r="173" spans="1:9" ht="14.25" customHeight="1" x14ac:dyDescent="0.25">
      <c r="A173" s="8"/>
      <c r="B173" s="8"/>
      <c r="C173" s="8"/>
      <c r="D173" s="8"/>
      <c r="E173" s="8"/>
      <c r="F173" s="9"/>
      <c r="G173" s="8"/>
      <c r="H173" s="8"/>
      <c r="I173" s="8"/>
    </row>
    <row r="174" spans="1:9" ht="14.25" customHeight="1" x14ac:dyDescent="0.25">
      <c r="A174" s="8"/>
      <c r="B174" s="8"/>
      <c r="C174" s="8"/>
      <c r="D174" s="8"/>
      <c r="E174" s="8"/>
      <c r="F174" s="9"/>
      <c r="G174" s="8"/>
      <c r="H174" s="8"/>
      <c r="I174" s="8"/>
    </row>
    <row r="175" spans="1:9" ht="14.25" customHeight="1" x14ac:dyDescent="0.25">
      <c r="A175" s="8"/>
      <c r="B175" s="8"/>
      <c r="C175" s="8"/>
      <c r="D175" s="8"/>
      <c r="E175" s="8"/>
      <c r="F175" s="9"/>
      <c r="G175" s="8"/>
      <c r="H175" s="8"/>
      <c r="I175" s="8"/>
    </row>
    <row r="176" spans="1:9" ht="14.25" customHeight="1" x14ac:dyDescent="0.25">
      <c r="A176" s="8"/>
      <c r="B176" s="8"/>
      <c r="C176" s="8"/>
      <c r="D176" s="8"/>
      <c r="E176" s="8"/>
      <c r="F176" s="9"/>
      <c r="G176" s="8"/>
      <c r="H176" s="8"/>
      <c r="I176" s="8"/>
    </row>
    <row r="177" spans="1:9" ht="14.25" customHeight="1" x14ac:dyDescent="0.25">
      <c r="A177" s="8"/>
      <c r="B177" s="8"/>
      <c r="C177" s="8"/>
      <c r="D177" s="8"/>
      <c r="E177" s="8"/>
      <c r="F177" s="9"/>
      <c r="G177" s="8"/>
      <c r="H177" s="8"/>
      <c r="I177" s="8"/>
    </row>
    <row r="178" spans="1:9" ht="14.25" customHeight="1" x14ac:dyDescent="0.25">
      <c r="A178" s="8"/>
      <c r="B178" s="8"/>
      <c r="C178" s="8"/>
      <c r="D178" s="8"/>
      <c r="E178" s="8"/>
      <c r="F178" s="9"/>
      <c r="G178" s="8"/>
      <c r="H178" s="8"/>
      <c r="I178" s="8"/>
    </row>
    <row r="179" spans="1:9" ht="14.25" customHeight="1" x14ac:dyDescent="0.25">
      <c r="A179" s="8"/>
      <c r="B179" s="8"/>
      <c r="C179" s="8"/>
      <c r="D179" s="8"/>
      <c r="E179" s="8"/>
      <c r="F179" s="9"/>
      <c r="G179" s="8"/>
      <c r="H179" s="8"/>
      <c r="I179" s="8"/>
    </row>
    <row r="180" spans="1:9" ht="14.25" customHeight="1" x14ac:dyDescent="0.25">
      <c r="A180" s="8"/>
      <c r="B180" s="8"/>
      <c r="C180" s="8"/>
      <c r="D180" s="8"/>
      <c r="E180" s="8"/>
      <c r="F180" s="9"/>
      <c r="G180" s="8"/>
      <c r="H180" s="8"/>
      <c r="I180" s="8"/>
    </row>
    <row r="181" spans="1:9" ht="14.25" customHeight="1" x14ac:dyDescent="0.25">
      <c r="A181" s="8"/>
      <c r="B181" s="8"/>
      <c r="C181" s="8"/>
      <c r="D181" s="8"/>
      <c r="E181" s="8"/>
      <c r="F181" s="9"/>
      <c r="G181" s="8"/>
      <c r="H181" s="8"/>
      <c r="I181" s="8"/>
    </row>
    <row r="182" spans="1:9" ht="14.25" customHeight="1" x14ac:dyDescent="0.25">
      <c r="A182" s="8"/>
      <c r="B182" s="8"/>
      <c r="C182" s="8"/>
      <c r="D182" s="8"/>
      <c r="E182" s="8"/>
      <c r="F182" s="9"/>
      <c r="G182" s="8"/>
      <c r="H182" s="8"/>
      <c r="I182" s="8"/>
    </row>
    <row r="183" spans="1:9" ht="14.25" customHeight="1" x14ac:dyDescent="0.25">
      <c r="A183" s="8"/>
      <c r="B183" s="8"/>
      <c r="C183" s="8"/>
      <c r="D183" s="8"/>
      <c r="E183" s="8"/>
      <c r="F183" s="9"/>
      <c r="G183" s="8"/>
      <c r="H183" s="8"/>
      <c r="I183" s="8"/>
    </row>
    <row r="184" spans="1:9" ht="14.25" customHeight="1" x14ac:dyDescent="0.25">
      <c r="A184" s="8"/>
      <c r="B184" s="8"/>
      <c r="C184" s="8"/>
      <c r="D184" s="8"/>
      <c r="E184" s="8"/>
      <c r="F184" s="9"/>
      <c r="G184" s="8"/>
      <c r="H184" s="8"/>
      <c r="I184" s="8"/>
    </row>
    <row r="185" spans="1:9" ht="14.25" customHeight="1" x14ac:dyDescent="0.25">
      <c r="A185" s="8"/>
      <c r="B185" s="8"/>
      <c r="C185" s="8"/>
      <c r="D185" s="8"/>
      <c r="E185" s="8"/>
      <c r="F185" s="9"/>
      <c r="G185" s="8"/>
      <c r="H185" s="8"/>
      <c r="I185" s="8"/>
    </row>
    <row r="186" spans="1:9" ht="14.25" customHeight="1" x14ac:dyDescent="0.25">
      <c r="A186" s="8"/>
      <c r="B186" s="8"/>
      <c r="C186" s="8"/>
      <c r="D186" s="8"/>
      <c r="E186" s="8"/>
      <c r="F186" s="9"/>
      <c r="G186" s="8"/>
      <c r="H186" s="8"/>
      <c r="I186" s="8"/>
    </row>
    <row r="187" spans="1:9" ht="14.25" customHeight="1" x14ac:dyDescent="0.25">
      <c r="A187" s="8"/>
      <c r="B187" s="8"/>
      <c r="C187" s="8"/>
      <c r="D187" s="8"/>
      <c r="E187" s="8"/>
      <c r="F187" s="9"/>
      <c r="G187" s="8"/>
      <c r="H187" s="8"/>
      <c r="I187" s="8"/>
    </row>
    <row r="188" spans="1:9" ht="14.25" customHeight="1" x14ac:dyDescent="0.25">
      <c r="A188" s="8"/>
      <c r="B188" s="8"/>
      <c r="C188" s="8"/>
      <c r="D188" s="8"/>
      <c r="E188" s="8"/>
      <c r="F188" s="9"/>
      <c r="G188" s="8"/>
      <c r="H188" s="8"/>
      <c r="I188" s="8"/>
    </row>
    <row r="189" spans="1:9" ht="14.25" customHeight="1" x14ac:dyDescent="0.25">
      <c r="A189" s="8"/>
      <c r="B189" s="8"/>
      <c r="C189" s="8"/>
      <c r="D189" s="8"/>
      <c r="E189" s="8"/>
      <c r="F189" s="9"/>
      <c r="G189" s="8"/>
      <c r="H189" s="8"/>
      <c r="I189" s="8"/>
    </row>
    <row r="190" spans="1:9" ht="14.25" customHeight="1" x14ac:dyDescent="0.25">
      <c r="A190" s="8"/>
      <c r="B190" s="8"/>
      <c r="C190" s="8"/>
      <c r="D190" s="8"/>
      <c r="E190" s="8"/>
      <c r="F190" s="9"/>
      <c r="G190" s="8"/>
      <c r="H190" s="8"/>
      <c r="I190" s="8"/>
    </row>
    <row r="191" spans="1:9" ht="14.25" customHeight="1" x14ac:dyDescent="0.25">
      <c r="A191" s="8"/>
      <c r="B191" s="8"/>
      <c r="C191" s="8"/>
      <c r="D191" s="8"/>
      <c r="E191" s="8"/>
      <c r="F191" s="9"/>
      <c r="G191" s="8"/>
      <c r="H191" s="8"/>
      <c r="I191" s="8"/>
    </row>
    <row r="192" spans="1:9" ht="14.25" customHeight="1" x14ac:dyDescent="0.25">
      <c r="A192" s="8"/>
      <c r="B192" s="8"/>
      <c r="C192" s="8"/>
      <c r="D192" s="8"/>
      <c r="E192" s="8"/>
      <c r="F192" s="9"/>
      <c r="G192" s="8"/>
      <c r="H192" s="8"/>
      <c r="I192" s="8"/>
    </row>
    <row r="193" spans="1:9" ht="14.25" customHeight="1" x14ac:dyDescent="0.25">
      <c r="A193" s="8"/>
      <c r="B193" s="8"/>
      <c r="C193" s="8"/>
      <c r="D193" s="8"/>
      <c r="E193" s="8"/>
      <c r="F193" s="9"/>
      <c r="G193" s="8"/>
      <c r="H193" s="8"/>
      <c r="I193" s="8"/>
    </row>
    <row r="194" spans="1:9" ht="14.25" customHeight="1" x14ac:dyDescent="0.25">
      <c r="A194" s="8"/>
      <c r="B194" s="8"/>
      <c r="C194" s="8"/>
      <c r="D194" s="8"/>
      <c r="E194" s="8"/>
      <c r="F194" s="9"/>
      <c r="G194" s="8"/>
      <c r="H194" s="8"/>
      <c r="I194" s="8"/>
    </row>
    <row r="195" spans="1:9" ht="14.25" customHeight="1" x14ac:dyDescent="0.25">
      <c r="A195" s="8"/>
      <c r="B195" s="8"/>
      <c r="C195" s="8"/>
      <c r="D195" s="8"/>
      <c r="E195" s="8"/>
      <c r="F195" s="9"/>
      <c r="G195" s="8"/>
      <c r="H195" s="8"/>
      <c r="I195" s="8"/>
    </row>
    <row r="196" spans="1:9" ht="14.25" customHeight="1" x14ac:dyDescent="0.25">
      <c r="A196" s="8"/>
      <c r="B196" s="8"/>
      <c r="C196" s="8"/>
      <c r="D196" s="8"/>
      <c r="E196" s="8"/>
      <c r="F196" s="9"/>
      <c r="G196" s="8"/>
      <c r="H196" s="8"/>
      <c r="I196" s="8"/>
    </row>
    <row r="197" spans="1:9" ht="14.25" customHeight="1" x14ac:dyDescent="0.25">
      <c r="A197" s="8"/>
      <c r="B197" s="8"/>
      <c r="C197" s="8"/>
      <c r="D197" s="8"/>
      <c r="E197" s="8"/>
      <c r="F197" s="9"/>
      <c r="G197" s="8"/>
      <c r="H197" s="8"/>
      <c r="I197" s="8"/>
    </row>
    <row r="198" spans="1:9" ht="14.25" customHeight="1" x14ac:dyDescent="0.25">
      <c r="A198" s="8"/>
      <c r="B198" s="8"/>
      <c r="C198" s="8"/>
      <c r="D198" s="8"/>
      <c r="E198" s="8"/>
      <c r="F198" s="9"/>
      <c r="G198" s="8"/>
      <c r="H198" s="8"/>
      <c r="I198" s="8"/>
    </row>
    <row r="199" spans="1:9" ht="14.25" customHeight="1" x14ac:dyDescent="0.25">
      <c r="A199" s="8"/>
      <c r="B199" s="8"/>
      <c r="C199" s="8"/>
      <c r="D199" s="8"/>
      <c r="E199" s="8"/>
      <c r="F199" s="9"/>
      <c r="G199" s="8"/>
      <c r="H199" s="8"/>
      <c r="I199" s="8"/>
    </row>
    <row r="200" spans="1:9" ht="14.25" customHeight="1" x14ac:dyDescent="0.25">
      <c r="A200" s="8"/>
      <c r="B200" s="8"/>
      <c r="C200" s="8"/>
      <c r="D200" s="8"/>
      <c r="E200" s="8"/>
      <c r="F200" s="9"/>
      <c r="G200" s="8"/>
      <c r="H200" s="8"/>
      <c r="I200" s="8"/>
    </row>
    <row r="201" spans="1:9" ht="14.25" customHeight="1" x14ac:dyDescent="0.25">
      <c r="A201" s="8"/>
      <c r="B201" s="8"/>
      <c r="C201" s="8"/>
      <c r="D201" s="8"/>
      <c r="E201" s="8"/>
      <c r="F201" s="9"/>
      <c r="G201" s="8"/>
      <c r="H201" s="8"/>
      <c r="I201" s="8"/>
    </row>
    <row r="202" spans="1:9" ht="14.25" customHeight="1" x14ac:dyDescent="0.25">
      <c r="A202" s="8"/>
      <c r="B202" s="8"/>
      <c r="C202" s="8"/>
      <c r="D202" s="8"/>
      <c r="E202" s="8"/>
      <c r="F202" s="9"/>
      <c r="G202" s="8"/>
      <c r="H202" s="8"/>
      <c r="I202" s="8"/>
    </row>
    <row r="203" spans="1:9" ht="14.25" customHeight="1" x14ac:dyDescent="0.25">
      <c r="A203" s="8"/>
      <c r="B203" s="8"/>
      <c r="C203" s="8"/>
      <c r="D203" s="8"/>
      <c r="E203" s="8"/>
      <c r="F203" s="9"/>
      <c r="G203" s="8"/>
      <c r="H203" s="8"/>
      <c r="I203" s="8"/>
    </row>
    <row r="204" spans="1:9" ht="14.25" customHeight="1" x14ac:dyDescent="0.25">
      <c r="A204" s="8"/>
      <c r="B204" s="8"/>
      <c r="C204" s="8"/>
      <c r="D204" s="8"/>
      <c r="E204" s="8"/>
      <c r="F204" s="9"/>
      <c r="G204" s="8"/>
      <c r="H204" s="8"/>
      <c r="I204" s="8"/>
    </row>
    <row r="205" spans="1:9" ht="14.25" customHeight="1" x14ac:dyDescent="0.25">
      <c r="A205" s="8"/>
      <c r="B205" s="8"/>
      <c r="C205" s="8"/>
      <c r="D205" s="8"/>
      <c r="E205" s="8"/>
      <c r="F205" s="9"/>
      <c r="G205" s="8"/>
      <c r="H205" s="8"/>
      <c r="I205" s="8"/>
    </row>
    <row r="206" spans="1:9" ht="14.25" customHeight="1" x14ac:dyDescent="0.25">
      <c r="A206" s="8"/>
      <c r="B206" s="8"/>
      <c r="C206" s="8"/>
      <c r="D206" s="8"/>
      <c r="E206" s="8"/>
      <c r="F206" s="9"/>
      <c r="G206" s="8"/>
      <c r="H206" s="8"/>
      <c r="I206" s="8"/>
    </row>
    <row r="207" spans="1:9" ht="14.25" customHeight="1" x14ac:dyDescent="0.25">
      <c r="A207" s="8"/>
      <c r="B207" s="8"/>
      <c r="C207" s="8"/>
      <c r="D207" s="8"/>
      <c r="E207" s="8"/>
      <c r="F207" s="9"/>
      <c r="G207" s="8"/>
      <c r="H207" s="8"/>
      <c r="I207" s="8"/>
    </row>
    <row r="208" spans="1:9" ht="14.25" customHeight="1" x14ac:dyDescent="0.25">
      <c r="A208" s="8"/>
      <c r="B208" s="8"/>
      <c r="C208" s="8"/>
      <c r="D208" s="8"/>
      <c r="E208" s="8"/>
      <c r="F208" s="9"/>
      <c r="G208" s="8"/>
      <c r="H208" s="8"/>
      <c r="I208" s="8"/>
    </row>
    <row r="209" spans="1:9" ht="14.25" customHeight="1" x14ac:dyDescent="0.25">
      <c r="A209" s="8"/>
      <c r="B209" s="8"/>
      <c r="C209" s="8"/>
      <c r="D209" s="8"/>
      <c r="E209" s="8"/>
      <c r="F209" s="9"/>
      <c r="G209" s="8"/>
      <c r="H209" s="8"/>
      <c r="I209" s="8"/>
    </row>
    <row r="210" spans="1:9" ht="14.25" customHeight="1" x14ac:dyDescent="0.25">
      <c r="A210" s="8"/>
      <c r="B210" s="8"/>
      <c r="C210" s="8"/>
      <c r="D210" s="8"/>
      <c r="E210" s="8"/>
      <c r="F210" s="9"/>
      <c r="G210" s="8"/>
      <c r="H210" s="8"/>
      <c r="I210" s="8"/>
    </row>
    <row r="211" spans="1:9" ht="14.25" customHeight="1" x14ac:dyDescent="0.25">
      <c r="A211" s="8"/>
      <c r="B211" s="8"/>
      <c r="C211" s="8"/>
      <c r="D211" s="8"/>
      <c r="E211" s="8"/>
      <c r="F211" s="9"/>
      <c r="G211" s="8"/>
      <c r="H211" s="8"/>
      <c r="I211" s="8"/>
    </row>
    <row r="212" spans="1:9" ht="14.25" customHeight="1" x14ac:dyDescent="0.25">
      <c r="A212" s="8"/>
      <c r="B212" s="8"/>
      <c r="C212" s="8"/>
      <c r="D212" s="8"/>
      <c r="E212" s="8"/>
      <c r="F212" s="9"/>
      <c r="G212" s="8"/>
      <c r="H212" s="8"/>
      <c r="I212" s="8"/>
    </row>
    <row r="213" spans="1:9" ht="14.25" customHeight="1" x14ac:dyDescent="0.25">
      <c r="A213" s="8"/>
      <c r="B213" s="8"/>
      <c r="C213" s="8"/>
      <c r="D213" s="8"/>
      <c r="E213" s="8"/>
      <c r="F213" s="9"/>
      <c r="G213" s="8"/>
      <c r="H213" s="8"/>
      <c r="I213" s="8"/>
    </row>
    <row r="214" spans="1:9" ht="14.25" customHeight="1" x14ac:dyDescent="0.25">
      <c r="A214" s="8"/>
      <c r="B214" s="8"/>
      <c r="C214" s="8"/>
      <c r="D214" s="8"/>
      <c r="E214" s="8"/>
      <c r="F214" s="9"/>
      <c r="G214" s="8"/>
      <c r="H214" s="8"/>
      <c r="I214" s="8"/>
    </row>
    <row r="215" spans="1:9" ht="14.25" customHeight="1" x14ac:dyDescent="0.25">
      <c r="A215" s="8"/>
      <c r="B215" s="8"/>
      <c r="C215" s="8"/>
      <c r="D215" s="8"/>
      <c r="E215" s="8"/>
      <c r="F215" s="9"/>
      <c r="G215" s="8"/>
      <c r="H215" s="8"/>
      <c r="I215" s="8"/>
    </row>
    <row r="216" spans="1:9" ht="14.25" customHeight="1" x14ac:dyDescent="0.25">
      <c r="A216" s="8"/>
      <c r="B216" s="8"/>
      <c r="C216" s="8"/>
      <c r="D216" s="8"/>
      <c r="E216" s="8"/>
      <c r="F216" s="9"/>
      <c r="G216" s="8"/>
      <c r="H216" s="8"/>
      <c r="I216" s="8"/>
    </row>
    <row r="217" spans="1:9" ht="14.25" customHeight="1" x14ac:dyDescent="0.25">
      <c r="A217" s="8"/>
      <c r="B217" s="8"/>
      <c r="C217" s="8"/>
      <c r="D217" s="8"/>
      <c r="E217" s="8"/>
      <c r="F217" s="9"/>
      <c r="G217" s="8"/>
      <c r="H217" s="8"/>
      <c r="I217" s="8"/>
    </row>
    <row r="218" spans="1:9" ht="14.25" customHeight="1" x14ac:dyDescent="0.25">
      <c r="A218" s="8"/>
      <c r="B218" s="8"/>
      <c r="C218" s="8"/>
      <c r="D218" s="8"/>
      <c r="E218" s="8"/>
      <c r="F218" s="9"/>
      <c r="G218" s="8"/>
      <c r="H218" s="8"/>
      <c r="I218" s="8"/>
    </row>
    <row r="219" spans="1:9" ht="14.25" customHeight="1" x14ac:dyDescent="0.25">
      <c r="A219" s="8"/>
      <c r="B219" s="8"/>
      <c r="C219" s="8"/>
      <c r="D219" s="8"/>
      <c r="E219" s="8"/>
      <c r="F219" s="9"/>
      <c r="G219" s="8"/>
      <c r="H219" s="8"/>
      <c r="I219" s="8"/>
    </row>
    <row r="220" spans="1:9" ht="14.25" customHeight="1" x14ac:dyDescent="0.25">
      <c r="A220" s="8"/>
      <c r="B220" s="8"/>
      <c r="C220" s="8"/>
      <c r="D220" s="8"/>
      <c r="E220" s="8"/>
      <c r="F220" s="9"/>
      <c r="G220" s="8"/>
      <c r="H220" s="8"/>
      <c r="I220" s="8"/>
    </row>
    <row r="221" spans="1:9" ht="14.25" customHeight="1" x14ac:dyDescent="0.25">
      <c r="A221" s="8"/>
      <c r="B221" s="8"/>
      <c r="C221" s="8"/>
      <c r="D221" s="8"/>
      <c r="E221" s="8"/>
      <c r="F221" s="9"/>
      <c r="G221" s="8"/>
      <c r="H221" s="8"/>
      <c r="I221" s="8"/>
    </row>
    <row r="222" spans="1:9" ht="14.25" customHeight="1" x14ac:dyDescent="0.25">
      <c r="A222" s="8"/>
      <c r="B222" s="8"/>
      <c r="C222" s="8"/>
      <c r="D222" s="8"/>
      <c r="E222" s="8"/>
      <c r="F222" s="9"/>
      <c r="G222" s="8"/>
      <c r="H222" s="8"/>
      <c r="I222" s="8"/>
    </row>
    <row r="223" spans="1:9" ht="14.25" customHeight="1" x14ac:dyDescent="0.25">
      <c r="A223" s="8"/>
      <c r="B223" s="8"/>
      <c r="C223" s="8"/>
      <c r="D223" s="8"/>
      <c r="E223" s="8"/>
      <c r="F223" s="9"/>
      <c r="G223" s="8"/>
      <c r="H223" s="8"/>
      <c r="I223" s="8"/>
    </row>
    <row r="224" spans="1:9" ht="14.25" customHeight="1" x14ac:dyDescent="0.25">
      <c r="A224" s="8"/>
      <c r="B224" s="8"/>
      <c r="C224" s="8"/>
      <c r="D224" s="8"/>
      <c r="E224" s="8"/>
      <c r="F224" s="9"/>
      <c r="G224" s="8"/>
      <c r="H224" s="8"/>
      <c r="I224" s="8"/>
    </row>
    <row r="225" spans="1:9" ht="14.25" customHeight="1" x14ac:dyDescent="0.25">
      <c r="A225" s="8"/>
      <c r="B225" s="8"/>
      <c r="C225" s="8"/>
      <c r="D225" s="8"/>
      <c r="E225" s="8"/>
      <c r="F225" s="9"/>
      <c r="G225" s="8"/>
      <c r="H225" s="8"/>
      <c r="I225" s="8"/>
    </row>
    <row r="226" spans="1:9" ht="14.25" customHeight="1" x14ac:dyDescent="0.25">
      <c r="A226" s="8"/>
      <c r="B226" s="8"/>
      <c r="C226" s="8"/>
      <c r="D226" s="8"/>
      <c r="E226" s="8"/>
      <c r="F226" s="9"/>
      <c r="G226" s="8"/>
      <c r="H226" s="8"/>
      <c r="I226" s="8"/>
    </row>
    <row r="227" spans="1:9" ht="14.25" customHeight="1" x14ac:dyDescent="0.25">
      <c r="A227" s="8"/>
      <c r="B227" s="8"/>
      <c r="C227" s="8"/>
      <c r="D227" s="8"/>
      <c r="E227" s="8"/>
      <c r="F227" s="9"/>
      <c r="G227" s="8"/>
      <c r="H227" s="8"/>
      <c r="I227" s="8"/>
    </row>
    <row r="228" spans="1:9" ht="14.25" customHeight="1" x14ac:dyDescent="0.25">
      <c r="A228" s="8"/>
      <c r="B228" s="8"/>
      <c r="C228" s="8"/>
      <c r="D228" s="8"/>
      <c r="E228" s="8"/>
      <c r="F228" s="9"/>
      <c r="G228" s="8"/>
      <c r="H228" s="8"/>
      <c r="I228" s="8"/>
    </row>
    <row r="229" spans="1:9" ht="14.25" customHeight="1" x14ac:dyDescent="0.25">
      <c r="A229" s="8"/>
      <c r="B229" s="8"/>
      <c r="C229" s="8"/>
      <c r="D229" s="8"/>
      <c r="E229" s="8"/>
      <c r="F229" s="9"/>
      <c r="G229" s="8"/>
      <c r="H229" s="8"/>
      <c r="I229" s="8"/>
    </row>
    <row r="230" spans="1:9" ht="14.25" customHeight="1" x14ac:dyDescent="0.25">
      <c r="A230" s="8"/>
      <c r="B230" s="8"/>
      <c r="C230" s="8"/>
      <c r="D230" s="8"/>
      <c r="E230" s="8"/>
      <c r="F230" s="9"/>
      <c r="G230" s="8"/>
      <c r="H230" s="8"/>
      <c r="I230" s="8"/>
    </row>
    <row r="231" spans="1:9" ht="14.25" customHeight="1" x14ac:dyDescent="0.25">
      <c r="A231" s="8"/>
      <c r="B231" s="8"/>
      <c r="C231" s="8"/>
      <c r="D231" s="8"/>
      <c r="E231" s="8"/>
      <c r="F231" s="9"/>
      <c r="G231" s="8"/>
      <c r="H231" s="8"/>
      <c r="I231" s="8"/>
    </row>
    <row r="232" spans="1:9" ht="14.25" customHeight="1" x14ac:dyDescent="0.25">
      <c r="A232" s="8"/>
      <c r="B232" s="8"/>
      <c r="C232" s="8"/>
      <c r="D232" s="8"/>
      <c r="E232" s="8"/>
      <c r="F232" s="9"/>
      <c r="G232" s="8"/>
      <c r="H232" s="8"/>
      <c r="I232" s="8"/>
    </row>
    <row r="233" spans="1:9" ht="14.25" customHeight="1" x14ac:dyDescent="0.25">
      <c r="A233" s="8"/>
      <c r="B233" s="8"/>
      <c r="C233" s="8"/>
      <c r="D233" s="8"/>
      <c r="E233" s="8"/>
      <c r="F233" s="9"/>
      <c r="G233" s="8"/>
      <c r="H233" s="8"/>
      <c r="I233" s="8"/>
    </row>
    <row r="234" spans="1:9" ht="14.25" customHeight="1" x14ac:dyDescent="0.25">
      <c r="A234" s="8"/>
      <c r="B234" s="8"/>
      <c r="C234" s="8"/>
      <c r="D234" s="8"/>
      <c r="E234" s="8"/>
      <c r="F234" s="9"/>
      <c r="G234" s="8"/>
      <c r="H234" s="8"/>
      <c r="I234" s="8"/>
    </row>
    <row r="235" spans="1:9" ht="14.25" customHeight="1" x14ac:dyDescent="0.25">
      <c r="A235" s="8"/>
      <c r="B235" s="8"/>
      <c r="C235" s="8"/>
      <c r="D235" s="8"/>
      <c r="E235" s="8"/>
      <c r="F235" s="9"/>
      <c r="G235" s="8"/>
      <c r="H235" s="8"/>
      <c r="I235" s="8"/>
    </row>
    <row r="236" spans="1:9" ht="14.25" customHeight="1" x14ac:dyDescent="0.25">
      <c r="A236" s="8"/>
      <c r="B236" s="8"/>
      <c r="C236" s="8"/>
      <c r="D236" s="8"/>
      <c r="E236" s="8"/>
      <c r="F236" s="9"/>
      <c r="G236" s="8"/>
      <c r="H236" s="8"/>
      <c r="I236" s="8"/>
    </row>
    <row r="237" spans="1:9" ht="14.25" customHeight="1" x14ac:dyDescent="0.25">
      <c r="A237" s="8"/>
      <c r="B237" s="8"/>
      <c r="C237" s="8"/>
      <c r="D237" s="8"/>
      <c r="E237" s="8"/>
      <c r="F237" s="9"/>
      <c r="G237" s="8"/>
      <c r="H237" s="8"/>
      <c r="I237" s="8"/>
    </row>
    <row r="238" spans="1:9" ht="14.25" customHeight="1" x14ac:dyDescent="0.25">
      <c r="A238" s="8"/>
      <c r="B238" s="8"/>
      <c r="C238" s="8"/>
      <c r="D238" s="8"/>
      <c r="E238" s="8"/>
      <c r="F238" s="9"/>
      <c r="G238" s="8"/>
      <c r="H238" s="8"/>
      <c r="I238" s="8"/>
    </row>
    <row r="239" spans="1:9" ht="14.25" customHeight="1" x14ac:dyDescent="0.25">
      <c r="A239" s="8"/>
      <c r="B239" s="8"/>
      <c r="C239" s="8"/>
      <c r="D239" s="8"/>
      <c r="E239" s="8"/>
      <c r="F239" s="9"/>
      <c r="G239" s="8"/>
      <c r="H239" s="8"/>
      <c r="I239" s="8"/>
    </row>
    <row r="240" spans="1:9" ht="14.25" customHeight="1" x14ac:dyDescent="0.25">
      <c r="A240" s="8"/>
      <c r="B240" s="8"/>
      <c r="C240" s="8"/>
      <c r="D240" s="8"/>
      <c r="E240" s="8"/>
      <c r="F240" s="9"/>
      <c r="G240" s="8"/>
      <c r="H240" s="8"/>
      <c r="I240" s="8"/>
    </row>
    <row r="241" spans="1:9" ht="14.25" customHeight="1" x14ac:dyDescent="0.25">
      <c r="A241" s="8"/>
      <c r="B241" s="8"/>
      <c r="C241" s="8"/>
      <c r="D241" s="8"/>
      <c r="E241" s="8"/>
      <c r="F241" s="9"/>
      <c r="G241" s="8"/>
      <c r="H241" s="8"/>
      <c r="I241" s="8"/>
    </row>
    <row r="242" spans="1:9" ht="14.25" customHeight="1" x14ac:dyDescent="0.25">
      <c r="A242" s="8"/>
      <c r="B242" s="8"/>
      <c r="C242" s="8"/>
      <c r="D242" s="8"/>
      <c r="E242" s="8"/>
      <c r="F242" s="9"/>
      <c r="G242" s="8"/>
      <c r="H242" s="8"/>
      <c r="I242" s="8"/>
    </row>
    <row r="243" spans="1:9" ht="14.25" customHeight="1" x14ac:dyDescent="0.25">
      <c r="A243" s="8"/>
      <c r="B243" s="8"/>
      <c r="C243" s="8"/>
      <c r="D243" s="8"/>
      <c r="E243" s="8"/>
      <c r="F243" s="9"/>
      <c r="G243" s="8"/>
      <c r="H243" s="8"/>
      <c r="I243" s="8"/>
    </row>
    <row r="244" spans="1:9" ht="14.25" customHeight="1" x14ac:dyDescent="0.25">
      <c r="A244" s="8"/>
      <c r="B244" s="8"/>
      <c r="C244" s="8"/>
      <c r="D244" s="8"/>
      <c r="E244" s="8"/>
      <c r="F244" s="9"/>
      <c r="G244" s="8"/>
      <c r="H244" s="8"/>
      <c r="I244" s="8"/>
    </row>
    <row r="245" spans="1:9" ht="14.25" customHeight="1" x14ac:dyDescent="0.25">
      <c r="A245" s="8"/>
      <c r="B245" s="8"/>
      <c r="C245" s="8"/>
      <c r="D245" s="8"/>
      <c r="E245" s="8"/>
      <c r="F245" s="9"/>
      <c r="G245" s="8"/>
      <c r="H245" s="8"/>
      <c r="I245" s="8"/>
    </row>
    <row r="246" spans="1:9" ht="14.25" customHeight="1" x14ac:dyDescent="0.25">
      <c r="A246" s="8"/>
      <c r="B246" s="8"/>
      <c r="C246" s="8"/>
      <c r="D246" s="8"/>
      <c r="E246" s="8"/>
      <c r="F246" s="9"/>
      <c r="G246" s="8"/>
      <c r="H246" s="8"/>
      <c r="I246" s="8"/>
    </row>
    <row r="247" spans="1:9" ht="14.25" customHeight="1" x14ac:dyDescent="0.25">
      <c r="A247" s="8"/>
      <c r="B247" s="8"/>
      <c r="C247" s="8"/>
      <c r="D247" s="8"/>
      <c r="E247" s="8"/>
      <c r="F247" s="9"/>
      <c r="G247" s="8"/>
      <c r="H247" s="8"/>
      <c r="I247" s="8"/>
    </row>
    <row r="248" spans="1:9" ht="14.25" customHeight="1" x14ac:dyDescent="0.25">
      <c r="A248" s="8"/>
      <c r="B248" s="8"/>
      <c r="C248" s="8"/>
      <c r="D248" s="8"/>
      <c r="E248" s="8"/>
      <c r="F248" s="9"/>
      <c r="G248" s="8"/>
      <c r="H248" s="8"/>
      <c r="I248" s="8"/>
    </row>
    <row r="249" spans="1:9" ht="14.25" customHeight="1" x14ac:dyDescent="0.25">
      <c r="A249" s="8"/>
      <c r="B249" s="8"/>
      <c r="C249" s="8"/>
      <c r="D249" s="8"/>
      <c r="E249" s="8"/>
      <c r="F249" s="9"/>
      <c r="G249" s="8"/>
      <c r="H249" s="8"/>
      <c r="I249" s="8"/>
    </row>
    <row r="250" spans="1:9" ht="14.25" customHeight="1" x14ac:dyDescent="0.25">
      <c r="A250" s="8"/>
      <c r="B250" s="8"/>
      <c r="C250" s="8"/>
      <c r="D250" s="8"/>
      <c r="E250" s="8"/>
      <c r="F250" s="9"/>
      <c r="G250" s="8"/>
      <c r="H250" s="8"/>
      <c r="I250" s="8"/>
    </row>
    <row r="251" spans="1:9" ht="14.25" customHeight="1" x14ac:dyDescent="0.25">
      <c r="A251" s="8"/>
      <c r="B251" s="8"/>
      <c r="C251" s="8"/>
      <c r="D251" s="8"/>
      <c r="E251" s="8"/>
      <c r="F251" s="9"/>
      <c r="G251" s="8"/>
      <c r="H251" s="8"/>
      <c r="I251" s="8"/>
    </row>
    <row r="252" spans="1:9" ht="14.25" customHeight="1" x14ac:dyDescent="0.25">
      <c r="A252" s="8"/>
      <c r="B252" s="8"/>
      <c r="C252" s="8"/>
      <c r="D252" s="8"/>
      <c r="E252" s="8"/>
      <c r="F252" s="9"/>
      <c r="G252" s="8"/>
      <c r="H252" s="8"/>
      <c r="I252" s="8"/>
    </row>
    <row r="253" spans="1:9" ht="14.25" customHeight="1" x14ac:dyDescent="0.25">
      <c r="A253" s="8"/>
      <c r="B253" s="8"/>
      <c r="C253" s="8"/>
      <c r="D253" s="8"/>
      <c r="E253" s="8"/>
      <c r="F253" s="9"/>
      <c r="G253" s="8"/>
      <c r="H253" s="8"/>
      <c r="I253" s="8"/>
    </row>
    <row r="254" spans="1:9" ht="14.25" customHeight="1" x14ac:dyDescent="0.25">
      <c r="A254" s="8"/>
      <c r="B254" s="8"/>
      <c r="C254" s="8"/>
      <c r="D254" s="8"/>
      <c r="E254" s="8"/>
      <c r="F254" s="9"/>
      <c r="G254" s="8"/>
      <c r="H254" s="8"/>
      <c r="I254" s="8"/>
    </row>
    <row r="255" spans="1:9" ht="14.25" customHeight="1" x14ac:dyDescent="0.25">
      <c r="A255" s="8"/>
      <c r="B255" s="8"/>
      <c r="C255" s="8"/>
      <c r="D255" s="8"/>
      <c r="E255" s="8"/>
      <c r="F255" s="9"/>
      <c r="G255" s="8"/>
      <c r="H255" s="8"/>
      <c r="I255" s="8"/>
    </row>
    <row r="256" spans="1:9" ht="14.25" customHeight="1" x14ac:dyDescent="0.25">
      <c r="A256" s="8"/>
      <c r="B256" s="8"/>
      <c r="C256" s="8"/>
      <c r="D256" s="8"/>
      <c r="E256" s="8"/>
      <c r="F256" s="9"/>
      <c r="G256" s="8"/>
      <c r="H256" s="8"/>
      <c r="I256" s="8"/>
    </row>
    <row r="257" spans="1:9" ht="14.25" customHeight="1" x14ac:dyDescent="0.25">
      <c r="A257" s="8"/>
      <c r="B257" s="8"/>
      <c r="C257" s="8"/>
      <c r="D257" s="8"/>
      <c r="E257" s="8"/>
      <c r="F257" s="9"/>
      <c r="G257" s="8"/>
      <c r="H257" s="8"/>
      <c r="I257" s="8"/>
    </row>
    <row r="258" spans="1:9" ht="14.25" customHeight="1" x14ac:dyDescent="0.25">
      <c r="A258" s="8"/>
      <c r="B258" s="8"/>
      <c r="C258" s="8"/>
      <c r="D258" s="8"/>
      <c r="E258" s="8"/>
      <c r="F258" s="9"/>
      <c r="G258" s="8"/>
      <c r="H258" s="8"/>
      <c r="I258" s="8"/>
    </row>
    <row r="259" spans="1:9" ht="14.25" customHeight="1" x14ac:dyDescent="0.25">
      <c r="A259" s="8"/>
      <c r="B259" s="8"/>
      <c r="C259" s="8"/>
      <c r="D259" s="8"/>
      <c r="E259" s="8"/>
      <c r="F259" s="9"/>
      <c r="G259" s="8"/>
      <c r="H259" s="8"/>
      <c r="I259" s="8"/>
    </row>
    <row r="260" spans="1:9" ht="14.25" customHeight="1" x14ac:dyDescent="0.25">
      <c r="A260" s="8"/>
      <c r="B260" s="8"/>
      <c r="C260" s="8"/>
      <c r="D260" s="8"/>
      <c r="E260" s="8"/>
      <c r="F260" s="9"/>
      <c r="G260" s="8"/>
      <c r="H260" s="8"/>
      <c r="I260" s="8"/>
    </row>
    <row r="261" spans="1:9" ht="14.25" customHeight="1" x14ac:dyDescent="0.25">
      <c r="A261" s="8"/>
      <c r="B261" s="8"/>
      <c r="C261" s="8"/>
      <c r="D261" s="8"/>
      <c r="E261" s="8"/>
      <c r="F261" s="9"/>
      <c r="G261" s="8"/>
      <c r="H261" s="8"/>
      <c r="I261" s="8"/>
    </row>
    <row r="262" spans="1:9" ht="14.25" customHeight="1" x14ac:dyDescent="0.25">
      <c r="A262" s="8"/>
      <c r="B262" s="8"/>
      <c r="C262" s="8"/>
      <c r="D262" s="8"/>
      <c r="E262" s="8"/>
      <c r="F262" s="9"/>
      <c r="G262" s="8"/>
      <c r="H262" s="8"/>
      <c r="I262" s="8"/>
    </row>
    <row r="263" spans="1:9" ht="14.25" customHeight="1" x14ac:dyDescent="0.25">
      <c r="A263" s="8"/>
      <c r="B263" s="8"/>
      <c r="C263" s="8"/>
      <c r="D263" s="8"/>
      <c r="E263" s="8"/>
      <c r="F263" s="9"/>
      <c r="G263" s="8"/>
      <c r="H263" s="8"/>
      <c r="I263" s="8"/>
    </row>
    <row r="264" spans="1:9" ht="14.25" customHeight="1" x14ac:dyDescent="0.25">
      <c r="A264" s="8"/>
      <c r="B264" s="8"/>
      <c r="C264" s="8"/>
      <c r="D264" s="8"/>
      <c r="E264" s="8"/>
      <c r="F264" s="9"/>
      <c r="G264" s="8"/>
      <c r="H264" s="8"/>
      <c r="I264" s="8"/>
    </row>
    <row r="265" spans="1:9" ht="14.25" customHeight="1" x14ac:dyDescent="0.25">
      <c r="A265" s="8"/>
      <c r="B265" s="8"/>
      <c r="C265" s="8"/>
      <c r="D265" s="8"/>
      <c r="E265" s="8"/>
      <c r="F265" s="9"/>
      <c r="G265" s="8"/>
      <c r="H265" s="8"/>
      <c r="I265" s="8"/>
    </row>
    <row r="266" spans="1:9" ht="14.25" customHeight="1" x14ac:dyDescent="0.25">
      <c r="A266" s="8"/>
      <c r="B266" s="8"/>
      <c r="C266" s="8"/>
      <c r="D266" s="8"/>
      <c r="E266" s="8"/>
      <c r="F266" s="9"/>
      <c r="G266" s="8"/>
      <c r="H266" s="8"/>
      <c r="I266" s="8"/>
    </row>
    <row r="267" spans="1:9" ht="14.25" customHeight="1" x14ac:dyDescent="0.25">
      <c r="A267" s="8"/>
      <c r="B267" s="8"/>
      <c r="C267" s="8"/>
      <c r="D267" s="8"/>
      <c r="E267" s="8"/>
      <c r="F267" s="9"/>
      <c r="G267" s="8"/>
      <c r="H267" s="8"/>
      <c r="I267" s="8"/>
    </row>
    <row r="268" spans="1:9" ht="14.25" customHeight="1" x14ac:dyDescent="0.25">
      <c r="A268" s="8"/>
      <c r="B268" s="8"/>
      <c r="C268" s="8"/>
      <c r="D268" s="8"/>
      <c r="E268" s="8"/>
      <c r="F268" s="9"/>
      <c r="G268" s="8"/>
      <c r="H268" s="8"/>
      <c r="I268" s="8"/>
    </row>
    <row r="269" spans="1:9" ht="14.25" customHeight="1" x14ac:dyDescent="0.25">
      <c r="A269" s="8"/>
      <c r="B269" s="8"/>
      <c r="C269" s="8"/>
      <c r="D269" s="8"/>
      <c r="E269" s="8"/>
      <c r="F269" s="9"/>
      <c r="G269" s="8"/>
      <c r="H269" s="8"/>
      <c r="I269" s="8"/>
    </row>
    <row r="270" spans="1:9" ht="14.25" customHeight="1" x14ac:dyDescent="0.25">
      <c r="A270" s="8"/>
      <c r="B270" s="8"/>
      <c r="C270" s="8"/>
      <c r="D270" s="8"/>
      <c r="E270" s="8"/>
      <c r="F270" s="9"/>
      <c r="G270" s="8"/>
      <c r="H270" s="8"/>
      <c r="I270" s="8"/>
    </row>
    <row r="271" spans="1:9" ht="14.25" customHeight="1" x14ac:dyDescent="0.25">
      <c r="A271" s="8"/>
      <c r="B271" s="8"/>
      <c r="C271" s="8"/>
      <c r="D271" s="8"/>
      <c r="E271" s="8"/>
      <c r="F271" s="9"/>
      <c r="G271" s="8"/>
      <c r="H271" s="8"/>
      <c r="I271" s="8"/>
    </row>
    <row r="272" spans="1:9" ht="14.25" customHeight="1" x14ac:dyDescent="0.25">
      <c r="A272" s="8"/>
      <c r="B272" s="8"/>
      <c r="C272" s="8"/>
      <c r="D272" s="8"/>
      <c r="E272" s="8"/>
      <c r="F272" s="9"/>
      <c r="G272" s="8"/>
      <c r="H272" s="8"/>
      <c r="I272" s="8"/>
    </row>
    <row r="273" spans="1:9" ht="14.25" customHeight="1" x14ac:dyDescent="0.25">
      <c r="A273" s="8"/>
      <c r="B273" s="8"/>
      <c r="C273" s="8"/>
      <c r="D273" s="8"/>
      <c r="E273" s="8"/>
      <c r="F273" s="9"/>
      <c r="G273" s="8"/>
      <c r="H273" s="8"/>
      <c r="I273" s="8"/>
    </row>
    <row r="274" spans="1:9" ht="14.25" customHeight="1" x14ac:dyDescent="0.25">
      <c r="A274" s="8"/>
      <c r="B274" s="8"/>
      <c r="C274" s="8"/>
      <c r="D274" s="8"/>
      <c r="E274" s="8"/>
      <c r="F274" s="9"/>
      <c r="G274" s="8"/>
      <c r="H274" s="8"/>
      <c r="I274" s="8"/>
    </row>
    <row r="275" spans="1:9" ht="14.25" customHeight="1" x14ac:dyDescent="0.25">
      <c r="A275" s="8"/>
      <c r="B275" s="8"/>
      <c r="C275" s="8"/>
      <c r="D275" s="8"/>
      <c r="E275" s="8"/>
      <c r="F275" s="9"/>
      <c r="G275" s="8"/>
      <c r="H275" s="8"/>
      <c r="I275" s="8"/>
    </row>
    <row r="276" spans="1:9" ht="14.25" customHeight="1" x14ac:dyDescent="0.25">
      <c r="A276" s="8"/>
      <c r="B276" s="8"/>
      <c r="C276" s="8"/>
      <c r="D276" s="8"/>
      <c r="E276" s="8"/>
      <c r="F276" s="9"/>
      <c r="G276" s="8"/>
      <c r="H276" s="8"/>
      <c r="I276" s="8"/>
    </row>
    <row r="277" spans="1:9" ht="14.25" customHeight="1" x14ac:dyDescent="0.25">
      <c r="A277" s="8"/>
      <c r="B277" s="8"/>
      <c r="C277" s="8"/>
      <c r="D277" s="8"/>
      <c r="E277" s="8"/>
      <c r="F277" s="9"/>
      <c r="G277" s="8"/>
      <c r="H277" s="8"/>
      <c r="I277" s="8"/>
    </row>
    <row r="278" spans="1:9" ht="14.25" customHeight="1" x14ac:dyDescent="0.25">
      <c r="A278" s="8"/>
      <c r="B278" s="8"/>
      <c r="C278" s="8"/>
      <c r="D278" s="8"/>
      <c r="E278" s="8"/>
      <c r="F278" s="9"/>
      <c r="G278" s="8"/>
      <c r="H278" s="8"/>
      <c r="I278" s="8"/>
    </row>
    <row r="279" spans="1:9" ht="14.25" customHeight="1" x14ac:dyDescent="0.25">
      <c r="A279" s="8"/>
      <c r="B279" s="8"/>
      <c r="C279" s="8"/>
      <c r="D279" s="8"/>
      <c r="E279" s="8"/>
      <c r="F279" s="9"/>
      <c r="G279" s="8"/>
      <c r="H279" s="8"/>
      <c r="I279" s="8"/>
    </row>
    <row r="280" spans="1:9" ht="14.25" customHeight="1" x14ac:dyDescent="0.25">
      <c r="A280" s="8"/>
      <c r="B280" s="8"/>
      <c r="C280" s="8"/>
      <c r="D280" s="8"/>
      <c r="E280" s="8"/>
      <c r="F280" s="9"/>
      <c r="G280" s="8"/>
      <c r="H280" s="8"/>
      <c r="I280" s="8"/>
    </row>
    <row r="281" spans="1:9" ht="14.25" customHeight="1" x14ac:dyDescent="0.25">
      <c r="A281" s="8"/>
      <c r="B281" s="8"/>
      <c r="C281" s="8"/>
      <c r="D281" s="8"/>
      <c r="E281" s="8"/>
      <c r="F281" s="9"/>
      <c r="G281" s="8"/>
      <c r="H281" s="8"/>
      <c r="I281" s="8"/>
    </row>
    <row r="282" spans="1:9" ht="14.25" customHeight="1" x14ac:dyDescent="0.25">
      <c r="A282" s="8"/>
      <c r="B282" s="8"/>
      <c r="C282" s="8"/>
      <c r="D282" s="8"/>
      <c r="E282" s="8"/>
      <c r="F282" s="9"/>
      <c r="G282" s="8"/>
      <c r="H282" s="8"/>
      <c r="I282" s="8"/>
    </row>
    <row r="283" spans="1:9" ht="14.25" customHeight="1" x14ac:dyDescent="0.25">
      <c r="A283" s="8"/>
      <c r="B283" s="8"/>
      <c r="C283" s="8"/>
      <c r="D283" s="8"/>
      <c r="E283" s="8"/>
      <c r="F283" s="9"/>
      <c r="G283" s="8"/>
      <c r="H283" s="8"/>
      <c r="I283" s="8"/>
    </row>
    <row r="284" spans="1:9" ht="14.25" customHeight="1" x14ac:dyDescent="0.25">
      <c r="A284" s="8"/>
      <c r="B284" s="8"/>
      <c r="C284" s="8"/>
      <c r="D284" s="8"/>
      <c r="E284" s="8"/>
      <c r="F284" s="9"/>
      <c r="G284" s="8"/>
      <c r="H284" s="8"/>
      <c r="I284" s="8"/>
    </row>
    <row r="285" spans="1:9" ht="14.25" customHeight="1" x14ac:dyDescent="0.25">
      <c r="A285" s="8"/>
      <c r="B285" s="8"/>
      <c r="C285" s="8"/>
      <c r="D285" s="8"/>
      <c r="E285" s="8"/>
      <c r="F285" s="9"/>
      <c r="G285" s="8"/>
      <c r="H285" s="8"/>
      <c r="I285" s="8"/>
    </row>
    <row r="286" spans="1:9" ht="14.25" customHeight="1" x14ac:dyDescent="0.25">
      <c r="A286" s="8"/>
      <c r="B286" s="8"/>
      <c r="C286" s="8"/>
      <c r="D286" s="8"/>
      <c r="E286" s="8"/>
      <c r="F286" s="9"/>
      <c r="G286" s="8"/>
      <c r="H286" s="8"/>
      <c r="I286" s="8"/>
    </row>
    <row r="287" spans="1:9" ht="14.25" customHeight="1" x14ac:dyDescent="0.25">
      <c r="A287" s="8"/>
      <c r="B287" s="8"/>
      <c r="C287" s="8"/>
      <c r="D287" s="8"/>
      <c r="E287" s="8"/>
      <c r="F287" s="9"/>
      <c r="G287" s="8"/>
      <c r="H287" s="8"/>
      <c r="I287" s="8"/>
    </row>
    <row r="288" spans="1:9" ht="14.25" customHeight="1" x14ac:dyDescent="0.25">
      <c r="A288" s="8"/>
      <c r="B288" s="8"/>
      <c r="C288" s="8"/>
      <c r="D288" s="8"/>
      <c r="E288" s="8"/>
      <c r="F288" s="9"/>
      <c r="G288" s="8"/>
      <c r="H288" s="8"/>
      <c r="I288" s="8"/>
    </row>
    <row r="289" spans="1:9" ht="14.25" customHeight="1" x14ac:dyDescent="0.25">
      <c r="A289" s="8"/>
      <c r="B289" s="8"/>
      <c r="C289" s="8"/>
      <c r="D289" s="8"/>
      <c r="E289" s="8"/>
      <c r="F289" s="9"/>
      <c r="G289" s="8"/>
      <c r="H289" s="8"/>
      <c r="I289" s="8"/>
    </row>
    <row r="290" spans="1:9" ht="14.25" customHeight="1" x14ac:dyDescent="0.25">
      <c r="A290" s="8"/>
      <c r="B290" s="8"/>
      <c r="C290" s="8"/>
      <c r="D290" s="8"/>
      <c r="E290" s="8"/>
      <c r="F290" s="9"/>
      <c r="G290" s="8"/>
      <c r="H290" s="8"/>
      <c r="I290" s="8"/>
    </row>
    <row r="291" spans="1:9" ht="14.25" customHeight="1" x14ac:dyDescent="0.25">
      <c r="A291" s="8"/>
      <c r="B291" s="8"/>
      <c r="C291" s="8"/>
      <c r="D291" s="8"/>
      <c r="E291" s="8"/>
      <c r="F291" s="9"/>
      <c r="G291" s="8"/>
      <c r="H291" s="8"/>
      <c r="I291" s="8"/>
    </row>
    <row r="292" spans="1:9" ht="14.25" customHeight="1" x14ac:dyDescent="0.25">
      <c r="A292" s="8"/>
      <c r="B292" s="8"/>
      <c r="C292" s="8"/>
      <c r="D292" s="8"/>
      <c r="E292" s="8"/>
      <c r="F292" s="9"/>
      <c r="G292" s="8"/>
      <c r="H292" s="8"/>
      <c r="I292" s="8"/>
    </row>
    <row r="293" spans="1:9" ht="14.25" customHeight="1" x14ac:dyDescent="0.25">
      <c r="A293" s="8"/>
      <c r="B293" s="8"/>
      <c r="C293" s="8"/>
      <c r="D293" s="8"/>
      <c r="E293" s="8"/>
      <c r="F293" s="9"/>
      <c r="G293" s="8"/>
      <c r="H293" s="8"/>
      <c r="I293" s="8"/>
    </row>
    <row r="294" spans="1:9" ht="14.25" customHeight="1" x14ac:dyDescent="0.25">
      <c r="A294" s="8"/>
      <c r="B294" s="8"/>
      <c r="C294" s="8"/>
      <c r="D294" s="8"/>
      <c r="E294" s="8"/>
      <c r="F294" s="9"/>
      <c r="G294" s="8"/>
      <c r="H294" s="8"/>
      <c r="I294" s="8"/>
    </row>
    <row r="295" spans="1:9" ht="14.25" customHeight="1" x14ac:dyDescent="0.25">
      <c r="A295" s="8"/>
      <c r="B295" s="8"/>
      <c r="C295" s="8"/>
      <c r="D295" s="8"/>
      <c r="E295" s="8"/>
      <c r="F295" s="9"/>
      <c r="G295" s="8"/>
      <c r="H295" s="8"/>
      <c r="I295" s="8"/>
    </row>
    <row r="296" spans="1:9" ht="14.25" customHeight="1" x14ac:dyDescent="0.25">
      <c r="A296" s="8"/>
      <c r="B296" s="8"/>
      <c r="C296" s="8"/>
      <c r="D296" s="8"/>
      <c r="E296" s="8"/>
      <c r="F296" s="9"/>
      <c r="G296" s="8"/>
      <c r="H296" s="8"/>
      <c r="I296" s="8"/>
    </row>
    <row r="297" spans="1:9" ht="14.25" customHeight="1" x14ac:dyDescent="0.25">
      <c r="A297" s="8"/>
      <c r="B297" s="8"/>
      <c r="C297" s="8"/>
      <c r="D297" s="8"/>
      <c r="E297" s="8"/>
      <c r="F297" s="9"/>
      <c r="G297" s="8"/>
      <c r="H297" s="8"/>
      <c r="I297" s="8"/>
    </row>
    <row r="298" spans="1:9" ht="14.25" customHeight="1" x14ac:dyDescent="0.25">
      <c r="A298" s="8"/>
      <c r="B298" s="8"/>
      <c r="C298" s="8"/>
      <c r="D298" s="8"/>
      <c r="E298" s="8"/>
      <c r="F298" s="9"/>
      <c r="G298" s="8"/>
      <c r="H298" s="8"/>
      <c r="I298" s="8"/>
    </row>
    <row r="299" spans="1:9" ht="14.25" customHeight="1" x14ac:dyDescent="0.25">
      <c r="A299" s="8"/>
      <c r="B299" s="8"/>
      <c r="C299" s="8"/>
      <c r="D299" s="8"/>
      <c r="E299" s="8"/>
      <c r="F299" s="9"/>
      <c r="G299" s="8"/>
      <c r="H299" s="8"/>
      <c r="I299" s="8"/>
    </row>
    <row r="300" spans="1:9" ht="14.25" customHeight="1" x14ac:dyDescent="0.25">
      <c r="A300" s="8"/>
      <c r="B300" s="8"/>
      <c r="C300" s="8"/>
      <c r="D300" s="8"/>
      <c r="E300" s="8"/>
      <c r="F300" s="9"/>
      <c r="G300" s="8"/>
      <c r="H300" s="8"/>
      <c r="I300" s="8"/>
    </row>
    <row r="301" spans="1:9" ht="14.25" customHeight="1" x14ac:dyDescent="0.25">
      <c r="A301" s="8"/>
      <c r="B301" s="8"/>
      <c r="C301" s="8"/>
      <c r="D301" s="8"/>
      <c r="E301" s="8"/>
      <c r="F301" s="9"/>
      <c r="G301" s="8"/>
      <c r="H301" s="8"/>
      <c r="I301" s="8"/>
    </row>
    <row r="302" spans="1:9" ht="14.25" customHeight="1" x14ac:dyDescent="0.25">
      <c r="A302" s="8"/>
      <c r="B302" s="8"/>
      <c r="C302" s="8"/>
      <c r="D302" s="8"/>
      <c r="E302" s="8"/>
      <c r="F302" s="9"/>
      <c r="G302" s="8"/>
      <c r="H302" s="8"/>
      <c r="I302" s="8"/>
    </row>
    <row r="303" spans="1:9" ht="14.25" customHeight="1" x14ac:dyDescent="0.25">
      <c r="A303" s="8"/>
      <c r="B303" s="8"/>
      <c r="C303" s="8"/>
      <c r="D303" s="8"/>
      <c r="E303" s="8"/>
      <c r="F303" s="9"/>
      <c r="G303" s="8"/>
      <c r="H303" s="8"/>
      <c r="I303" s="8"/>
    </row>
    <row r="304" spans="1:9" ht="14.25" customHeight="1" x14ac:dyDescent="0.25">
      <c r="A304" s="8"/>
      <c r="B304" s="8"/>
      <c r="C304" s="8"/>
      <c r="D304" s="8"/>
      <c r="E304" s="8"/>
      <c r="F304" s="9"/>
      <c r="G304" s="8"/>
      <c r="H304" s="8"/>
      <c r="I304" s="8"/>
    </row>
    <row r="305" spans="1:9" ht="14.25" customHeight="1" x14ac:dyDescent="0.25">
      <c r="A305" s="8"/>
      <c r="B305" s="8"/>
      <c r="C305" s="8"/>
      <c r="D305" s="8"/>
      <c r="E305" s="8"/>
      <c r="F305" s="9"/>
      <c r="G305" s="8"/>
      <c r="H305" s="8"/>
      <c r="I305" s="8"/>
    </row>
    <row r="306" spans="1:9" ht="14.25" customHeight="1" x14ac:dyDescent="0.25">
      <c r="A306" s="8"/>
      <c r="B306" s="8"/>
      <c r="C306" s="8"/>
      <c r="D306" s="8"/>
      <c r="E306" s="8"/>
      <c r="F306" s="9"/>
      <c r="G306" s="8"/>
      <c r="H306" s="8"/>
      <c r="I306" s="8"/>
    </row>
    <row r="307" spans="1:9" ht="14.25" customHeight="1" x14ac:dyDescent="0.25">
      <c r="A307" s="8"/>
      <c r="B307" s="8"/>
      <c r="C307" s="8"/>
      <c r="D307" s="8"/>
      <c r="E307" s="8"/>
      <c r="F307" s="9"/>
      <c r="G307" s="8"/>
      <c r="H307" s="8"/>
      <c r="I307" s="8"/>
    </row>
    <row r="308" spans="1:9" ht="14.25" customHeight="1" x14ac:dyDescent="0.25">
      <c r="A308" s="8"/>
      <c r="B308" s="8"/>
      <c r="C308" s="8"/>
      <c r="D308" s="8"/>
      <c r="E308" s="8"/>
      <c r="F308" s="9"/>
      <c r="G308" s="8"/>
      <c r="H308" s="8"/>
      <c r="I308" s="8"/>
    </row>
    <row r="309" spans="1:9" ht="14.25" customHeight="1" x14ac:dyDescent="0.25">
      <c r="A309" s="8"/>
      <c r="B309" s="8"/>
      <c r="C309" s="8"/>
      <c r="D309" s="8"/>
      <c r="E309" s="8"/>
      <c r="F309" s="9"/>
      <c r="G309" s="8"/>
      <c r="H309" s="8"/>
      <c r="I309" s="8"/>
    </row>
    <row r="310" spans="1:9" ht="14.25" customHeight="1" x14ac:dyDescent="0.25">
      <c r="A310" s="8"/>
      <c r="B310" s="8"/>
      <c r="C310" s="8"/>
      <c r="D310" s="8"/>
      <c r="E310" s="8"/>
      <c r="F310" s="9"/>
      <c r="G310" s="8"/>
      <c r="H310" s="8"/>
      <c r="I310" s="8"/>
    </row>
    <row r="311" spans="1:9" ht="14.25" customHeight="1" x14ac:dyDescent="0.25">
      <c r="A311" s="8"/>
      <c r="B311" s="8"/>
      <c r="C311" s="8"/>
      <c r="D311" s="8"/>
      <c r="E311" s="8"/>
      <c r="F311" s="9"/>
      <c r="G311" s="8"/>
      <c r="H311" s="8"/>
      <c r="I311" s="8"/>
    </row>
    <row r="312" spans="1:9" ht="14.25" customHeight="1" x14ac:dyDescent="0.25">
      <c r="A312" s="8"/>
      <c r="B312" s="8"/>
      <c r="C312" s="8"/>
      <c r="D312" s="8"/>
      <c r="E312" s="8"/>
      <c r="F312" s="9"/>
      <c r="G312" s="8"/>
      <c r="H312" s="8"/>
      <c r="I312" s="8"/>
    </row>
    <row r="313" spans="1:9" ht="14.25" customHeight="1" x14ac:dyDescent="0.25">
      <c r="A313" s="8"/>
      <c r="B313" s="8"/>
      <c r="C313" s="8"/>
      <c r="D313" s="8"/>
      <c r="E313" s="8"/>
      <c r="F313" s="9"/>
      <c r="G313" s="8"/>
      <c r="H313" s="8"/>
      <c r="I313" s="8"/>
    </row>
    <row r="314" spans="1:9" ht="14.25" customHeight="1" x14ac:dyDescent="0.25">
      <c r="A314" s="8"/>
      <c r="B314" s="8"/>
      <c r="C314" s="8"/>
      <c r="D314" s="8"/>
      <c r="E314" s="8"/>
      <c r="F314" s="9"/>
      <c r="G314" s="8"/>
      <c r="H314" s="8"/>
      <c r="I314" s="8"/>
    </row>
    <row r="315" spans="1:9" ht="14.25" customHeight="1" x14ac:dyDescent="0.25">
      <c r="A315" s="8"/>
      <c r="B315" s="8"/>
      <c r="C315" s="8"/>
      <c r="D315" s="8"/>
      <c r="E315" s="8"/>
      <c r="F315" s="9"/>
      <c r="G315" s="8"/>
      <c r="H315" s="8"/>
      <c r="I315" s="8"/>
    </row>
    <row r="316" spans="1:9" ht="14.25" customHeight="1" x14ac:dyDescent="0.25">
      <c r="A316" s="8"/>
      <c r="B316" s="8"/>
      <c r="C316" s="8"/>
      <c r="D316" s="8"/>
      <c r="E316" s="8"/>
      <c r="F316" s="9"/>
      <c r="G316" s="8"/>
      <c r="H316" s="8"/>
      <c r="I316" s="8"/>
    </row>
    <row r="317" spans="1:9" ht="14.25" customHeight="1" x14ac:dyDescent="0.25">
      <c r="A317" s="8"/>
      <c r="B317" s="8"/>
      <c r="C317" s="8"/>
      <c r="D317" s="8"/>
      <c r="E317" s="8"/>
      <c r="F317" s="9"/>
      <c r="G317" s="8"/>
      <c r="H317" s="8"/>
      <c r="I317" s="8"/>
    </row>
    <row r="318" spans="1:9" ht="14.25" customHeight="1" x14ac:dyDescent="0.25">
      <c r="A318" s="8"/>
      <c r="B318" s="8"/>
      <c r="C318" s="8"/>
      <c r="D318" s="8"/>
      <c r="E318" s="8"/>
      <c r="F318" s="9"/>
      <c r="G318" s="8"/>
      <c r="H318" s="8"/>
      <c r="I318" s="8"/>
    </row>
    <row r="319" spans="1:9" ht="14.25" customHeight="1" x14ac:dyDescent="0.25">
      <c r="A319" s="8"/>
      <c r="B319" s="8"/>
      <c r="C319" s="8"/>
      <c r="D319" s="8"/>
      <c r="E319" s="8"/>
      <c r="F319" s="9"/>
      <c r="G319" s="8"/>
      <c r="H319" s="8"/>
      <c r="I319" s="8"/>
    </row>
    <row r="320" spans="1:9" ht="14.25" customHeight="1" x14ac:dyDescent="0.25">
      <c r="A320" s="8"/>
      <c r="B320" s="8"/>
      <c r="C320" s="8"/>
      <c r="D320" s="8"/>
      <c r="E320" s="8"/>
      <c r="F320" s="9"/>
      <c r="G320" s="8"/>
      <c r="H320" s="8"/>
      <c r="I320" s="8"/>
    </row>
    <row r="321" spans="1:9" ht="14.25" customHeight="1" x14ac:dyDescent="0.25">
      <c r="A321" s="8"/>
      <c r="B321" s="8"/>
      <c r="C321" s="8"/>
      <c r="D321" s="8"/>
      <c r="E321" s="8"/>
      <c r="F321" s="9"/>
      <c r="G321" s="8"/>
      <c r="H321" s="8"/>
      <c r="I321" s="8"/>
    </row>
    <row r="322" spans="1:9" ht="14.25" customHeight="1" x14ac:dyDescent="0.25">
      <c r="A322" s="8"/>
      <c r="B322" s="8"/>
      <c r="C322" s="8"/>
      <c r="D322" s="8"/>
      <c r="E322" s="8"/>
      <c r="F322" s="9"/>
      <c r="G322" s="8"/>
      <c r="H322" s="8"/>
      <c r="I322" s="8"/>
    </row>
    <row r="323" spans="1:9" ht="14.25" customHeight="1" x14ac:dyDescent="0.25">
      <c r="A323" s="8"/>
      <c r="B323" s="8"/>
      <c r="C323" s="8"/>
      <c r="D323" s="8"/>
      <c r="E323" s="8"/>
      <c r="F323" s="9"/>
      <c r="G323" s="8"/>
      <c r="H323" s="8"/>
      <c r="I323" s="8"/>
    </row>
    <row r="324" spans="1:9" ht="14.25" customHeight="1" x14ac:dyDescent="0.25">
      <c r="A324" s="8"/>
      <c r="B324" s="8"/>
      <c r="C324" s="8"/>
      <c r="D324" s="8"/>
      <c r="E324" s="8"/>
      <c r="F324" s="9"/>
      <c r="G324" s="8"/>
      <c r="H324" s="8"/>
      <c r="I324" s="8"/>
    </row>
    <row r="325" spans="1:9" ht="14.25" customHeight="1" x14ac:dyDescent="0.25">
      <c r="A325" s="8"/>
      <c r="B325" s="8"/>
      <c r="C325" s="8"/>
      <c r="D325" s="8"/>
      <c r="E325" s="8"/>
      <c r="F325" s="9"/>
      <c r="G325" s="8"/>
      <c r="H325" s="8"/>
      <c r="I325" s="8"/>
    </row>
    <row r="326" spans="1:9" ht="14.25" customHeight="1" x14ac:dyDescent="0.25">
      <c r="A326" s="8"/>
      <c r="B326" s="8"/>
      <c r="C326" s="8"/>
      <c r="D326" s="8"/>
      <c r="E326" s="8"/>
      <c r="F326" s="9"/>
      <c r="G326" s="8"/>
      <c r="H326" s="8"/>
      <c r="I326" s="8"/>
    </row>
    <row r="327" spans="1:9" ht="14.25" customHeight="1" x14ac:dyDescent="0.25">
      <c r="A327" s="8"/>
      <c r="B327" s="8"/>
      <c r="C327" s="8"/>
      <c r="D327" s="8"/>
      <c r="E327" s="8"/>
      <c r="F327" s="9"/>
      <c r="G327" s="8"/>
      <c r="H327" s="8"/>
      <c r="I327" s="8"/>
    </row>
    <row r="328" spans="1:9" ht="14.25" customHeight="1" x14ac:dyDescent="0.25">
      <c r="A328" s="8"/>
      <c r="B328" s="8"/>
      <c r="C328" s="8"/>
      <c r="D328" s="8"/>
      <c r="E328" s="8"/>
      <c r="F328" s="9"/>
      <c r="G328" s="8"/>
      <c r="H328" s="8"/>
      <c r="I328" s="8"/>
    </row>
    <row r="329" spans="1:9" ht="14.25" customHeight="1" x14ac:dyDescent="0.25">
      <c r="A329" s="8"/>
      <c r="B329" s="8"/>
      <c r="C329" s="8"/>
      <c r="D329" s="8"/>
      <c r="E329" s="8"/>
      <c r="F329" s="9"/>
      <c r="G329" s="8"/>
      <c r="H329" s="8"/>
      <c r="I329" s="8"/>
    </row>
    <row r="330" spans="1:9" ht="14.25" customHeight="1" x14ac:dyDescent="0.25">
      <c r="A330" s="8"/>
      <c r="B330" s="8"/>
      <c r="C330" s="8"/>
      <c r="D330" s="8"/>
      <c r="E330" s="8"/>
      <c r="F330" s="9"/>
      <c r="G330" s="8"/>
      <c r="H330" s="8"/>
      <c r="I330" s="8"/>
    </row>
    <row r="331" spans="1:9" ht="14.25" customHeight="1" x14ac:dyDescent="0.25">
      <c r="A331" s="8"/>
      <c r="B331" s="8"/>
      <c r="C331" s="8"/>
      <c r="D331" s="8"/>
      <c r="E331" s="8"/>
      <c r="F331" s="9"/>
      <c r="G331" s="8"/>
      <c r="H331" s="8"/>
      <c r="I331" s="8"/>
    </row>
    <row r="332" spans="1:9" ht="14.25" customHeight="1" x14ac:dyDescent="0.25">
      <c r="A332" s="8"/>
      <c r="B332" s="8"/>
      <c r="C332" s="8"/>
      <c r="D332" s="8"/>
      <c r="E332" s="8"/>
      <c r="F332" s="9"/>
      <c r="G332" s="8"/>
      <c r="H332" s="8"/>
      <c r="I332" s="8"/>
    </row>
    <row r="333" spans="1:9" ht="14.25" customHeight="1" x14ac:dyDescent="0.25">
      <c r="A333" s="8"/>
      <c r="B333" s="8"/>
      <c r="C333" s="8"/>
      <c r="D333" s="8"/>
      <c r="E333" s="8"/>
      <c r="F333" s="9"/>
      <c r="G333" s="8"/>
      <c r="H333" s="8"/>
      <c r="I333" s="8"/>
    </row>
    <row r="334" spans="1:9" ht="14.25" customHeight="1" x14ac:dyDescent="0.25">
      <c r="A334" s="8"/>
      <c r="B334" s="8"/>
      <c r="C334" s="8"/>
      <c r="D334" s="8"/>
      <c r="E334" s="8"/>
      <c r="F334" s="9"/>
      <c r="G334" s="8"/>
      <c r="H334" s="8"/>
      <c r="I334" s="8"/>
    </row>
    <row r="335" spans="1:9" ht="14.25" customHeight="1" x14ac:dyDescent="0.25">
      <c r="A335" s="8"/>
      <c r="B335" s="8"/>
      <c r="C335" s="8"/>
      <c r="D335" s="8"/>
      <c r="E335" s="8"/>
      <c r="F335" s="9"/>
      <c r="G335" s="8"/>
      <c r="H335" s="8"/>
      <c r="I335" s="8"/>
    </row>
    <row r="336" spans="1:9" ht="14.25" customHeight="1" x14ac:dyDescent="0.25">
      <c r="A336" s="8"/>
      <c r="B336" s="8"/>
      <c r="C336" s="8"/>
      <c r="D336" s="8"/>
      <c r="E336" s="8"/>
      <c r="F336" s="9"/>
      <c r="G336" s="8"/>
      <c r="H336" s="8"/>
      <c r="I336" s="8"/>
    </row>
    <row r="337" spans="1:9" ht="14.25" customHeight="1" x14ac:dyDescent="0.25">
      <c r="A337" s="8"/>
      <c r="B337" s="8"/>
      <c r="C337" s="8"/>
      <c r="D337" s="8"/>
      <c r="E337" s="8"/>
      <c r="F337" s="9"/>
      <c r="G337" s="8"/>
      <c r="H337" s="8"/>
      <c r="I337" s="8"/>
    </row>
    <row r="338" spans="1:9" ht="14.25" customHeight="1" x14ac:dyDescent="0.25">
      <c r="A338" s="8"/>
      <c r="B338" s="8"/>
      <c r="C338" s="8"/>
      <c r="D338" s="8"/>
      <c r="E338" s="8"/>
      <c r="F338" s="9"/>
      <c r="G338" s="8"/>
      <c r="H338" s="8"/>
      <c r="I338" s="8"/>
    </row>
    <row r="339" spans="1:9" ht="14.25" customHeight="1" x14ac:dyDescent="0.25">
      <c r="A339" s="8"/>
      <c r="B339" s="8"/>
      <c r="C339" s="8"/>
      <c r="D339" s="8"/>
      <c r="E339" s="8"/>
      <c r="F339" s="9"/>
      <c r="G339" s="8"/>
      <c r="H339" s="8"/>
      <c r="I339" s="8"/>
    </row>
    <row r="340" spans="1:9" ht="14.25" customHeight="1" x14ac:dyDescent="0.25">
      <c r="A340" s="8"/>
      <c r="B340" s="8"/>
      <c r="C340" s="8"/>
      <c r="D340" s="8"/>
      <c r="E340" s="8"/>
      <c r="F340" s="9"/>
      <c r="G340" s="8"/>
      <c r="H340" s="8"/>
      <c r="I340" s="8"/>
    </row>
    <row r="341" spans="1:9" ht="14.25" customHeight="1" x14ac:dyDescent="0.25">
      <c r="A341" s="8"/>
      <c r="B341" s="8"/>
      <c r="C341" s="8"/>
      <c r="D341" s="8"/>
      <c r="E341" s="8"/>
      <c r="F341" s="9"/>
      <c r="G341" s="8"/>
      <c r="H341" s="8"/>
      <c r="I341" s="8"/>
    </row>
    <row r="342" spans="1:9" ht="14.25" customHeight="1" x14ac:dyDescent="0.25">
      <c r="A342" s="8"/>
      <c r="B342" s="8"/>
      <c r="C342" s="8"/>
      <c r="D342" s="8"/>
      <c r="E342" s="8"/>
      <c r="F342" s="9"/>
      <c r="G342" s="8"/>
      <c r="H342" s="8"/>
      <c r="I342" s="8"/>
    </row>
    <row r="343" spans="1:9" ht="14.25" customHeight="1" x14ac:dyDescent="0.25">
      <c r="A343" s="8"/>
      <c r="B343" s="8"/>
      <c r="C343" s="8"/>
      <c r="D343" s="8"/>
      <c r="E343" s="8"/>
      <c r="F343" s="9"/>
      <c r="G343" s="8"/>
      <c r="H343" s="8"/>
      <c r="I343" s="8"/>
    </row>
    <row r="344" spans="1:9" ht="14.25" customHeight="1" x14ac:dyDescent="0.25">
      <c r="A344" s="8"/>
      <c r="B344" s="8"/>
      <c r="C344" s="8"/>
      <c r="D344" s="8"/>
      <c r="E344" s="8"/>
      <c r="F344" s="9"/>
      <c r="G344" s="8"/>
      <c r="H344" s="8"/>
      <c r="I344" s="8"/>
    </row>
    <row r="345" spans="1:9" ht="14.25" customHeight="1" x14ac:dyDescent="0.25">
      <c r="A345" s="8"/>
      <c r="B345" s="8"/>
      <c r="C345" s="8"/>
      <c r="D345" s="8"/>
      <c r="E345" s="8"/>
      <c r="F345" s="9"/>
      <c r="G345" s="8"/>
      <c r="H345" s="8"/>
      <c r="I345" s="8"/>
    </row>
    <row r="346" spans="1:9" ht="14.25" customHeight="1" x14ac:dyDescent="0.25">
      <c r="A346" s="8"/>
      <c r="B346" s="8"/>
      <c r="C346" s="8"/>
      <c r="D346" s="8"/>
      <c r="E346" s="8"/>
      <c r="F346" s="9"/>
      <c r="G346" s="8"/>
      <c r="H346" s="8"/>
      <c r="I346" s="8"/>
    </row>
    <row r="347" spans="1:9" ht="14.25" customHeight="1" x14ac:dyDescent="0.25">
      <c r="A347" s="8"/>
      <c r="B347" s="8"/>
      <c r="C347" s="8"/>
      <c r="D347" s="8"/>
      <c r="E347" s="8"/>
      <c r="F347" s="9"/>
      <c r="G347" s="8"/>
      <c r="H347" s="8"/>
      <c r="I347" s="8"/>
    </row>
    <row r="348" spans="1:9" ht="14.25" customHeight="1" x14ac:dyDescent="0.25">
      <c r="A348" s="8"/>
      <c r="B348" s="8"/>
      <c r="C348" s="8"/>
      <c r="D348" s="8"/>
      <c r="E348" s="8"/>
      <c r="F348" s="9"/>
      <c r="G348" s="8"/>
      <c r="H348" s="8"/>
      <c r="I348" s="8"/>
    </row>
    <row r="349" spans="1:9" ht="14.25" customHeight="1" x14ac:dyDescent="0.25">
      <c r="A349" s="8"/>
      <c r="B349" s="8"/>
      <c r="C349" s="8"/>
      <c r="D349" s="8"/>
      <c r="E349" s="8"/>
      <c r="F349" s="9"/>
      <c r="G349" s="8"/>
      <c r="H349" s="8"/>
      <c r="I349" s="8"/>
    </row>
    <row r="350" spans="1:9" ht="14.25" customHeight="1" x14ac:dyDescent="0.25">
      <c r="A350" s="8"/>
      <c r="B350" s="8"/>
      <c r="C350" s="8"/>
      <c r="D350" s="8"/>
      <c r="E350" s="8"/>
      <c r="F350" s="9"/>
      <c r="G350" s="8"/>
      <c r="H350" s="8"/>
      <c r="I350" s="8"/>
    </row>
    <row r="351" spans="1:9" ht="14.25" customHeight="1" x14ac:dyDescent="0.25">
      <c r="A351" s="8"/>
      <c r="B351" s="8"/>
      <c r="C351" s="8"/>
      <c r="D351" s="8"/>
      <c r="E351" s="8"/>
      <c r="F351" s="9"/>
      <c r="G351" s="8"/>
      <c r="H351" s="8"/>
      <c r="I351" s="8"/>
    </row>
    <row r="352" spans="1:9" ht="14.25" customHeight="1" x14ac:dyDescent="0.25">
      <c r="A352" s="8"/>
      <c r="B352" s="8"/>
      <c r="C352" s="8"/>
      <c r="D352" s="8"/>
      <c r="E352" s="8"/>
      <c r="F352" s="9"/>
      <c r="G352" s="8"/>
      <c r="H352" s="8"/>
      <c r="I352" s="8"/>
    </row>
    <row r="353" spans="1:9" ht="14.25" customHeight="1" x14ac:dyDescent="0.25">
      <c r="A353" s="8"/>
      <c r="B353" s="8"/>
      <c r="C353" s="8"/>
      <c r="D353" s="8"/>
      <c r="E353" s="8"/>
      <c r="F353" s="9"/>
      <c r="G353" s="8"/>
      <c r="H353" s="8"/>
      <c r="I353" s="8"/>
    </row>
    <row r="354" spans="1:9" ht="14.25" customHeight="1" x14ac:dyDescent="0.25">
      <c r="A354" s="8"/>
      <c r="B354" s="8"/>
      <c r="C354" s="8"/>
      <c r="D354" s="8"/>
      <c r="E354" s="8"/>
      <c r="F354" s="9"/>
      <c r="G354" s="8"/>
      <c r="H354" s="8"/>
      <c r="I354" s="8"/>
    </row>
    <row r="355" spans="1:9" ht="14.25" customHeight="1" x14ac:dyDescent="0.25">
      <c r="A355" s="8"/>
      <c r="B355" s="8"/>
      <c r="C355" s="8"/>
      <c r="D355" s="8"/>
      <c r="E355" s="8"/>
      <c r="F355" s="9"/>
      <c r="G355" s="8"/>
      <c r="H355" s="8"/>
      <c r="I355" s="8"/>
    </row>
    <row r="356" spans="1:9" ht="14.25" customHeight="1" x14ac:dyDescent="0.25">
      <c r="A356" s="8"/>
      <c r="B356" s="8"/>
      <c r="C356" s="8"/>
      <c r="D356" s="8"/>
      <c r="E356" s="8"/>
      <c r="F356" s="9"/>
      <c r="G356" s="8"/>
      <c r="H356" s="8"/>
      <c r="I356" s="8"/>
    </row>
    <row r="357" spans="1:9" ht="14.25" customHeight="1" x14ac:dyDescent="0.25">
      <c r="A357" s="8"/>
      <c r="B357" s="8"/>
      <c r="C357" s="8"/>
      <c r="D357" s="8"/>
      <c r="E357" s="8"/>
      <c r="F357" s="9"/>
      <c r="G357" s="8"/>
      <c r="H357" s="8"/>
      <c r="I357" s="8"/>
    </row>
    <row r="358" spans="1:9" ht="14.25" customHeight="1" x14ac:dyDescent="0.25">
      <c r="A358" s="8"/>
      <c r="B358" s="8"/>
      <c r="C358" s="8"/>
      <c r="D358" s="8"/>
      <c r="E358" s="8"/>
      <c r="F358" s="9"/>
      <c r="G358" s="8"/>
      <c r="H358" s="8"/>
      <c r="I358" s="8"/>
    </row>
    <row r="359" spans="1:9" ht="14.25" customHeight="1" x14ac:dyDescent="0.25">
      <c r="A359" s="8"/>
      <c r="B359" s="8"/>
      <c r="C359" s="8"/>
      <c r="D359" s="8"/>
      <c r="E359" s="8"/>
      <c r="F359" s="9"/>
      <c r="G359" s="8"/>
      <c r="H359" s="8"/>
      <c r="I359" s="8"/>
    </row>
    <row r="360" spans="1:9" ht="14.25" customHeight="1" x14ac:dyDescent="0.25">
      <c r="A360" s="8"/>
      <c r="B360" s="8"/>
      <c r="C360" s="8"/>
      <c r="D360" s="8"/>
      <c r="E360" s="8"/>
      <c r="F360" s="9"/>
      <c r="G360" s="8"/>
      <c r="H360" s="8"/>
      <c r="I360" s="8"/>
    </row>
    <row r="361" spans="1:9" ht="14.25" customHeight="1" x14ac:dyDescent="0.25">
      <c r="A361" s="8"/>
      <c r="B361" s="8"/>
      <c r="C361" s="8"/>
      <c r="D361" s="8"/>
      <c r="E361" s="8"/>
      <c r="F361" s="9"/>
      <c r="G361" s="8"/>
      <c r="H361" s="8"/>
      <c r="I361" s="8"/>
    </row>
    <row r="362" spans="1:9" ht="14.25" customHeight="1" x14ac:dyDescent="0.25">
      <c r="A362" s="8"/>
      <c r="B362" s="8"/>
      <c r="C362" s="8"/>
      <c r="D362" s="8"/>
      <c r="E362" s="8"/>
      <c r="F362" s="9"/>
      <c r="G362" s="8"/>
      <c r="H362" s="8"/>
      <c r="I362" s="8"/>
    </row>
    <row r="363" spans="1:9" ht="14.25" customHeight="1" x14ac:dyDescent="0.25">
      <c r="A363" s="8"/>
      <c r="B363" s="8"/>
      <c r="C363" s="8"/>
      <c r="D363" s="8"/>
      <c r="E363" s="8"/>
      <c r="F363" s="9"/>
      <c r="G363" s="8"/>
      <c r="H363" s="8"/>
      <c r="I363" s="8"/>
    </row>
    <row r="364" spans="1:9" ht="14.25" customHeight="1" x14ac:dyDescent="0.25">
      <c r="A364" s="8"/>
      <c r="B364" s="8"/>
      <c r="C364" s="8"/>
      <c r="D364" s="8"/>
      <c r="E364" s="8"/>
      <c r="F364" s="9"/>
      <c r="G364" s="8"/>
      <c r="H364" s="8"/>
      <c r="I364" s="8"/>
    </row>
    <row r="365" spans="1:9" ht="14.25" customHeight="1" x14ac:dyDescent="0.25">
      <c r="A365" s="8"/>
      <c r="B365" s="8"/>
      <c r="C365" s="8"/>
      <c r="D365" s="8"/>
      <c r="E365" s="8"/>
      <c r="F365" s="9"/>
      <c r="G365" s="8"/>
      <c r="H365" s="8"/>
      <c r="I365" s="8"/>
    </row>
    <row r="366" spans="1:9" ht="14.25" customHeight="1" x14ac:dyDescent="0.25">
      <c r="A366" s="8"/>
      <c r="B366" s="8"/>
      <c r="C366" s="8"/>
      <c r="D366" s="8"/>
      <c r="E366" s="8"/>
      <c r="F366" s="9"/>
      <c r="G366" s="8"/>
      <c r="H366" s="8"/>
      <c r="I366" s="8"/>
    </row>
    <row r="367" spans="1:9" ht="14.25" customHeight="1" x14ac:dyDescent="0.25">
      <c r="A367" s="8"/>
      <c r="B367" s="8"/>
      <c r="C367" s="8"/>
      <c r="D367" s="8"/>
      <c r="E367" s="8"/>
      <c r="F367" s="9"/>
      <c r="G367" s="8"/>
      <c r="H367" s="8"/>
      <c r="I367" s="8"/>
    </row>
    <row r="368" spans="1:9" ht="14.25" customHeight="1" x14ac:dyDescent="0.25">
      <c r="A368" s="8"/>
      <c r="B368" s="8"/>
      <c r="C368" s="8"/>
      <c r="D368" s="8"/>
      <c r="E368" s="8"/>
      <c r="F368" s="9"/>
      <c r="G368" s="8"/>
      <c r="H368" s="8"/>
      <c r="I368" s="8"/>
    </row>
    <row r="369" spans="1:9" ht="14.25" customHeight="1" x14ac:dyDescent="0.25">
      <c r="A369" s="8"/>
      <c r="B369" s="8"/>
      <c r="C369" s="8"/>
      <c r="D369" s="8"/>
      <c r="E369" s="8"/>
      <c r="F369" s="9"/>
      <c r="G369" s="8"/>
      <c r="H369" s="8"/>
      <c r="I369" s="8"/>
    </row>
    <row r="370" spans="1:9" ht="14.25" customHeight="1" x14ac:dyDescent="0.25">
      <c r="A370" s="8"/>
      <c r="B370" s="8"/>
      <c r="C370" s="8"/>
      <c r="D370" s="8"/>
      <c r="E370" s="8"/>
      <c r="F370" s="9"/>
      <c r="G370" s="8"/>
      <c r="H370" s="8"/>
      <c r="I370" s="8"/>
    </row>
    <row r="371" spans="1:9" ht="14.25" customHeight="1" x14ac:dyDescent="0.25">
      <c r="A371" s="8"/>
      <c r="B371" s="8"/>
      <c r="C371" s="8"/>
      <c r="D371" s="8"/>
      <c r="E371" s="8"/>
      <c r="F371" s="9"/>
      <c r="G371" s="8"/>
      <c r="H371" s="8"/>
      <c r="I371" s="8"/>
    </row>
    <row r="372" spans="1:9" ht="14.25" customHeight="1" x14ac:dyDescent="0.25">
      <c r="A372" s="8"/>
      <c r="B372" s="8"/>
      <c r="C372" s="8"/>
      <c r="D372" s="8"/>
      <c r="E372" s="8"/>
      <c r="F372" s="9"/>
      <c r="G372" s="8"/>
      <c r="H372" s="8"/>
      <c r="I372" s="8"/>
    </row>
    <row r="373" spans="1:9" ht="14.25" customHeight="1" x14ac:dyDescent="0.25">
      <c r="A373" s="8"/>
      <c r="B373" s="8"/>
      <c r="C373" s="8"/>
      <c r="D373" s="8"/>
      <c r="E373" s="8"/>
      <c r="F373" s="9"/>
      <c r="G373" s="8"/>
      <c r="H373" s="8"/>
      <c r="I373" s="8"/>
    </row>
    <row r="374" spans="1:9" ht="14.25" customHeight="1" x14ac:dyDescent="0.25">
      <c r="A374" s="8"/>
      <c r="B374" s="8"/>
      <c r="C374" s="8"/>
      <c r="D374" s="8"/>
      <c r="E374" s="8"/>
      <c r="F374" s="9"/>
      <c r="G374" s="8"/>
      <c r="H374" s="8"/>
      <c r="I374" s="8"/>
    </row>
    <row r="375" spans="1:9" ht="14.25" customHeight="1" x14ac:dyDescent="0.25">
      <c r="A375" s="8"/>
      <c r="B375" s="8"/>
      <c r="C375" s="8"/>
      <c r="D375" s="8"/>
      <c r="E375" s="8"/>
      <c r="F375" s="9"/>
      <c r="G375" s="8"/>
      <c r="H375" s="8"/>
      <c r="I375" s="8"/>
    </row>
    <row r="376" spans="1:9" ht="14.25" customHeight="1" x14ac:dyDescent="0.25">
      <c r="A376" s="8"/>
      <c r="B376" s="8"/>
      <c r="C376" s="8"/>
      <c r="D376" s="8"/>
      <c r="E376" s="8"/>
      <c r="F376" s="9"/>
      <c r="G376" s="8"/>
      <c r="H376" s="8"/>
      <c r="I376" s="8"/>
    </row>
    <row r="377" spans="1:9" ht="14.25" customHeight="1" x14ac:dyDescent="0.25">
      <c r="A377" s="8"/>
      <c r="B377" s="8"/>
      <c r="C377" s="8"/>
      <c r="D377" s="8"/>
      <c r="E377" s="8"/>
      <c r="F377" s="9"/>
      <c r="G377" s="8"/>
      <c r="H377" s="8"/>
      <c r="I377" s="8"/>
    </row>
    <row r="378" spans="1:9" ht="14.25" customHeight="1" x14ac:dyDescent="0.25">
      <c r="A378" s="8"/>
      <c r="B378" s="8"/>
      <c r="C378" s="8"/>
      <c r="D378" s="8"/>
      <c r="E378" s="8"/>
      <c r="F378" s="9"/>
      <c r="G378" s="8"/>
      <c r="H378" s="8"/>
      <c r="I378" s="8"/>
    </row>
    <row r="379" spans="1:9" ht="14.25" customHeight="1" x14ac:dyDescent="0.25">
      <c r="A379" s="8"/>
      <c r="B379" s="8"/>
      <c r="C379" s="8"/>
      <c r="D379" s="8"/>
      <c r="E379" s="8"/>
      <c r="F379" s="9"/>
      <c r="G379" s="8"/>
      <c r="H379" s="8"/>
      <c r="I379" s="8"/>
    </row>
    <row r="380" spans="1:9" ht="14.25" customHeight="1" x14ac:dyDescent="0.25">
      <c r="A380" s="8"/>
      <c r="B380" s="8"/>
      <c r="C380" s="8"/>
      <c r="D380" s="8"/>
      <c r="E380" s="8"/>
      <c r="F380" s="9"/>
      <c r="G380" s="8"/>
      <c r="H380" s="8"/>
      <c r="I380" s="8"/>
    </row>
    <row r="381" spans="1:9" ht="14.25" customHeight="1" x14ac:dyDescent="0.25">
      <c r="A381" s="8"/>
      <c r="B381" s="8"/>
      <c r="C381" s="8"/>
      <c r="D381" s="8"/>
      <c r="E381" s="8"/>
      <c r="F381" s="9"/>
      <c r="G381" s="8"/>
      <c r="H381" s="8"/>
      <c r="I381" s="8"/>
    </row>
    <row r="382" spans="1:9" ht="14.25" customHeight="1" x14ac:dyDescent="0.25">
      <c r="A382" s="8"/>
      <c r="B382" s="8"/>
      <c r="C382" s="8"/>
      <c r="D382" s="8"/>
      <c r="E382" s="8"/>
      <c r="F382" s="9"/>
      <c r="G382" s="8"/>
      <c r="H382" s="8"/>
      <c r="I382" s="8"/>
    </row>
    <row r="383" spans="1:9" ht="14.25" customHeight="1" x14ac:dyDescent="0.25">
      <c r="A383" s="8"/>
      <c r="B383" s="8"/>
      <c r="C383" s="8"/>
      <c r="D383" s="8"/>
      <c r="E383" s="8"/>
      <c r="F383" s="9"/>
      <c r="G383" s="8"/>
      <c r="H383" s="8"/>
      <c r="I383" s="8"/>
    </row>
    <row r="384" spans="1:9" ht="14.25" customHeight="1" x14ac:dyDescent="0.25">
      <c r="A384" s="8"/>
      <c r="B384" s="8"/>
      <c r="C384" s="8"/>
      <c r="D384" s="8"/>
      <c r="E384" s="8"/>
      <c r="F384" s="9"/>
      <c r="G384" s="8"/>
      <c r="H384" s="8"/>
      <c r="I384" s="8"/>
    </row>
    <row r="385" spans="1:9" ht="14.25" customHeight="1" x14ac:dyDescent="0.25">
      <c r="A385" s="8"/>
      <c r="B385" s="8"/>
      <c r="C385" s="8"/>
      <c r="D385" s="8"/>
      <c r="E385" s="8"/>
      <c r="F385" s="9"/>
      <c r="G385" s="8"/>
      <c r="H385" s="8"/>
      <c r="I385" s="8"/>
    </row>
    <row r="386" spans="1:9" ht="14.25" customHeight="1" x14ac:dyDescent="0.25">
      <c r="A386" s="8"/>
      <c r="B386" s="8"/>
      <c r="C386" s="8"/>
      <c r="D386" s="8"/>
      <c r="E386" s="8"/>
      <c r="F386" s="9"/>
      <c r="G386" s="8"/>
      <c r="H386" s="8"/>
      <c r="I386" s="8"/>
    </row>
    <row r="387" spans="1:9" ht="14.25" customHeight="1" x14ac:dyDescent="0.25">
      <c r="A387" s="8"/>
      <c r="B387" s="8"/>
      <c r="C387" s="8"/>
      <c r="D387" s="8"/>
      <c r="E387" s="8"/>
      <c r="F387" s="9"/>
      <c r="G387" s="8"/>
      <c r="H387" s="8"/>
      <c r="I387" s="8"/>
    </row>
    <row r="388" spans="1:9" ht="14.25" customHeight="1" x14ac:dyDescent="0.25">
      <c r="A388" s="8"/>
      <c r="B388" s="8"/>
      <c r="C388" s="8"/>
      <c r="D388" s="8"/>
      <c r="E388" s="8"/>
      <c r="F388" s="9"/>
      <c r="G388" s="8"/>
      <c r="H388" s="8"/>
      <c r="I388" s="8"/>
    </row>
    <row r="389" spans="1:9" ht="14.25" customHeight="1" x14ac:dyDescent="0.25">
      <c r="A389" s="8"/>
      <c r="B389" s="8"/>
      <c r="C389" s="8"/>
      <c r="D389" s="8"/>
      <c r="E389" s="8"/>
      <c r="F389" s="9"/>
      <c r="G389" s="8"/>
      <c r="H389" s="8"/>
      <c r="I389" s="8"/>
    </row>
    <row r="390" spans="1:9" ht="14.25" customHeight="1" x14ac:dyDescent="0.25">
      <c r="A390" s="8"/>
      <c r="B390" s="8"/>
      <c r="C390" s="8"/>
      <c r="D390" s="8"/>
      <c r="E390" s="8"/>
      <c r="F390" s="9"/>
      <c r="G390" s="8"/>
      <c r="H390" s="8"/>
      <c r="I390" s="8"/>
    </row>
    <row r="391" spans="1:9" ht="14.25" customHeight="1" x14ac:dyDescent="0.25">
      <c r="A391" s="8"/>
      <c r="B391" s="8"/>
      <c r="C391" s="8"/>
      <c r="D391" s="8"/>
      <c r="E391" s="8"/>
      <c r="F391" s="9"/>
      <c r="G391" s="8"/>
      <c r="H391" s="8"/>
      <c r="I391" s="8"/>
    </row>
    <row r="392" spans="1:9" ht="14.25" customHeight="1" x14ac:dyDescent="0.25">
      <c r="A392" s="8"/>
      <c r="B392" s="8"/>
      <c r="C392" s="8"/>
      <c r="D392" s="8"/>
      <c r="E392" s="8"/>
      <c r="F392" s="9"/>
      <c r="G392" s="8"/>
      <c r="H392" s="8"/>
      <c r="I392" s="8"/>
    </row>
    <row r="393" spans="1:9" ht="14.25" customHeight="1" x14ac:dyDescent="0.25">
      <c r="A393" s="8"/>
      <c r="B393" s="8"/>
      <c r="C393" s="8"/>
      <c r="D393" s="8"/>
      <c r="E393" s="8"/>
      <c r="F393" s="9"/>
      <c r="G393" s="8"/>
      <c r="H393" s="8"/>
      <c r="I393" s="8"/>
    </row>
    <row r="394" spans="1:9" ht="14.25" customHeight="1" x14ac:dyDescent="0.25">
      <c r="A394" s="8"/>
      <c r="B394" s="8"/>
      <c r="C394" s="8"/>
      <c r="D394" s="8"/>
      <c r="E394" s="8"/>
      <c r="F394" s="9"/>
      <c r="G394" s="8"/>
      <c r="H394" s="8"/>
      <c r="I394" s="8"/>
    </row>
    <row r="395" spans="1:9" ht="14.25" customHeight="1" x14ac:dyDescent="0.25">
      <c r="A395" s="8"/>
      <c r="B395" s="8"/>
      <c r="C395" s="8"/>
      <c r="D395" s="8"/>
      <c r="E395" s="8"/>
      <c r="F395" s="9"/>
      <c r="G395" s="8"/>
      <c r="H395" s="8"/>
      <c r="I395" s="8"/>
    </row>
    <row r="396" spans="1:9" ht="14.25" customHeight="1" x14ac:dyDescent="0.25">
      <c r="A396" s="8"/>
      <c r="B396" s="8"/>
      <c r="C396" s="8"/>
      <c r="D396" s="8"/>
      <c r="E396" s="8"/>
      <c r="F396" s="9"/>
      <c r="G396" s="8"/>
      <c r="H396" s="8"/>
      <c r="I396" s="8"/>
    </row>
    <row r="397" spans="1:9" ht="14.25" customHeight="1" x14ac:dyDescent="0.25">
      <c r="A397" s="8"/>
      <c r="B397" s="8"/>
      <c r="C397" s="8"/>
      <c r="D397" s="8"/>
      <c r="E397" s="8"/>
      <c r="F397" s="9"/>
      <c r="G397" s="8"/>
      <c r="H397" s="8"/>
      <c r="I397" s="8"/>
    </row>
    <row r="398" spans="1:9" ht="14.25" customHeight="1" x14ac:dyDescent="0.25">
      <c r="A398" s="8"/>
      <c r="B398" s="8"/>
      <c r="C398" s="8"/>
      <c r="D398" s="8"/>
      <c r="E398" s="8"/>
      <c r="F398" s="9"/>
      <c r="G398" s="8"/>
      <c r="H398" s="8"/>
      <c r="I398" s="8"/>
    </row>
    <row r="399" spans="1:9" ht="14.25" customHeight="1" x14ac:dyDescent="0.25">
      <c r="A399" s="8"/>
      <c r="B399" s="8"/>
      <c r="C399" s="8"/>
      <c r="D399" s="8"/>
      <c r="E399" s="8"/>
      <c r="F399" s="9"/>
      <c r="G399" s="8"/>
      <c r="H399" s="8"/>
      <c r="I399" s="8"/>
    </row>
    <row r="400" spans="1:9" ht="14.25" customHeight="1" x14ac:dyDescent="0.25">
      <c r="A400" s="8"/>
      <c r="B400" s="8"/>
      <c r="C400" s="8"/>
      <c r="D400" s="8"/>
      <c r="E400" s="8"/>
      <c r="F400" s="9"/>
      <c r="G400" s="8"/>
      <c r="H400" s="8"/>
      <c r="I400" s="8"/>
    </row>
    <row r="401" spans="1:9" ht="14.25" customHeight="1" x14ac:dyDescent="0.25">
      <c r="A401" s="8"/>
      <c r="B401" s="8"/>
      <c r="C401" s="8"/>
      <c r="D401" s="8"/>
      <c r="E401" s="8"/>
      <c r="F401" s="9"/>
      <c r="G401" s="8"/>
      <c r="H401" s="8"/>
      <c r="I401" s="8"/>
    </row>
    <row r="402" spans="1:9" ht="14.25" customHeight="1" x14ac:dyDescent="0.25">
      <c r="A402" s="8"/>
      <c r="B402" s="8"/>
      <c r="C402" s="8"/>
      <c r="D402" s="8"/>
      <c r="E402" s="8"/>
      <c r="F402" s="9"/>
      <c r="G402" s="8"/>
      <c r="H402" s="8"/>
      <c r="I402" s="8"/>
    </row>
    <row r="403" spans="1:9" ht="14.25" customHeight="1" x14ac:dyDescent="0.25">
      <c r="A403" s="8"/>
      <c r="B403" s="8"/>
      <c r="C403" s="8"/>
      <c r="D403" s="8"/>
      <c r="E403" s="8"/>
      <c r="F403" s="9"/>
      <c r="G403" s="8"/>
      <c r="H403" s="8"/>
      <c r="I403" s="8"/>
    </row>
    <row r="404" spans="1:9" ht="14.25" customHeight="1" x14ac:dyDescent="0.25">
      <c r="A404" s="8"/>
      <c r="B404" s="8"/>
      <c r="C404" s="8"/>
      <c r="D404" s="8"/>
      <c r="E404" s="8"/>
      <c r="F404" s="9"/>
      <c r="G404" s="8"/>
      <c r="H404" s="8"/>
      <c r="I404" s="8"/>
    </row>
    <row r="405" spans="1:9" ht="14.25" customHeight="1" x14ac:dyDescent="0.25">
      <c r="A405" s="8"/>
      <c r="B405" s="8"/>
      <c r="C405" s="8"/>
      <c r="D405" s="8"/>
      <c r="E405" s="8"/>
      <c r="F405" s="9"/>
      <c r="G405" s="8"/>
      <c r="H405" s="8"/>
      <c r="I405" s="8"/>
    </row>
    <row r="406" spans="1:9" ht="14.25" customHeight="1" x14ac:dyDescent="0.25">
      <c r="A406" s="8"/>
      <c r="B406" s="8"/>
      <c r="C406" s="8"/>
      <c r="D406" s="8"/>
      <c r="E406" s="8"/>
      <c r="F406" s="9"/>
      <c r="G406" s="8"/>
      <c r="H406" s="8"/>
      <c r="I406" s="8"/>
    </row>
    <row r="407" spans="1:9" ht="14.25" customHeight="1" x14ac:dyDescent="0.25">
      <c r="A407" s="8"/>
      <c r="B407" s="8"/>
      <c r="C407" s="8"/>
      <c r="D407" s="8"/>
      <c r="E407" s="8"/>
      <c r="F407" s="9"/>
      <c r="G407" s="8"/>
      <c r="H407" s="8"/>
      <c r="I407" s="8"/>
    </row>
    <row r="408" spans="1:9" ht="14.25" customHeight="1" x14ac:dyDescent="0.25">
      <c r="A408" s="8"/>
      <c r="B408" s="8"/>
      <c r="C408" s="8"/>
      <c r="D408" s="8"/>
      <c r="E408" s="8"/>
      <c r="F408" s="9"/>
      <c r="G408" s="8"/>
      <c r="H408" s="8"/>
      <c r="I408" s="8"/>
    </row>
    <row r="409" spans="1:9" ht="14.25" customHeight="1" x14ac:dyDescent="0.25">
      <c r="A409" s="8"/>
      <c r="B409" s="8"/>
      <c r="C409" s="8"/>
      <c r="D409" s="8"/>
      <c r="E409" s="8"/>
      <c r="F409" s="9"/>
      <c r="G409" s="8"/>
      <c r="H409" s="8"/>
      <c r="I409" s="8"/>
    </row>
    <row r="410" spans="1:9" ht="14.25" customHeight="1" x14ac:dyDescent="0.25">
      <c r="A410" s="8"/>
      <c r="B410" s="8"/>
      <c r="C410" s="8"/>
      <c r="D410" s="8"/>
      <c r="E410" s="8"/>
      <c r="F410" s="9"/>
      <c r="G410" s="8"/>
      <c r="H410" s="8"/>
      <c r="I410" s="8"/>
    </row>
    <row r="411" spans="1:9" ht="14.25" customHeight="1" x14ac:dyDescent="0.25">
      <c r="A411" s="8"/>
      <c r="B411" s="8"/>
      <c r="C411" s="8"/>
      <c r="D411" s="8"/>
      <c r="E411" s="8"/>
      <c r="F411" s="9"/>
      <c r="G411" s="8"/>
      <c r="H411" s="8"/>
      <c r="I411" s="8"/>
    </row>
    <row r="412" spans="1:9" ht="14.25" customHeight="1" x14ac:dyDescent="0.25">
      <c r="A412" s="8"/>
      <c r="B412" s="8"/>
      <c r="C412" s="8"/>
      <c r="D412" s="8"/>
      <c r="E412" s="8"/>
      <c r="F412" s="9"/>
      <c r="G412" s="8"/>
      <c r="H412" s="8"/>
      <c r="I412" s="8"/>
    </row>
    <row r="413" spans="1:9" ht="14.25" customHeight="1" x14ac:dyDescent="0.25">
      <c r="A413" s="8"/>
      <c r="B413" s="8"/>
      <c r="C413" s="8"/>
      <c r="D413" s="8"/>
      <c r="E413" s="8"/>
      <c r="F413" s="9"/>
      <c r="G413" s="8"/>
      <c r="H413" s="8"/>
      <c r="I413" s="8"/>
    </row>
    <row r="414" spans="1:9" ht="14.25" customHeight="1" x14ac:dyDescent="0.25">
      <c r="A414" s="8"/>
      <c r="B414" s="8"/>
      <c r="C414" s="8"/>
      <c r="D414" s="8"/>
      <c r="E414" s="8"/>
      <c r="F414" s="9"/>
      <c r="G414" s="8"/>
      <c r="H414" s="8"/>
      <c r="I414" s="8"/>
    </row>
    <row r="415" spans="1:9" ht="14.25" customHeight="1" x14ac:dyDescent="0.25">
      <c r="A415" s="8"/>
      <c r="B415" s="8"/>
      <c r="C415" s="8"/>
      <c r="D415" s="8"/>
      <c r="E415" s="8"/>
      <c r="F415" s="9"/>
      <c r="G415" s="8"/>
      <c r="H415" s="8"/>
      <c r="I415" s="8"/>
    </row>
    <row r="416" spans="1:9" ht="14.25" customHeight="1" x14ac:dyDescent="0.25">
      <c r="A416" s="8"/>
      <c r="B416" s="8"/>
      <c r="C416" s="8"/>
      <c r="D416" s="8"/>
      <c r="E416" s="8"/>
      <c r="F416" s="9"/>
      <c r="G416" s="8"/>
      <c r="H416" s="8"/>
      <c r="I416" s="8"/>
    </row>
    <row r="417" spans="1:9" ht="14.25" customHeight="1" x14ac:dyDescent="0.25">
      <c r="A417" s="8"/>
      <c r="B417" s="8"/>
      <c r="C417" s="8"/>
      <c r="D417" s="8"/>
      <c r="E417" s="8"/>
      <c r="F417" s="9"/>
      <c r="G417" s="8"/>
      <c r="H417" s="8"/>
      <c r="I417" s="8"/>
    </row>
    <row r="418" spans="1:9" ht="14.25" customHeight="1" x14ac:dyDescent="0.25">
      <c r="A418" s="8"/>
      <c r="B418" s="8"/>
      <c r="C418" s="8"/>
      <c r="D418" s="8"/>
      <c r="E418" s="8"/>
      <c r="F418" s="9"/>
      <c r="G418" s="8"/>
      <c r="H418" s="8"/>
      <c r="I418" s="8"/>
    </row>
    <row r="419" spans="1:9" ht="14.25" customHeight="1" x14ac:dyDescent="0.25">
      <c r="A419" s="8"/>
      <c r="B419" s="8"/>
      <c r="C419" s="8"/>
      <c r="D419" s="8"/>
      <c r="E419" s="8"/>
      <c r="F419" s="9"/>
      <c r="G419" s="8"/>
      <c r="H419" s="8"/>
      <c r="I419" s="8"/>
    </row>
    <row r="420" spans="1:9" ht="14.25" customHeight="1" x14ac:dyDescent="0.25">
      <c r="A420" s="8"/>
      <c r="B420" s="8"/>
      <c r="C420" s="8"/>
      <c r="D420" s="8"/>
      <c r="E420" s="8"/>
      <c r="F420" s="9"/>
      <c r="G420" s="8"/>
      <c r="H420" s="8"/>
      <c r="I420" s="8"/>
    </row>
    <row r="421" spans="1:9" ht="14.25" customHeight="1" x14ac:dyDescent="0.25">
      <c r="A421" s="8"/>
      <c r="B421" s="8"/>
      <c r="C421" s="8"/>
      <c r="D421" s="8"/>
      <c r="E421" s="8"/>
      <c r="F421" s="9"/>
      <c r="G421" s="8"/>
      <c r="H421" s="8"/>
      <c r="I421" s="8"/>
    </row>
    <row r="422" spans="1:9" ht="14.25" customHeight="1" x14ac:dyDescent="0.25">
      <c r="A422" s="8"/>
      <c r="B422" s="8"/>
      <c r="C422" s="8"/>
      <c r="D422" s="8"/>
      <c r="E422" s="8"/>
      <c r="F422" s="9"/>
      <c r="G422" s="8"/>
      <c r="H422" s="8"/>
      <c r="I422" s="8"/>
    </row>
    <row r="423" spans="1:9" ht="14.25" customHeight="1" x14ac:dyDescent="0.25">
      <c r="A423" s="8"/>
      <c r="B423" s="8"/>
      <c r="C423" s="8"/>
      <c r="D423" s="8"/>
      <c r="E423" s="8"/>
      <c r="F423" s="9"/>
      <c r="G423" s="8"/>
      <c r="H423" s="8"/>
      <c r="I423" s="8"/>
    </row>
    <row r="424" spans="1:9" ht="14.25" customHeight="1" x14ac:dyDescent="0.25">
      <c r="A424" s="8"/>
      <c r="B424" s="8"/>
      <c r="C424" s="8"/>
      <c r="D424" s="8"/>
      <c r="E424" s="8"/>
      <c r="F424" s="9"/>
      <c r="G424" s="8"/>
      <c r="H424" s="8"/>
      <c r="I424" s="8"/>
    </row>
    <row r="425" spans="1:9" ht="14.25" customHeight="1" x14ac:dyDescent="0.25">
      <c r="A425" s="8"/>
      <c r="B425" s="8"/>
      <c r="C425" s="8"/>
      <c r="D425" s="8"/>
      <c r="E425" s="8"/>
      <c r="F425" s="9"/>
      <c r="G425" s="8"/>
      <c r="H425" s="8"/>
      <c r="I425" s="8"/>
    </row>
    <row r="426" spans="1:9" ht="14.25" customHeight="1" x14ac:dyDescent="0.25">
      <c r="A426" s="8"/>
      <c r="B426" s="8"/>
      <c r="C426" s="8"/>
      <c r="D426" s="8"/>
      <c r="E426" s="8"/>
      <c r="F426" s="9"/>
      <c r="G426" s="8"/>
      <c r="H426" s="8"/>
      <c r="I426" s="8"/>
    </row>
    <row r="427" spans="1:9" ht="14.25" customHeight="1" x14ac:dyDescent="0.25">
      <c r="A427" s="8"/>
      <c r="B427" s="8"/>
      <c r="C427" s="8"/>
      <c r="D427" s="8"/>
      <c r="E427" s="8"/>
      <c r="F427" s="9"/>
      <c r="G427" s="8"/>
      <c r="H427" s="8"/>
      <c r="I427" s="8"/>
    </row>
    <row r="428" spans="1:9" ht="14.25" customHeight="1" x14ac:dyDescent="0.25">
      <c r="A428" s="8"/>
      <c r="B428" s="8"/>
      <c r="C428" s="8"/>
      <c r="D428" s="8"/>
      <c r="E428" s="8"/>
      <c r="F428" s="9"/>
      <c r="G428" s="8"/>
      <c r="H428" s="8"/>
      <c r="I428" s="8"/>
    </row>
    <row r="429" spans="1:9" ht="14.25" customHeight="1" x14ac:dyDescent="0.25">
      <c r="A429" s="8"/>
      <c r="B429" s="8"/>
      <c r="C429" s="8"/>
      <c r="D429" s="8"/>
      <c r="E429" s="8"/>
      <c r="F429" s="9"/>
      <c r="G429" s="8"/>
      <c r="H429" s="8"/>
      <c r="I429" s="8"/>
    </row>
    <row r="430" spans="1:9" ht="14.25" customHeight="1" x14ac:dyDescent="0.25">
      <c r="A430" s="8"/>
      <c r="B430" s="8"/>
      <c r="C430" s="8"/>
      <c r="D430" s="8"/>
      <c r="E430" s="8"/>
      <c r="F430" s="9"/>
      <c r="G430" s="8"/>
      <c r="H430" s="8"/>
      <c r="I430" s="8"/>
    </row>
    <row r="431" spans="1:9" ht="14.25" customHeight="1" x14ac:dyDescent="0.25">
      <c r="A431" s="8"/>
      <c r="B431" s="8"/>
      <c r="C431" s="8"/>
      <c r="D431" s="8"/>
      <c r="E431" s="8"/>
      <c r="F431" s="9"/>
      <c r="G431" s="8"/>
      <c r="H431" s="8"/>
      <c r="I431" s="8"/>
    </row>
    <row r="432" spans="1:9" ht="14.25" customHeight="1" x14ac:dyDescent="0.25">
      <c r="A432" s="8"/>
      <c r="B432" s="8"/>
      <c r="C432" s="8"/>
      <c r="D432" s="8"/>
      <c r="E432" s="8"/>
      <c r="F432" s="9"/>
      <c r="G432" s="8"/>
      <c r="H432" s="8"/>
      <c r="I432" s="8"/>
    </row>
    <row r="433" spans="1:9" ht="14.25" customHeight="1" x14ac:dyDescent="0.25">
      <c r="A433" s="8"/>
      <c r="B433" s="8"/>
      <c r="C433" s="8"/>
      <c r="D433" s="8"/>
      <c r="E433" s="8"/>
      <c r="F433" s="9"/>
      <c r="G433" s="8"/>
      <c r="H433" s="8"/>
      <c r="I433" s="8"/>
    </row>
    <row r="434" spans="1:9" ht="14.25" customHeight="1" x14ac:dyDescent="0.25">
      <c r="A434" s="8"/>
      <c r="B434" s="8"/>
      <c r="C434" s="8"/>
      <c r="D434" s="8"/>
      <c r="E434" s="8"/>
      <c r="F434" s="9"/>
      <c r="G434" s="8"/>
      <c r="H434" s="8"/>
      <c r="I434" s="8"/>
    </row>
    <row r="435" spans="1:9" ht="14.25" customHeight="1" x14ac:dyDescent="0.25">
      <c r="A435" s="8"/>
      <c r="B435" s="8"/>
      <c r="C435" s="8"/>
      <c r="D435" s="8"/>
      <c r="E435" s="8"/>
      <c r="F435" s="9"/>
      <c r="G435" s="8"/>
      <c r="H435" s="8"/>
      <c r="I435" s="8"/>
    </row>
    <row r="436" spans="1:9" ht="14.25" customHeight="1" x14ac:dyDescent="0.25">
      <c r="A436" s="8"/>
      <c r="B436" s="8"/>
      <c r="C436" s="8"/>
      <c r="D436" s="8"/>
      <c r="E436" s="8"/>
      <c r="F436" s="9"/>
      <c r="G436" s="8"/>
      <c r="H436" s="8"/>
      <c r="I436" s="8"/>
    </row>
    <row r="437" spans="1:9" ht="14.25" customHeight="1" x14ac:dyDescent="0.25">
      <c r="A437" s="8"/>
      <c r="B437" s="8"/>
      <c r="C437" s="8"/>
      <c r="D437" s="8"/>
      <c r="E437" s="8"/>
      <c r="F437" s="9"/>
      <c r="G437" s="8"/>
      <c r="H437" s="8"/>
      <c r="I437" s="8"/>
    </row>
    <row r="438" spans="1:9" ht="14.25" customHeight="1" x14ac:dyDescent="0.25">
      <c r="A438" s="8"/>
      <c r="B438" s="8"/>
      <c r="C438" s="8"/>
      <c r="D438" s="8"/>
      <c r="E438" s="8"/>
      <c r="F438" s="9"/>
      <c r="G438" s="8"/>
      <c r="H438" s="8"/>
      <c r="I438" s="8"/>
    </row>
    <row r="439" spans="1:9" ht="14.25" customHeight="1" x14ac:dyDescent="0.25">
      <c r="A439" s="8"/>
      <c r="B439" s="8"/>
      <c r="C439" s="8"/>
      <c r="D439" s="8"/>
      <c r="E439" s="8"/>
      <c r="F439" s="9"/>
      <c r="G439" s="8"/>
      <c r="H439" s="8"/>
      <c r="I439" s="8"/>
    </row>
    <row r="440" spans="1:9" ht="14.25" customHeight="1" x14ac:dyDescent="0.25">
      <c r="A440" s="8"/>
      <c r="B440" s="8"/>
      <c r="C440" s="8"/>
      <c r="D440" s="8"/>
      <c r="E440" s="8"/>
      <c r="F440" s="9"/>
      <c r="G440" s="8"/>
      <c r="H440" s="8"/>
      <c r="I440" s="8"/>
    </row>
    <row r="441" spans="1:9" ht="14.25" customHeight="1" x14ac:dyDescent="0.25">
      <c r="A441" s="8"/>
      <c r="B441" s="8"/>
      <c r="C441" s="8"/>
      <c r="D441" s="8"/>
      <c r="E441" s="8"/>
      <c r="F441" s="9"/>
      <c r="G441" s="8"/>
      <c r="H441" s="8"/>
      <c r="I441" s="8"/>
    </row>
    <row r="442" spans="1:9" ht="14.25" customHeight="1" x14ac:dyDescent="0.25">
      <c r="A442" s="8"/>
      <c r="B442" s="8"/>
      <c r="C442" s="8"/>
      <c r="D442" s="8"/>
      <c r="E442" s="8"/>
      <c r="F442" s="9"/>
      <c r="G442" s="8"/>
      <c r="H442" s="8"/>
      <c r="I442" s="8"/>
    </row>
    <row r="443" spans="1:9" ht="14.25" customHeight="1" x14ac:dyDescent="0.25">
      <c r="A443" s="8"/>
      <c r="B443" s="8"/>
      <c r="C443" s="8"/>
      <c r="D443" s="8"/>
      <c r="E443" s="8"/>
      <c r="F443" s="9"/>
      <c r="G443" s="8"/>
      <c r="H443" s="8"/>
      <c r="I443" s="8"/>
    </row>
    <row r="444" spans="1:9" ht="14.25" customHeight="1" x14ac:dyDescent="0.25">
      <c r="A444" s="8"/>
      <c r="B444" s="8"/>
      <c r="C444" s="8"/>
      <c r="D444" s="8"/>
      <c r="E444" s="8"/>
      <c r="F444" s="9"/>
      <c r="G444" s="8"/>
      <c r="H444" s="8"/>
      <c r="I444" s="8"/>
    </row>
    <row r="445" spans="1:9" ht="14.25" customHeight="1" x14ac:dyDescent="0.25">
      <c r="A445" s="8"/>
      <c r="B445" s="8"/>
      <c r="C445" s="8"/>
      <c r="D445" s="8"/>
      <c r="E445" s="8"/>
      <c r="F445" s="9"/>
      <c r="G445" s="8"/>
      <c r="H445" s="8"/>
      <c r="I445" s="8"/>
    </row>
    <row r="446" spans="1:9" ht="14.25" customHeight="1" x14ac:dyDescent="0.25">
      <c r="A446" s="8"/>
      <c r="B446" s="8"/>
      <c r="C446" s="8"/>
      <c r="D446" s="8"/>
      <c r="E446" s="8"/>
      <c r="F446" s="9"/>
      <c r="G446" s="8"/>
      <c r="H446" s="8"/>
      <c r="I446" s="8"/>
    </row>
    <row r="447" spans="1:9" ht="14.25" customHeight="1" x14ac:dyDescent="0.25">
      <c r="A447" s="8"/>
      <c r="B447" s="8"/>
      <c r="C447" s="8"/>
      <c r="D447" s="8"/>
      <c r="E447" s="8"/>
      <c r="F447" s="9"/>
      <c r="G447" s="8"/>
      <c r="H447" s="8"/>
      <c r="I447" s="8"/>
    </row>
    <row r="448" spans="1:9" ht="14.25" customHeight="1" x14ac:dyDescent="0.25">
      <c r="A448" s="8"/>
      <c r="B448" s="8"/>
      <c r="C448" s="8"/>
      <c r="D448" s="8"/>
      <c r="E448" s="8"/>
      <c r="F448" s="9"/>
      <c r="G448" s="8"/>
      <c r="H448" s="8"/>
      <c r="I448" s="8"/>
    </row>
    <row r="449" spans="1:9" ht="14.25" customHeight="1" x14ac:dyDescent="0.25">
      <c r="A449" s="8"/>
      <c r="B449" s="8"/>
      <c r="C449" s="8"/>
      <c r="D449" s="8"/>
      <c r="E449" s="8"/>
      <c r="F449" s="9"/>
      <c r="G449" s="8"/>
      <c r="H449" s="8"/>
      <c r="I449" s="8"/>
    </row>
    <row r="450" spans="1:9" ht="14.25" customHeight="1" x14ac:dyDescent="0.25">
      <c r="A450" s="8"/>
      <c r="B450" s="8"/>
      <c r="C450" s="8"/>
      <c r="D450" s="8"/>
      <c r="E450" s="8"/>
      <c r="F450" s="9"/>
      <c r="G450" s="8"/>
      <c r="H450" s="8"/>
      <c r="I450" s="8"/>
    </row>
    <row r="451" spans="1:9" ht="14.25" customHeight="1" x14ac:dyDescent="0.25">
      <c r="A451" s="8"/>
      <c r="B451" s="8"/>
      <c r="C451" s="8"/>
      <c r="D451" s="8"/>
      <c r="E451" s="8"/>
      <c r="F451" s="9"/>
      <c r="G451" s="8"/>
      <c r="H451" s="8"/>
      <c r="I451" s="8"/>
    </row>
    <row r="452" spans="1:9" ht="14.25" customHeight="1" x14ac:dyDescent="0.25">
      <c r="A452" s="8"/>
      <c r="B452" s="8"/>
      <c r="C452" s="8"/>
      <c r="D452" s="8"/>
      <c r="E452" s="8"/>
      <c r="F452" s="9"/>
      <c r="G452" s="8"/>
      <c r="H452" s="8"/>
      <c r="I452" s="8"/>
    </row>
    <row r="453" spans="1:9" ht="14.25" customHeight="1" x14ac:dyDescent="0.25">
      <c r="A453" s="8"/>
      <c r="B453" s="8"/>
      <c r="C453" s="8"/>
      <c r="D453" s="8"/>
      <c r="E453" s="8"/>
      <c r="F453" s="9"/>
      <c r="G453" s="8"/>
      <c r="H453" s="8"/>
      <c r="I453" s="8"/>
    </row>
    <row r="454" spans="1:9" ht="14.25" customHeight="1" x14ac:dyDescent="0.25">
      <c r="A454" s="8"/>
      <c r="B454" s="8"/>
      <c r="C454" s="8"/>
      <c r="D454" s="8"/>
      <c r="E454" s="8"/>
      <c r="F454" s="9"/>
      <c r="G454" s="8"/>
      <c r="H454" s="8"/>
      <c r="I454" s="8"/>
    </row>
    <row r="455" spans="1:9" ht="14.25" customHeight="1" x14ac:dyDescent="0.25">
      <c r="A455" s="8"/>
      <c r="B455" s="8"/>
      <c r="C455" s="8"/>
      <c r="D455" s="8"/>
      <c r="E455" s="8"/>
      <c r="F455" s="9"/>
      <c r="G455" s="8"/>
      <c r="H455" s="8"/>
      <c r="I455" s="8"/>
    </row>
    <row r="456" spans="1:9" ht="14.25" customHeight="1" x14ac:dyDescent="0.25">
      <c r="A456" s="8"/>
      <c r="B456" s="8"/>
      <c r="C456" s="8"/>
      <c r="D456" s="8"/>
      <c r="E456" s="8"/>
      <c r="F456" s="9"/>
      <c r="G456" s="8"/>
      <c r="H456" s="8"/>
      <c r="I456" s="8"/>
    </row>
    <row r="457" spans="1:9" ht="14.25" customHeight="1" x14ac:dyDescent="0.25">
      <c r="A457" s="8"/>
      <c r="B457" s="8"/>
      <c r="C457" s="8"/>
      <c r="D457" s="8"/>
      <c r="E457" s="8"/>
      <c r="F457" s="9"/>
      <c r="G457" s="8"/>
      <c r="H457" s="8"/>
      <c r="I457" s="8"/>
    </row>
    <row r="458" spans="1:9" ht="14.25" customHeight="1" x14ac:dyDescent="0.25">
      <c r="A458" s="8"/>
      <c r="B458" s="8"/>
      <c r="C458" s="8"/>
      <c r="D458" s="8"/>
      <c r="E458" s="8"/>
      <c r="F458" s="9"/>
      <c r="G458" s="8"/>
      <c r="H458" s="8"/>
      <c r="I458" s="8"/>
    </row>
    <row r="459" spans="1:9" ht="14.25" customHeight="1" x14ac:dyDescent="0.25">
      <c r="A459" s="8"/>
      <c r="B459" s="8"/>
      <c r="C459" s="8"/>
      <c r="D459" s="8"/>
      <c r="E459" s="8"/>
      <c r="F459" s="9"/>
      <c r="G459" s="8"/>
      <c r="H459" s="8"/>
      <c r="I459" s="8"/>
    </row>
    <row r="460" spans="1:9" ht="14.25" customHeight="1" x14ac:dyDescent="0.25">
      <c r="A460" s="8"/>
      <c r="B460" s="8"/>
      <c r="C460" s="8"/>
      <c r="D460" s="8"/>
      <c r="E460" s="8"/>
      <c r="F460" s="9"/>
      <c r="G460" s="8"/>
      <c r="H460" s="8"/>
      <c r="I460" s="8"/>
    </row>
    <row r="461" spans="1:9" ht="14.25" customHeight="1" x14ac:dyDescent="0.25">
      <c r="A461" s="8"/>
      <c r="B461" s="8"/>
      <c r="C461" s="8"/>
      <c r="D461" s="8"/>
      <c r="E461" s="8"/>
      <c r="F461" s="9"/>
      <c r="G461" s="8"/>
      <c r="H461" s="8"/>
      <c r="I461" s="8"/>
    </row>
    <row r="462" spans="1:9" ht="14.25" customHeight="1" x14ac:dyDescent="0.25">
      <c r="A462" s="8"/>
      <c r="B462" s="8"/>
      <c r="C462" s="8"/>
      <c r="D462" s="8"/>
      <c r="E462" s="8"/>
      <c r="F462" s="9"/>
      <c r="G462" s="8"/>
      <c r="H462" s="8"/>
      <c r="I462" s="8"/>
    </row>
    <row r="463" spans="1:9" ht="14.25" customHeight="1" x14ac:dyDescent="0.25">
      <c r="A463" s="8"/>
      <c r="B463" s="8"/>
      <c r="C463" s="8"/>
      <c r="D463" s="8"/>
      <c r="E463" s="8"/>
      <c r="F463" s="9"/>
      <c r="G463" s="8"/>
      <c r="H463" s="8"/>
      <c r="I463" s="8"/>
    </row>
    <row r="464" spans="1:9" ht="14.25" customHeight="1" x14ac:dyDescent="0.25">
      <c r="A464" s="8"/>
      <c r="B464" s="8"/>
      <c r="C464" s="8"/>
      <c r="D464" s="8"/>
      <c r="E464" s="8"/>
      <c r="F464" s="9"/>
      <c r="G464" s="8"/>
      <c r="H464" s="8"/>
      <c r="I464" s="8"/>
    </row>
    <row r="465" spans="1:9" ht="14.25" customHeight="1" x14ac:dyDescent="0.25">
      <c r="A465" s="8"/>
      <c r="B465" s="8"/>
      <c r="C465" s="8"/>
      <c r="D465" s="8"/>
      <c r="E465" s="8"/>
      <c r="F465" s="9"/>
      <c r="G465" s="8"/>
      <c r="H465" s="8"/>
      <c r="I465" s="8"/>
    </row>
    <row r="466" spans="1:9" ht="14.25" customHeight="1" x14ac:dyDescent="0.25">
      <c r="A466" s="8"/>
      <c r="B466" s="8"/>
      <c r="C466" s="8"/>
      <c r="D466" s="8"/>
      <c r="E466" s="8"/>
      <c r="F466" s="9"/>
      <c r="G466" s="8"/>
      <c r="H466" s="8"/>
      <c r="I466" s="8"/>
    </row>
    <row r="467" spans="1:9" ht="14.25" customHeight="1" x14ac:dyDescent="0.25">
      <c r="A467" s="8"/>
      <c r="B467" s="8"/>
      <c r="C467" s="8"/>
      <c r="D467" s="8"/>
      <c r="E467" s="8"/>
      <c r="F467" s="9"/>
      <c r="G467" s="8"/>
      <c r="H467" s="8"/>
      <c r="I467" s="8"/>
    </row>
    <row r="468" spans="1:9" ht="14.25" customHeight="1" x14ac:dyDescent="0.25">
      <c r="A468" s="8"/>
      <c r="B468" s="8"/>
      <c r="C468" s="8"/>
      <c r="D468" s="8"/>
      <c r="E468" s="8"/>
      <c r="F468" s="9"/>
      <c r="G468" s="8"/>
      <c r="H468" s="8"/>
      <c r="I468" s="8"/>
    </row>
    <row r="469" spans="1:9" ht="14.25" customHeight="1" x14ac:dyDescent="0.25">
      <c r="A469" s="8"/>
      <c r="B469" s="8"/>
      <c r="C469" s="8"/>
      <c r="D469" s="8"/>
      <c r="E469" s="8"/>
      <c r="F469" s="9"/>
      <c r="G469" s="8"/>
      <c r="H469" s="8"/>
      <c r="I469" s="8"/>
    </row>
    <row r="470" spans="1:9" ht="14.25" customHeight="1" x14ac:dyDescent="0.25">
      <c r="A470" s="8"/>
      <c r="B470" s="8"/>
      <c r="C470" s="8"/>
      <c r="D470" s="8"/>
      <c r="E470" s="8"/>
      <c r="F470" s="9"/>
      <c r="G470" s="8"/>
      <c r="H470" s="8"/>
      <c r="I470" s="8"/>
    </row>
    <row r="471" spans="1:9" ht="14.25" customHeight="1" x14ac:dyDescent="0.25">
      <c r="A471" s="8"/>
      <c r="B471" s="8"/>
      <c r="C471" s="8"/>
      <c r="D471" s="8"/>
      <c r="E471" s="8"/>
      <c r="F471" s="9"/>
      <c r="G471" s="8"/>
      <c r="H471" s="8"/>
      <c r="I471" s="8"/>
    </row>
    <row r="472" spans="1:9" ht="14.25" customHeight="1" x14ac:dyDescent="0.25">
      <c r="A472" s="8"/>
      <c r="B472" s="8"/>
      <c r="C472" s="8"/>
      <c r="D472" s="8"/>
      <c r="E472" s="8"/>
      <c r="F472" s="9"/>
      <c r="G472" s="8"/>
      <c r="H472" s="8"/>
      <c r="I472" s="8"/>
    </row>
    <row r="473" spans="1:9" ht="14.25" customHeight="1" x14ac:dyDescent="0.25">
      <c r="A473" s="8"/>
      <c r="B473" s="8"/>
      <c r="C473" s="8"/>
      <c r="D473" s="8"/>
      <c r="E473" s="8"/>
      <c r="F473" s="9"/>
      <c r="G473" s="8"/>
      <c r="H473" s="8"/>
      <c r="I473" s="8"/>
    </row>
    <row r="474" spans="1:9" ht="14.25" customHeight="1" x14ac:dyDescent="0.25">
      <c r="A474" s="8"/>
      <c r="B474" s="8"/>
      <c r="C474" s="8"/>
      <c r="D474" s="8"/>
      <c r="E474" s="8"/>
      <c r="F474" s="9"/>
      <c r="G474" s="8"/>
      <c r="H474" s="8"/>
      <c r="I474" s="8"/>
    </row>
    <row r="475" spans="1:9" ht="14.25" customHeight="1" x14ac:dyDescent="0.25">
      <c r="A475" s="8"/>
      <c r="B475" s="8"/>
      <c r="C475" s="8"/>
      <c r="D475" s="8"/>
      <c r="E475" s="8"/>
      <c r="F475" s="9"/>
      <c r="G475" s="8"/>
      <c r="H475" s="8"/>
      <c r="I475" s="8"/>
    </row>
    <row r="476" spans="1:9" ht="14.25" customHeight="1" x14ac:dyDescent="0.25">
      <c r="A476" s="8"/>
      <c r="B476" s="8"/>
      <c r="C476" s="8"/>
      <c r="D476" s="8"/>
      <c r="E476" s="8"/>
      <c r="F476" s="9"/>
      <c r="G476" s="8"/>
      <c r="H476" s="8"/>
      <c r="I476" s="8"/>
    </row>
    <row r="477" spans="1:9" ht="14.25" customHeight="1" x14ac:dyDescent="0.25">
      <c r="A477" s="8"/>
      <c r="B477" s="8"/>
      <c r="C477" s="8"/>
      <c r="D477" s="8"/>
      <c r="E477" s="8"/>
      <c r="F477" s="9"/>
      <c r="G477" s="8"/>
      <c r="H477" s="8"/>
      <c r="I477" s="8"/>
    </row>
    <row r="478" spans="1:9" ht="14.25" customHeight="1" x14ac:dyDescent="0.25">
      <c r="A478" s="8"/>
      <c r="B478" s="8"/>
      <c r="C478" s="8"/>
      <c r="D478" s="8"/>
      <c r="E478" s="8"/>
      <c r="F478" s="9"/>
      <c r="G478" s="8"/>
      <c r="H478" s="8"/>
      <c r="I478" s="8"/>
    </row>
    <row r="479" spans="1:9" ht="14.25" customHeight="1" x14ac:dyDescent="0.25">
      <c r="A479" s="8"/>
      <c r="B479" s="8"/>
      <c r="C479" s="8"/>
      <c r="D479" s="8"/>
      <c r="E479" s="8"/>
      <c r="F479" s="9"/>
      <c r="G479" s="8"/>
      <c r="H479" s="8"/>
      <c r="I479" s="8"/>
    </row>
    <row r="480" spans="1:9" ht="14.25" customHeight="1" x14ac:dyDescent="0.25">
      <c r="A480" s="8"/>
      <c r="B480" s="8"/>
      <c r="C480" s="8"/>
      <c r="D480" s="8"/>
      <c r="E480" s="8"/>
      <c r="F480" s="9"/>
      <c r="G480" s="8"/>
      <c r="H480" s="8"/>
      <c r="I480" s="8"/>
    </row>
    <row r="481" spans="1:9" ht="14.25" customHeight="1" x14ac:dyDescent="0.25">
      <c r="A481" s="8"/>
      <c r="B481" s="8"/>
      <c r="C481" s="8"/>
      <c r="D481" s="8"/>
      <c r="E481" s="8"/>
      <c r="F481" s="9"/>
      <c r="G481" s="8"/>
      <c r="H481" s="8"/>
      <c r="I481" s="8"/>
    </row>
    <row r="482" spans="1:9" ht="14.25" customHeight="1" x14ac:dyDescent="0.25">
      <c r="A482" s="8"/>
      <c r="B482" s="8"/>
      <c r="C482" s="8"/>
      <c r="D482" s="8"/>
      <c r="E482" s="8"/>
      <c r="F482" s="9"/>
      <c r="G482" s="8"/>
      <c r="H482" s="8"/>
      <c r="I482" s="8"/>
    </row>
    <row r="483" spans="1:9" ht="14.25" customHeight="1" x14ac:dyDescent="0.25">
      <c r="A483" s="8"/>
      <c r="B483" s="8"/>
      <c r="C483" s="8"/>
      <c r="D483" s="8"/>
      <c r="E483" s="8"/>
      <c r="F483" s="9"/>
      <c r="G483" s="8"/>
      <c r="H483" s="8"/>
      <c r="I483" s="8"/>
    </row>
    <row r="484" spans="1:9" ht="14.25" customHeight="1" x14ac:dyDescent="0.25">
      <c r="A484" s="8"/>
      <c r="B484" s="8"/>
      <c r="C484" s="8"/>
      <c r="D484" s="8"/>
      <c r="E484" s="8"/>
      <c r="F484" s="9"/>
      <c r="G484" s="8"/>
      <c r="H484" s="8"/>
      <c r="I484" s="8"/>
    </row>
    <row r="485" spans="1:9" ht="14.25" customHeight="1" x14ac:dyDescent="0.25">
      <c r="A485" s="8"/>
      <c r="B485" s="8"/>
      <c r="C485" s="8"/>
      <c r="D485" s="8"/>
      <c r="E485" s="8"/>
      <c r="F485" s="9"/>
      <c r="G485" s="8"/>
      <c r="H485" s="8"/>
      <c r="I485" s="8"/>
    </row>
    <row r="486" spans="1:9" ht="14.25" customHeight="1" x14ac:dyDescent="0.25">
      <c r="A486" s="8"/>
      <c r="B486" s="8"/>
      <c r="C486" s="8"/>
      <c r="D486" s="8"/>
      <c r="E486" s="8"/>
      <c r="F486" s="9"/>
      <c r="G486" s="8"/>
      <c r="H486" s="8"/>
      <c r="I486" s="8"/>
    </row>
    <row r="487" spans="1:9" ht="14.25" customHeight="1" x14ac:dyDescent="0.25">
      <c r="A487" s="8"/>
      <c r="B487" s="8"/>
      <c r="C487" s="8"/>
      <c r="D487" s="8"/>
      <c r="E487" s="8"/>
      <c r="F487" s="9"/>
      <c r="G487" s="8"/>
      <c r="H487" s="8"/>
      <c r="I487" s="8"/>
    </row>
    <row r="488" spans="1:9" ht="14.25" customHeight="1" x14ac:dyDescent="0.25">
      <c r="A488" s="8"/>
      <c r="B488" s="8"/>
      <c r="C488" s="8"/>
      <c r="D488" s="8"/>
      <c r="E488" s="8"/>
      <c r="F488" s="9"/>
      <c r="G488" s="8"/>
      <c r="H488" s="8"/>
      <c r="I488" s="8"/>
    </row>
    <row r="489" spans="1:9" ht="14.25" customHeight="1" x14ac:dyDescent="0.25">
      <c r="A489" s="8"/>
      <c r="B489" s="8"/>
      <c r="C489" s="8"/>
      <c r="D489" s="8"/>
      <c r="E489" s="8"/>
      <c r="F489" s="9"/>
      <c r="G489" s="8"/>
      <c r="H489" s="8"/>
      <c r="I489" s="8"/>
    </row>
    <row r="490" spans="1:9" ht="14.25" customHeight="1" x14ac:dyDescent="0.25">
      <c r="A490" s="8"/>
      <c r="B490" s="8"/>
      <c r="C490" s="8"/>
      <c r="D490" s="8"/>
      <c r="E490" s="8"/>
      <c r="F490" s="9"/>
      <c r="G490" s="8"/>
      <c r="H490" s="8"/>
      <c r="I490" s="8"/>
    </row>
    <row r="491" spans="1:9" ht="14.25" customHeight="1" x14ac:dyDescent="0.25">
      <c r="A491" s="8"/>
      <c r="B491" s="8"/>
      <c r="C491" s="8"/>
      <c r="D491" s="8"/>
      <c r="E491" s="8"/>
      <c r="F491" s="9"/>
      <c r="G491" s="8"/>
      <c r="H491" s="8"/>
      <c r="I491" s="8"/>
    </row>
    <row r="492" spans="1:9" ht="14.25" customHeight="1" x14ac:dyDescent="0.25">
      <c r="A492" s="8"/>
      <c r="B492" s="8"/>
      <c r="C492" s="8"/>
      <c r="D492" s="8"/>
      <c r="E492" s="8"/>
      <c r="F492" s="9"/>
      <c r="G492" s="8"/>
      <c r="H492" s="8"/>
      <c r="I492" s="8"/>
    </row>
    <row r="493" spans="1:9" ht="14.25" customHeight="1" x14ac:dyDescent="0.25">
      <c r="A493" s="8"/>
      <c r="B493" s="8"/>
      <c r="C493" s="8"/>
      <c r="D493" s="8"/>
      <c r="E493" s="8"/>
      <c r="F493" s="9"/>
      <c r="G493" s="8"/>
      <c r="H493" s="8"/>
      <c r="I493" s="8"/>
    </row>
    <row r="494" spans="1:9" ht="14.25" customHeight="1" x14ac:dyDescent="0.25">
      <c r="A494" s="8"/>
      <c r="B494" s="8"/>
      <c r="C494" s="8"/>
      <c r="D494" s="8"/>
      <c r="E494" s="8"/>
      <c r="F494" s="9"/>
      <c r="G494" s="8"/>
      <c r="H494" s="8"/>
      <c r="I494" s="8"/>
    </row>
    <row r="495" spans="1:9" ht="14.25" customHeight="1" x14ac:dyDescent="0.25">
      <c r="A495" s="8"/>
      <c r="B495" s="8"/>
      <c r="C495" s="8"/>
      <c r="D495" s="8"/>
      <c r="E495" s="8"/>
      <c r="F495" s="9"/>
      <c r="G495" s="8"/>
      <c r="H495" s="8"/>
      <c r="I495" s="8"/>
    </row>
    <row r="496" spans="1:9" ht="14.25" customHeight="1" x14ac:dyDescent="0.25">
      <c r="A496" s="8"/>
      <c r="B496" s="8"/>
      <c r="C496" s="8"/>
      <c r="D496" s="8"/>
      <c r="E496" s="8"/>
      <c r="F496" s="9"/>
      <c r="G496" s="8"/>
      <c r="H496" s="8"/>
      <c r="I496" s="8"/>
    </row>
    <row r="497" spans="1:9" ht="14.25" customHeight="1" x14ac:dyDescent="0.25">
      <c r="A497" s="8"/>
      <c r="B497" s="8"/>
      <c r="C497" s="8"/>
      <c r="D497" s="8"/>
      <c r="E497" s="8"/>
      <c r="F497" s="9"/>
      <c r="G497" s="8"/>
      <c r="H497" s="8"/>
      <c r="I497" s="8"/>
    </row>
    <row r="498" spans="1:9" ht="14.25" customHeight="1" x14ac:dyDescent="0.25">
      <c r="A498" s="8"/>
      <c r="B498" s="8"/>
      <c r="C498" s="8"/>
      <c r="D498" s="8"/>
      <c r="E498" s="8"/>
      <c r="F498" s="9"/>
      <c r="G498" s="8"/>
      <c r="H498" s="8"/>
      <c r="I498" s="8"/>
    </row>
    <row r="499" spans="1:9" ht="14.25" customHeight="1" x14ac:dyDescent="0.25">
      <c r="A499" s="8"/>
      <c r="B499" s="8"/>
      <c r="C499" s="8"/>
      <c r="D499" s="8"/>
      <c r="E499" s="8"/>
      <c r="F499" s="9"/>
      <c r="G499" s="8"/>
      <c r="H499" s="8"/>
      <c r="I499" s="8"/>
    </row>
    <row r="500" spans="1:9" ht="14.25" customHeight="1" x14ac:dyDescent="0.25">
      <c r="A500" s="8"/>
      <c r="B500" s="8"/>
      <c r="C500" s="8"/>
      <c r="D500" s="8"/>
      <c r="E500" s="8"/>
      <c r="F500" s="9"/>
      <c r="G500" s="8"/>
      <c r="H500" s="8"/>
      <c r="I500" s="8"/>
    </row>
    <row r="501" spans="1:9" ht="14.25" customHeight="1" x14ac:dyDescent="0.25">
      <c r="A501" s="8"/>
      <c r="B501" s="8"/>
      <c r="C501" s="8"/>
      <c r="D501" s="8"/>
      <c r="E501" s="8"/>
      <c r="F501" s="9"/>
      <c r="G501" s="8"/>
      <c r="H501" s="8"/>
      <c r="I501" s="8"/>
    </row>
    <row r="502" spans="1:9" ht="14.25" customHeight="1" x14ac:dyDescent="0.25">
      <c r="A502" s="8"/>
      <c r="B502" s="8"/>
      <c r="C502" s="8"/>
      <c r="D502" s="8"/>
      <c r="E502" s="8"/>
      <c r="F502" s="9"/>
      <c r="G502" s="8"/>
      <c r="H502" s="8"/>
      <c r="I502" s="8"/>
    </row>
    <row r="503" spans="1:9" ht="14.25" customHeight="1" x14ac:dyDescent="0.25">
      <c r="A503" s="8"/>
      <c r="B503" s="8"/>
      <c r="C503" s="8"/>
      <c r="D503" s="8"/>
      <c r="E503" s="8"/>
      <c r="F503" s="9"/>
      <c r="G503" s="8"/>
      <c r="H503" s="8"/>
      <c r="I503" s="8"/>
    </row>
    <row r="504" spans="1:9" ht="14.25" customHeight="1" x14ac:dyDescent="0.25">
      <c r="A504" s="8"/>
      <c r="B504" s="8"/>
      <c r="C504" s="8"/>
      <c r="D504" s="8"/>
      <c r="E504" s="8"/>
      <c r="F504" s="9"/>
      <c r="G504" s="8"/>
      <c r="H504" s="8"/>
      <c r="I504" s="8"/>
    </row>
    <row r="505" spans="1:9" ht="14.25" customHeight="1" x14ac:dyDescent="0.25">
      <c r="A505" s="8"/>
      <c r="B505" s="8"/>
      <c r="C505" s="8"/>
      <c r="D505" s="8"/>
      <c r="E505" s="8"/>
      <c r="F505" s="9"/>
      <c r="G505" s="8"/>
      <c r="H505" s="8"/>
      <c r="I505" s="8"/>
    </row>
    <row r="506" spans="1:9" ht="14.25" customHeight="1" x14ac:dyDescent="0.25">
      <c r="A506" s="8"/>
      <c r="B506" s="8"/>
      <c r="C506" s="8"/>
      <c r="D506" s="8"/>
      <c r="E506" s="8"/>
      <c r="F506" s="9"/>
      <c r="G506" s="8"/>
      <c r="H506" s="8"/>
      <c r="I506" s="8"/>
    </row>
    <row r="507" spans="1:9" ht="14.25" customHeight="1" x14ac:dyDescent="0.25">
      <c r="A507" s="8"/>
      <c r="B507" s="8"/>
      <c r="C507" s="8"/>
      <c r="D507" s="8"/>
      <c r="E507" s="8"/>
      <c r="F507" s="9"/>
      <c r="G507" s="8"/>
      <c r="H507" s="8"/>
      <c r="I507" s="8"/>
    </row>
    <row r="508" spans="1:9" ht="14.25" customHeight="1" x14ac:dyDescent="0.25">
      <c r="A508" s="8"/>
      <c r="B508" s="8"/>
      <c r="C508" s="8"/>
      <c r="D508" s="8"/>
      <c r="E508" s="8"/>
      <c r="F508" s="9"/>
      <c r="G508" s="8"/>
      <c r="H508" s="8"/>
      <c r="I508" s="8"/>
    </row>
    <row r="509" spans="1:9" ht="14.25" customHeight="1" x14ac:dyDescent="0.25">
      <c r="A509" s="8"/>
      <c r="B509" s="8"/>
      <c r="C509" s="8"/>
      <c r="D509" s="8"/>
      <c r="E509" s="8"/>
      <c r="F509" s="9"/>
      <c r="G509" s="8"/>
      <c r="H509" s="8"/>
      <c r="I509" s="8"/>
    </row>
    <row r="510" spans="1:9" ht="14.25" customHeight="1" x14ac:dyDescent="0.25">
      <c r="A510" s="8"/>
      <c r="B510" s="8"/>
      <c r="C510" s="8"/>
      <c r="D510" s="8"/>
      <c r="E510" s="8"/>
      <c r="F510" s="9"/>
      <c r="G510" s="8"/>
      <c r="H510" s="8"/>
      <c r="I510" s="8"/>
    </row>
    <row r="511" spans="1:9" ht="14.25" customHeight="1" x14ac:dyDescent="0.25">
      <c r="A511" s="8"/>
      <c r="B511" s="8"/>
      <c r="C511" s="8"/>
      <c r="D511" s="8"/>
      <c r="E511" s="8"/>
      <c r="F511" s="9"/>
      <c r="G511" s="8"/>
      <c r="H511" s="8"/>
      <c r="I511" s="8"/>
    </row>
    <row r="512" spans="1:9" ht="14.25" customHeight="1" x14ac:dyDescent="0.25">
      <c r="A512" s="8"/>
      <c r="B512" s="8"/>
      <c r="C512" s="8"/>
      <c r="D512" s="8"/>
      <c r="E512" s="8"/>
      <c r="F512" s="9"/>
      <c r="G512" s="8"/>
      <c r="H512" s="8"/>
      <c r="I512" s="8"/>
    </row>
    <row r="513" spans="1:9" ht="14.25" customHeight="1" x14ac:dyDescent="0.25">
      <c r="A513" s="8"/>
      <c r="B513" s="8"/>
      <c r="C513" s="8"/>
      <c r="D513" s="8"/>
      <c r="E513" s="8"/>
      <c r="F513" s="9"/>
      <c r="G513" s="8"/>
      <c r="H513" s="8"/>
      <c r="I513" s="8"/>
    </row>
    <row r="514" spans="1:9" ht="14.25" customHeight="1" x14ac:dyDescent="0.25">
      <c r="A514" s="8"/>
      <c r="B514" s="8"/>
      <c r="C514" s="8"/>
      <c r="D514" s="8"/>
      <c r="E514" s="8"/>
      <c r="F514" s="9"/>
      <c r="G514" s="8"/>
      <c r="H514" s="8"/>
      <c r="I514" s="8"/>
    </row>
    <row r="515" spans="1:9" ht="14.25" customHeight="1" x14ac:dyDescent="0.25">
      <c r="A515" s="8"/>
      <c r="B515" s="8"/>
      <c r="C515" s="8"/>
      <c r="D515" s="8"/>
      <c r="E515" s="8"/>
      <c r="F515" s="9"/>
      <c r="G515" s="8"/>
      <c r="H515" s="8"/>
      <c r="I515" s="8"/>
    </row>
    <row r="516" spans="1:9" ht="14.25" customHeight="1" x14ac:dyDescent="0.25">
      <c r="A516" s="8"/>
      <c r="B516" s="8"/>
      <c r="C516" s="8"/>
      <c r="D516" s="8"/>
      <c r="E516" s="8"/>
      <c r="F516" s="9"/>
      <c r="G516" s="8"/>
      <c r="H516" s="8"/>
      <c r="I516" s="8"/>
    </row>
    <row r="517" spans="1:9" ht="14.25" customHeight="1" x14ac:dyDescent="0.25">
      <c r="A517" s="8"/>
      <c r="B517" s="8"/>
      <c r="C517" s="8"/>
      <c r="D517" s="8"/>
      <c r="E517" s="8"/>
      <c r="F517" s="9"/>
      <c r="G517" s="8"/>
      <c r="H517" s="8"/>
      <c r="I517" s="8"/>
    </row>
    <row r="518" spans="1:9" ht="14.25" customHeight="1" x14ac:dyDescent="0.25">
      <c r="A518" s="8"/>
      <c r="B518" s="8"/>
      <c r="C518" s="8"/>
      <c r="D518" s="8"/>
      <c r="E518" s="8"/>
      <c r="F518" s="9"/>
      <c r="G518" s="8"/>
      <c r="H518" s="8"/>
      <c r="I518" s="8"/>
    </row>
    <row r="519" spans="1:9" ht="14.25" customHeight="1" x14ac:dyDescent="0.25">
      <c r="A519" s="8"/>
      <c r="B519" s="8"/>
      <c r="C519" s="8"/>
      <c r="D519" s="8"/>
      <c r="E519" s="8"/>
      <c r="F519" s="9"/>
      <c r="G519" s="8"/>
      <c r="H519" s="8"/>
      <c r="I519" s="8"/>
    </row>
    <row r="520" spans="1:9" ht="14.25" customHeight="1" x14ac:dyDescent="0.25">
      <c r="A520" s="8"/>
      <c r="B520" s="8"/>
      <c r="C520" s="8"/>
      <c r="D520" s="8"/>
      <c r="E520" s="8"/>
      <c r="F520" s="9"/>
      <c r="G520" s="8"/>
      <c r="H520" s="8"/>
      <c r="I520" s="8"/>
    </row>
    <row r="521" spans="1:9" ht="14.25" customHeight="1" x14ac:dyDescent="0.25">
      <c r="A521" s="8"/>
      <c r="B521" s="8"/>
      <c r="C521" s="8"/>
      <c r="D521" s="8"/>
      <c r="E521" s="8"/>
      <c r="F521" s="9"/>
      <c r="G521" s="8"/>
      <c r="H521" s="8"/>
      <c r="I521" s="8"/>
    </row>
    <row r="522" spans="1:9" ht="14.25" customHeight="1" x14ac:dyDescent="0.25">
      <c r="A522" s="8"/>
      <c r="B522" s="8"/>
      <c r="C522" s="8"/>
      <c r="D522" s="8"/>
      <c r="E522" s="8"/>
      <c r="F522" s="9"/>
      <c r="G522" s="8"/>
      <c r="H522" s="8"/>
      <c r="I522" s="8"/>
    </row>
    <row r="523" spans="1:9" ht="14.25" customHeight="1" x14ac:dyDescent="0.25">
      <c r="A523" s="8"/>
      <c r="B523" s="8"/>
      <c r="C523" s="8"/>
      <c r="D523" s="8"/>
      <c r="E523" s="8"/>
      <c r="F523" s="9"/>
      <c r="G523" s="8"/>
      <c r="H523" s="8"/>
      <c r="I523" s="8"/>
    </row>
    <row r="524" spans="1:9" ht="14.25" customHeight="1" x14ac:dyDescent="0.25">
      <c r="A524" s="8"/>
      <c r="B524" s="8"/>
      <c r="C524" s="8"/>
      <c r="D524" s="8"/>
      <c r="E524" s="8"/>
      <c r="F524" s="9"/>
      <c r="G524" s="8"/>
      <c r="H524" s="8"/>
      <c r="I524" s="8"/>
    </row>
    <row r="525" spans="1:9" ht="14.25" customHeight="1" x14ac:dyDescent="0.25">
      <c r="A525" s="8"/>
      <c r="B525" s="8"/>
      <c r="C525" s="8"/>
      <c r="D525" s="8"/>
      <c r="E525" s="8"/>
      <c r="F525" s="9"/>
      <c r="G525" s="8"/>
      <c r="H525" s="8"/>
      <c r="I525" s="8"/>
    </row>
    <row r="526" spans="1:9" ht="14.25" customHeight="1" x14ac:dyDescent="0.25">
      <c r="A526" s="8"/>
      <c r="B526" s="8"/>
      <c r="C526" s="8"/>
      <c r="D526" s="8"/>
      <c r="E526" s="8"/>
      <c r="F526" s="9"/>
      <c r="G526" s="8"/>
      <c r="H526" s="8"/>
      <c r="I526" s="8"/>
    </row>
    <row r="527" spans="1:9" ht="14.25" customHeight="1" x14ac:dyDescent="0.25">
      <c r="A527" s="8"/>
      <c r="B527" s="8"/>
      <c r="C527" s="8"/>
      <c r="D527" s="8"/>
      <c r="E527" s="8"/>
      <c r="F527" s="9"/>
      <c r="G527" s="8"/>
      <c r="H527" s="8"/>
      <c r="I527" s="8"/>
    </row>
    <row r="528" spans="1:9" ht="14.25" customHeight="1" x14ac:dyDescent="0.25">
      <c r="A528" s="8"/>
      <c r="B528" s="8"/>
      <c r="C528" s="8"/>
      <c r="D528" s="8"/>
      <c r="E528" s="8"/>
      <c r="F528" s="9"/>
      <c r="G528" s="8"/>
      <c r="H528" s="8"/>
      <c r="I528" s="8"/>
    </row>
    <row r="529" spans="1:9" ht="14.25" customHeight="1" x14ac:dyDescent="0.25">
      <c r="A529" s="8"/>
      <c r="B529" s="8"/>
      <c r="C529" s="8"/>
      <c r="D529" s="8"/>
      <c r="E529" s="8"/>
      <c r="F529" s="9"/>
      <c r="G529" s="8"/>
      <c r="H529" s="8"/>
      <c r="I529" s="8"/>
    </row>
    <row r="530" spans="1:9" ht="14.25" customHeight="1" x14ac:dyDescent="0.25">
      <c r="A530" s="8"/>
      <c r="B530" s="8"/>
      <c r="C530" s="8"/>
      <c r="D530" s="8"/>
      <c r="E530" s="8"/>
      <c r="F530" s="9"/>
      <c r="G530" s="8"/>
      <c r="H530" s="8"/>
      <c r="I530" s="8"/>
    </row>
    <row r="531" spans="1:9" ht="14.25" customHeight="1" x14ac:dyDescent="0.25">
      <c r="A531" s="8"/>
      <c r="B531" s="8"/>
      <c r="C531" s="8"/>
      <c r="D531" s="8"/>
      <c r="E531" s="8"/>
      <c r="F531" s="9"/>
      <c r="G531" s="8"/>
      <c r="H531" s="8"/>
      <c r="I531" s="8"/>
    </row>
    <row r="532" spans="1:9" ht="14.25" customHeight="1" x14ac:dyDescent="0.25">
      <c r="A532" s="8"/>
      <c r="B532" s="8"/>
      <c r="C532" s="8"/>
      <c r="D532" s="8"/>
      <c r="E532" s="8"/>
      <c r="F532" s="9"/>
      <c r="G532" s="8"/>
      <c r="H532" s="8"/>
      <c r="I532" s="8"/>
    </row>
    <row r="533" spans="1:9" ht="14.25" customHeight="1" x14ac:dyDescent="0.25">
      <c r="A533" s="8"/>
      <c r="B533" s="8"/>
      <c r="C533" s="8"/>
      <c r="D533" s="8"/>
      <c r="E533" s="8"/>
      <c r="F533" s="9"/>
      <c r="G533" s="8"/>
      <c r="H533" s="8"/>
      <c r="I533" s="8"/>
    </row>
    <row r="534" spans="1:9" ht="14.25" customHeight="1" x14ac:dyDescent="0.25">
      <c r="A534" s="8"/>
      <c r="B534" s="8"/>
      <c r="C534" s="8"/>
      <c r="D534" s="8"/>
      <c r="E534" s="8"/>
      <c r="F534" s="9"/>
      <c r="G534" s="8"/>
      <c r="H534" s="8"/>
      <c r="I534" s="8"/>
    </row>
    <row r="535" spans="1:9" ht="14.25" customHeight="1" x14ac:dyDescent="0.25">
      <c r="A535" s="8"/>
      <c r="B535" s="8"/>
      <c r="C535" s="8"/>
      <c r="D535" s="8"/>
      <c r="E535" s="8"/>
      <c r="F535" s="9"/>
      <c r="G535" s="8"/>
      <c r="H535" s="8"/>
      <c r="I535" s="8"/>
    </row>
    <row r="536" spans="1:9" ht="14.25" customHeight="1" x14ac:dyDescent="0.25">
      <c r="A536" s="8"/>
      <c r="B536" s="8"/>
      <c r="C536" s="8"/>
      <c r="D536" s="8"/>
      <c r="E536" s="8"/>
      <c r="F536" s="9"/>
      <c r="G536" s="8"/>
      <c r="H536" s="8"/>
      <c r="I536" s="8"/>
    </row>
    <row r="537" spans="1:9" ht="14.25" customHeight="1" x14ac:dyDescent="0.25">
      <c r="A537" s="8"/>
      <c r="B537" s="8"/>
      <c r="C537" s="8"/>
      <c r="D537" s="8"/>
      <c r="E537" s="8"/>
      <c r="F537" s="9"/>
      <c r="G537" s="8"/>
      <c r="H537" s="8"/>
      <c r="I537" s="8"/>
    </row>
    <row r="538" spans="1:9" ht="14.25" customHeight="1" x14ac:dyDescent="0.25">
      <c r="A538" s="8"/>
      <c r="B538" s="8"/>
      <c r="C538" s="8"/>
      <c r="D538" s="8"/>
      <c r="E538" s="8"/>
      <c r="F538" s="9"/>
      <c r="G538" s="8"/>
      <c r="H538" s="8"/>
      <c r="I538" s="8"/>
    </row>
    <row r="539" spans="1:9" ht="14.25" customHeight="1" x14ac:dyDescent="0.25">
      <c r="A539" s="8"/>
      <c r="B539" s="8"/>
      <c r="C539" s="8"/>
      <c r="D539" s="8"/>
      <c r="E539" s="8"/>
      <c r="F539" s="9"/>
      <c r="G539" s="8"/>
      <c r="H539" s="8"/>
      <c r="I539" s="8"/>
    </row>
    <row r="540" spans="1:9" ht="14.25" customHeight="1" x14ac:dyDescent="0.25">
      <c r="A540" s="8"/>
      <c r="B540" s="8"/>
      <c r="C540" s="8"/>
      <c r="D540" s="8"/>
      <c r="E540" s="8"/>
      <c r="F540" s="9"/>
      <c r="G540" s="8"/>
      <c r="H540" s="8"/>
      <c r="I540" s="8"/>
    </row>
    <row r="541" spans="1:9" ht="14.25" customHeight="1" x14ac:dyDescent="0.25">
      <c r="A541" s="8"/>
      <c r="B541" s="8"/>
      <c r="C541" s="8"/>
      <c r="D541" s="8"/>
      <c r="E541" s="8"/>
      <c r="F541" s="9"/>
      <c r="G541" s="8"/>
      <c r="H541" s="8"/>
      <c r="I541" s="8"/>
    </row>
    <row r="542" spans="1:9" ht="14.25" customHeight="1" x14ac:dyDescent="0.25">
      <c r="A542" s="8"/>
      <c r="B542" s="8"/>
      <c r="C542" s="8"/>
      <c r="D542" s="8"/>
      <c r="E542" s="8"/>
      <c r="F542" s="9"/>
      <c r="G542" s="8"/>
      <c r="H542" s="8"/>
      <c r="I542" s="8"/>
    </row>
    <row r="543" spans="1:9" ht="14.25" customHeight="1" x14ac:dyDescent="0.25">
      <c r="A543" s="8"/>
      <c r="B543" s="8"/>
      <c r="C543" s="8"/>
      <c r="D543" s="8"/>
      <c r="E543" s="8"/>
      <c r="F543" s="9"/>
      <c r="G543" s="8"/>
      <c r="H543" s="8"/>
      <c r="I543" s="8"/>
    </row>
    <row r="544" spans="1:9" ht="14.25" customHeight="1" x14ac:dyDescent="0.25">
      <c r="A544" s="8"/>
      <c r="B544" s="8"/>
      <c r="C544" s="8"/>
      <c r="D544" s="8"/>
      <c r="E544" s="8"/>
      <c r="F544" s="9"/>
      <c r="G544" s="8"/>
      <c r="H544" s="8"/>
      <c r="I544" s="8"/>
    </row>
    <row r="545" spans="1:9" ht="14.25" customHeight="1" x14ac:dyDescent="0.25">
      <c r="A545" s="8"/>
      <c r="B545" s="8"/>
      <c r="C545" s="8"/>
      <c r="D545" s="8"/>
      <c r="E545" s="8"/>
      <c r="F545" s="9"/>
      <c r="G545" s="8"/>
      <c r="H545" s="8"/>
      <c r="I545" s="8"/>
    </row>
    <row r="546" spans="1:9" ht="14.25" customHeight="1" x14ac:dyDescent="0.25">
      <c r="A546" s="8"/>
      <c r="B546" s="8"/>
      <c r="C546" s="8"/>
      <c r="D546" s="8"/>
      <c r="E546" s="8"/>
      <c r="F546" s="9"/>
      <c r="G546" s="8"/>
      <c r="H546" s="8"/>
      <c r="I546" s="8"/>
    </row>
    <row r="547" spans="1:9" ht="14.25" customHeight="1" x14ac:dyDescent="0.25">
      <c r="A547" s="8"/>
      <c r="B547" s="8"/>
      <c r="C547" s="8"/>
      <c r="D547" s="8"/>
      <c r="E547" s="8"/>
      <c r="F547" s="9"/>
      <c r="G547" s="8"/>
      <c r="H547" s="8"/>
      <c r="I547" s="8"/>
    </row>
    <row r="548" spans="1:9" ht="14.25" customHeight="1" x14ac:dyDescent="0.25">
      <c r="A548" s="8"/>
      <c r="B548" s="8"/>
      <c r="C548" s="8"/>
      <c r="D548" s="8"/>
      <c r="E548" s="8"/>
      <c r="F548" s="9"/>
      <c r="G548" s="8"/>
      <c r="H548" s="8"/>
      <c r="I548" s="8"/>
    </row>
    <row r="549" spans="1:9" ht="14.25" customHeight="1" x14ac:dyDescent="0.25">
      <c r="A549" s="8"/>
      <c r="B549" s="8"/>
      <c r="C549" s="8"/>
      <c r="D549" s="8"/>
      <c r="E549" s="8"/>
      <c r="F549" s="9"/>
      <c r="G549" s="8"/>
      <c r="H549" s="8"/>
      <c r="I549" s="8"/>
    </row>
    <row r="550" spans="1:9" ht="14.25" customHeight="1" x14ac:dyDescent="0.25">
      <c r="A550" s="8"/>
      <c r="B550" s="8"/>
      <c r="C550" s="8"/>
      <c r="D550" s="8"/>
      <c r="E550" s="8"/>
      <c r="F550" s="9"/>
      <c r="G550" s="8"/>
      <c r="H550" s="8"/>
      <c r="I550" s="8"/>
    </row>
    <row r="551" spans="1:9" ht="14.25" customHeight="1" x14ac:dyDescent="0.25">
      <c r="A551" s="8"/>
      <c r="B551" s="8"/>
      <c r="C551" s="8"/>
      <c r="D551" s="8"/>
      <c r="E551" s="8"/>
      <c r="F551" s="9"/>
      <c r="G551" s="8"/>
      <c r="H551" s="8"/>
      <c r="I551" s="8"/>
    </row>
    <row r="552" spans="1:9" ht="14.25" customHeight="1" x14ac:dyDescent="0.25">
      <c r="A552" s="8"/>
      <c r="B552" s="8"/>
      <c r="C552" s="8"/>
      <c r="D552" s="8"/>
      <c r="E552" s="8"/>
      <c r="F552" s="9"/>
      <c r="G552" s="8"/>
      <c r="H552" s="8"/>
      <c r="I552" s="8"/>
    </row>
    <row r="553" spans="1:9" ht="14.25" customHeight="1" x14ac:dyDescent="0.25">
      <c r="A553" s="8"/>
      <c r="B553" s="8"/>
      <c r="C553" s="8"/>
      <c r="D553" s="8"/>
      <c r="E553" s="8"/>
      <c r="F553" s="9"/>
      <c r="G553" s="8"/>
      <c r="H553" s="8"/>
      <c r="I553" s="8"/>
    </row>
    <row r="554" spans="1:9" ht="14.25" customHeight="1" x14ac:dyDescent="0.25">
      <c r="A554" s="8"/>
      <c r="B554" s="8"/>
      <c r="C554" s="8"/>
      <c r="D554" s="8"/>
      <c r="E554" s="8"/>
      <c r="F554" s="9"/>
      <c r="G554" s="8"/>
      <c r="H554" s="8"/>
      <c r="I554" s="8"/>
    </row>
    <row r="555" spans="1:9" ht="14.25" customHeight="1" x14ac:dyDescent="0.25">
      <c r="A555" s="8"/>
      <c r="B555" s="8"/>
      <c r="C555" s="8"/>
      <c r="D555" s="8"/>
      <c r="E555" s="8"/>
      <c r="F555" s="9"/>
      <c r="G555" s="8"/>
      <c r="H555" s="8"/>
      <c r="I555" s="8"/>
    </row>
    <row r="556" spans="1:9" ht="14.25" customHeight="1" x14ac:dyDescent="0.25">
      <c r="A556" s="8"/>
      <c r="B556" s="8"/>
      <c r="C556" s="8"/>
      <c r="D556" s="8"/>
      <c r="E556" s="8"/>
      <c r="F556" s="9"/>
      <c r="G556" s="8"/>
      <c r="H556" s="8"/>
      <c r="I556" s="8"/>
    </row>
    <row r="557" spans="1:9" ht="14.25" customHeight="1" x14ac:dyDescent="0.25">
      <c r="A557" s="8"/>
      <c r="B557" s="8"/>
      <c r="C557" s="8"/>
      <c r="D557" s="8"/>
      <c r="E557" s="8"/>
      <c r="F557" s="9"/>
      <c r="G557" s="8"/>
      <c r="H557" s="8"/>
      <c r="I557" s="8"/>
    </row>
    <row r="558" spans="1:9" ht="14.25" customHeight="1" x14ac:dyDescent="0.25">
      <c r="A558" s="8"/>
      <c r="B558" s="8"/>
      <c r="C558" s="8"/>
      <c r="D558" s="8"/>
      <c r="E558" s="8"/>
      <c r="F558" s="9"/>
      <c r="G558" s="8"/>
      <c r="H558" s="8"/>
      <c r="I558" s="8"/>
    </row>
    <row r="559" spans="1:9" ht="14.25" customHeight="1" x14ac:dyDescent="0.25">
      <c r="A559" s="8"/>
      <c r="B559" s="8"/>
      <c r="C559" s="8"/>
      <c r="D559" s="8"/>
      <c r="E559" s="8"/>
      <c r="F559" s="9"/>
      <c r="G559" s="8"/>
      <c r="H559" s="8"/>
      <c r="I559" s="8"/>
    </row>
    <row r="560" spans="1:9" ht="14.25" customHeight="1" x14ac:dyDescent="0.25">
      <c r="A560" s="8"/>
      <c r="B560" s="8"/>
      <c r="C560" s="8"/>
      <c r="D560" s="8"/>
      <c r="E560" s="8"/>
      <c r="F560" s="9"/>
      <c r="G560" s="8"/>
      <c r="H560" s="8"/>
      <c r="I560" s="8"/>
    </row>
    <row r="561" spans="1:9" ht="14.25" customHeight="1" x14ac:dyDescent="0.25">
      <c r="A561" s="8"/>
      <c r="B561" s="8"/>
      <c r="C561" s="8"/>
      <c r="D561" s="8"/>
      <c r="E561" s="8"/>
      <c r="F561" s="9"/>
      <c r="G561" s="8"/>
      <c r="H561" s="8"/>
      <c r="I561" s="8"/>
    </row>
    <row r="562" spans="1:9" ht="14.25" customHeight="1" x14ac:dyDescent="0.25">
      <c r="A562" s="8"/>
      <c r="B562" s="8"/>
      <c r="C562" s="8"/>
      <c r="D562" s="8"/>
      <c r="E562" s="8"/>
      <c r="F562" s="9"/>
      <c r="G562" s="8"/>
      <c r="H562" s="8"/>
      <c r="I562" s="8"/>
    </row>
    <row r="563" spans="1:9" ht="14.25" customHeight="1" x14ac:dyDescent="0.25">
      <c r="A563" s="8"/>
      <c r="B563" s="8"/>
      <c r="C563" s="8"/>
      <c r="D563" s="8"/>
      <c r="E563" s="8"/>
      <c r="F563" s="9"/>
      <c r="G563" s="8"/>
      <c r="H563" s="8"/>
      <c r="I563" s="8"/>
    </row>
    <row r="564" spans="1:9" ht="14.25" customHeight="1" x14ac:dyDescent="0.25">
      <c r="A564" s="8"/>
      <c r="B564" s="8"/>
      <c r="C564" s="8"/>
      <c r="D564" s="8"/>
      <c r="E564" s="8"/>
      <c r="F564" s="9"/>
      <c r="G564" s="8"/>
      <c r="H564" s="8"/>
      <c r="I564" s="8"/>
    </row>
    <row r="565" spans="1:9" ht="14.25" customHeight="1" x14ac:dyDescent="0.25">
      <c r="A565" s="8"/>
      <c r="B565" s="8"/>
      <c r="C565" s="8"/>
      <c r="D565" s="8"/>
      <c r="E565" s="8"/>
      <c r="F565" s="9"/>
      <c r="G565" s="8"/>
      <c r="H565" s="8"/>
      <c r="I565" s="8"/>
    </row>
    <row r="566" spans="1:9" ht="14.25" customHeight="1" x14ac:dyDescent="0.25">
      <c r="A566" s="8"/>
      <c r="B566" s="8"/>
      <c r="C566" s="8"/>
      <c r="D566" s="8"/>
      <c r="E566" s="8"/>
      <c r="F566" s="9"/>
      <c r="G566" s="8"/>
      <c r="H566" s="8"/>
      <c r="I566" s="8"/>
    </row>
    <row r="567" spans="1:9" ht="14.25" customHeight="1" x14ac:dyDescent="0.25">
      <c r="A567" s="8"/>
      <c r="B567" s="8"/>
      <c r="C567" s="8"/>
      <c r="D567" s="8"/>
      <c r="E567" s="8"/>
      <c r="F567" s="9"/>
      <c r="G567" s="8"/>
      <c r="H567" s="8"/>
      <c r="I567" s="8"/>
    </row>
    <row r="568" spans="1:9" ht="14.25" customHeight="1" x14ac:dyDescent="0.25">
      <c r="A568" s="8"/>
      <c r="B568" s="8"/>
      <c r="C568" s="8"/>
      <c r="D568" s="8"/>
      <c r="E568" s="8"/>
      <c r="F568" s="9"/>
      <c r="G568" s="8"/>
      <c r="H568" s="8"/>
      <c r="I568" s="8"/>
    </row>
    <row r="569" spans="1:9" ht="14.25" customHeight="1" x14ac:dyDescent="0.25">
      <c r="A569" s="8"/>
      <c r="B569" s="8"/>
      <c r="C569" s="8"/>
      <c r="D569" s="8"/>
      <c r="E569" s="8"/>
      <c r="F569" s="9"/>
      <c r="G569" s="8"/>
      <c r="H569" s="8"/>
      <c r="I569" s="8"/>
    </row>
    <row r="570" spans="1:9" ht="14.25" customHeight="1" x14ac:dyDescent="0.25">
      <c r="A570" s="8"/>
      <c r="B570" s="8"/>
      <c r="C570" s="8"/>
      <c r="D570" s="8"/>
      <c r="E570" s="8"/>
      <c r="F570" s="9"/>
      <c r="G570" s="8"/>
      <c r="H570" s="8"/>
      <c r="I570" s="8"/>
    </row>
    <row r="571" spans="1:9" ht="14.25" customHeight="1" x14ac:dyDescent="0.25">
      <c r="A571" s="8"/>
      <c r="B571" s="8"/>
      <c r="C571" s="8"/>
      <c r="D571" s="8"/>
      <c r="E571" s="8"/>
      <c r="F571" s="9"/>
      <c r="G571" s="8"/>
      <c r="H571" s="8"/>
      <c r="I571" s="8"/>
    </row>
    <row r="572" spans="1:9" ht="14.25" customHeight="1" x14ac:dyDescent="0.25">
      <c r="A572" s="8"/>
      <c r="B572" s="8"/>
      <c r="C572" s="8"/>
      <c r="D572" s="8"/>
      <c r="E572" s="8"/>
      <c r="F572" s="9"/>
      <c r="G572" s="8"/>
      <c r="H572" s="8"/>
      <c r="I572" s="8"/>
    </row>
    <row r="573" spans="1:9" ht="14.25" customHeight="1" x14ac:dyDescent="0.25">
      <c r="A573" s="8"/>
      <c r="B573" s="8"/>
      <c r="C573" s="8"/>
      <c r="D573" s="8"/>
      <c r="E573" s="8"/>
      <c r="F573" s="9"/>
      <c r="G573" s="8"/>
      <c r="H573" s="8"/>
      <c r="I573" s="8"/>
    </row>
    <row r="574" spans="1:9" ht="14.25" customHeight="1" x14ac:dyDescent="0.25">
      <c r="A574" s="8"/>
      <c r="B574" s="8"/>
      <c r="C574" s="8"/>
      <c r="D574" s="8"/>
      <c r="E574" s="8"/>
      <c r="F574" s="9"/>
      <c r="G574" s="8"/>
      <c r="H574" s="8"/>
      <c r="I574" s="8"/>
    </row>
    <row r="575" spans="1:9" ht="14.25" customHeight="1" x14ac:dyDescent="0.25">
      <c r="A575" s="8"/>
      <c r="B575" s="8"/>
      <c r="C575" s="8"/>
      <c r="D575" s="8"/>
      <c r="E575" s="8"/>
      <c r="F575" s="9"/>
      <c r="G575" s="8"/>
      <c r="H575" s="8"/>
      <c r="I575" s="8"/>
    </row>
    <row r="576" spans="1:9" ht="14.25" customHeight="1" x14ac:dyDescent="0.25">
      <c r="A576" s="8"/>
      <c r="B576" s="8"/>
      <c r="C576" s="8"/>
      <c r="D576" s="8"/>
      <c r="E576" s="8"/>
      <c r="F576" s="9"/>
      <c r="G576" s="8"/>
      <c r="H576" s="8"/>
      <c r="I576" s="8"/>
    </row>
    <row r="577" spans="1:9" ht="14.25" customHeight="1" x14ac:dyDescent="0.25">
      <c r="A577" s="8"/>
      <c r="B577" s="8"/>
      <c r="C577" s="8"/>
      <c r="D577" s="8"/>
      <c r="E577" s="8"/>
      <c r="F577" s="9"/>
      <c r="G577" s="8"/>
      <c r="H577" s="8"/>
      <c r="I577" s="8"/>
    </row>
    <row r="578" spans="1:9" ht="14.25" customHeight="1" x14ac:dyDescent="0.25">
      <c r="A578" s="8"/>
      <c r="B578" s="8"/>
      <c r="C578" s="8"/>
      <c r="D578" s="8"/>
      <c r="E578" s="8"/>
      <c r="F578" s="9"/>
      <c r="G578" s="8"/>
      <c r="H578" s="8"/>
      <c r="I578" s="8"/>
    </row>
    <row r="579" spans="1:9" ht="14.25" customHeight="1" x14ac:dyDescent="0.25">
      <c r="A579" s="8"/>
      <c r="B579" s="8"/>
      <c r="C579" s="8"/>
      <c r="D579" s="8"/>
      <c r="E579" s="8"/>
      <c r="F579" s="9"/>
      <c r="G579" s="8"/>
      <c r="H579" s="8"/>
      <c r="I579" s="8"/>
    </row>
    <row r="580" spans="1:9" ht="14.25" customHeight="1" x14ac:dyDescent="0.25">
      <c r="A580" s="8"/>
      <c r="B580" s="8"/>
      <c r="C580" s="8"/>
      <c r="D580" s="8"/>
      <c r="E580" s="8"/>
      <c r="F580" s="9"/>
      <c r="G580" s="8"/>
      <c r="H580" s="8"/>
      <c r="I580" s="8"/>
    </row>
    <row r="581" spans="1:9" ht="14.25" customHeight="1" x14ac:dyDescent="0.25">
      <c r="A581" s="8"/>
      <c r="B581" s="8"/>
      <c r="C581" s="8"/>
      <c r="D581" s="8"/>
      <c r="E581" s="8"/>
      <c r="F581" s="9"/>
      <c r="G581" s="8"/>
      <c r="H581" s="8"/>
      <c r="I581" s="8"/>
    </row>
    <row r="582" spans="1:9" ht="14.25" customHeight="1" x14ac:dyDescent="0.25">
      <c r="A582" s="8"/>
      <c r="B582" s="8"/>
      <c r="C582" s="8"/>
      <c r="D582" s="8"/>
      <c r="E582" s="8"/>
      <c r="F582" s="9"/>
      <c r="G582" s="8"/>
      <c r="H582" s="8"/>
      <c r="I582" s="8"/>
    </row>
    <row r="583" spans="1:9" ht="14.25" customHeight="1" x14ac:dyDescent="0.25">
      <c r="A583" s="8"/>
      <c r="B583" s="8"/>
      <c r="C583" s="8"/>
      <c r="D583" s="8"/>
      <c r="E583" s="8"/>
      <c r="F583" s="9"/>
      <c r="G583" s="8"/>
      <c r="H583" s="8"/>
      <c r="I583" s="8"/>
    </row>
    <row r="584" spans="1:9" ht="14.25" customHeight="1" x14ac:dyDescent="0.25">
      <c r="A584" s="8"/>
      <c r="B584" s="8"/>
      <c r="C584" s="8"/>
      <c r="D584" s="8"/>
      <c r="E584" s="8"/>
      <c r="F584" s="9"/>
      <c r="G584" s="8"/>
      <c r="H584" s="8"/>
      <c r="I584" s="8"/>
    </row>
    <row r="585" spans="1:9" ht="14.25" customHeight="1" x14ac:dyDescent="0.25">
      <c r="A585" s="8"/>
      <c r="B585" s="8"/>
      <c r="C585" s="8"/>
      <c r="D585" s="8"/>
      <c r="E585" s="8"/>
      <c r="F585" s="9"/>
      <c r="G585" s="8"/>
      <c r="H585" s="8"/>
      <c r="I585" s="8"/>
    </row>
    <row r="586" spans="1:9" ht="14.25" customHeight="1" x14ac:dyDescent="0.25">
      <c r="A586" s="8"/>
      <c r="B586" s="8"/>
      <c r="C586" s="8"/>
      <c r="D586" s="8"/>
      <c r="E586" s="8"/>
      <c r="F586" s="9"/>
      <c r="G586" s="8"/>
      <c r="H586" s="8"/>
      <c r="I586" s="8"/>
    </row>
    <row r="587" spans="1:9" ht="14.25" customHeight="1" x14ac:dyDescent="0.25">
      <c r="A587" s="8"/>
      <c r="B587" s="8"/>
      <c r="C587" s="8"/>
      <c r="D587" s="8"/>
      <c r="E587" s="8"/>
      <c r="F587" s="9"/>
      <c r="G587" s="8"/>
      <c r="H587" s="8"/>
      <c r="I587" s="8"/>
    </row>
    <row r="588" spans="1:9" ht="14.25" customHeight="1" x14ac:dyDescent="0.25">
      <c r="A588" s="8"/>
      <c r="B588" s="8"/>
      <c r="C588" s="8"/>
      <c r="D588" s="8"/>
      <c r="E588" s="8"/>
      <c r="F588" s="9"/>
      <c r="G588" s="8"/>
      <c r="H588" s="8"/>
      <c r="I588" s="8"/>
    </row>
    <row r="589" spans="1:9" ht="14.25" customHeight="1" x14ac:dyDescent="0.25">
      <c r="A589" s="8"/>
      <c r="B589" s="8"/>
      <c r="C589" s="8"/>
      <c r="D589" s="8"/>
      <c r="E589" s="8"/>
      <c r="F589" s="9"/>
      <c r="G589" s="8"/>
      <c r="H589" s="8"/>
      <c r="I589" s="8"/>
    </row>
    <row r="590" spans="1:9" ht="14.25" customHeight="1" x14ac:dyDescent="0.25">
      <c r="A590" s="8"/>
      <c r="B590" s="8"/>
      <c r="C590" s="8"/>
      <c r="D590" s="8"/>
      <c r="E590" s="8"/>
      <c r="F590" s="9"/>
      <c r="G590" s="8"/>
      <c r="H590" s="8"/>
      <c r="I590" s="8"/>
    </row>
    <row r="591" spans="1:9" ht="14.25" customHeight="1" x14ac:dyDescent="0.25">
      <c r="A591" s="8"/>
      <c r="B591" s="8"/>
      <c r="C591" s="8"/>
      <c r="D591" s="8"/>
      <c r="E591" s="8"/>
      <c r="F591" s="9"/>
      <c r="G591" s="8"/>
      <c r="H591" s="8"/>
      <c r="I591" s="8"/>
    </row>
    <row r="592" spans="1:9" ht="14.25" customHeight="1" x14ac:dyDescent="0.25">
      <c r="A592" s="8"/>
      <c r="B592" s="8"/>
      <c r="C592" s="8"/>
      <c r="D592" s="8"/>
      <c r="E592" s="8"/>
      <c r="F592" s="9"/>
      <c r="G592" s="8"/>
      <c r="H592" s="8"/>
      <c r="I592" s="8"/>
    </row>
    <row r="593" spans="1:9" ht="14.25" customHeight="1" x14ac:dyDescent="0.25">
      <c r="A593" s="8"/>
      <c r="B593" s="8"/>
      <c r="C593" s="8"/>
      <c r="D593" s="8"/>
      <c r="E593" s="8"/>
      <c r="F593" s="9"/>
      <c r="G593" s="8"/>
      <c r="H593" s="8"/>
      <c r="I593" s="8"/>
    </row>
    <row r="594" spans="1:9" ht="14.25" customHeight="1" x14ac:dyDescent="0.25">
      <c r="A594" s="8"/>
      <c r="B594" s="8"/>
      <c r="C594" s="8"/>
      <c r="D594" s="8"/>
      <c r="E594" s="8"/>
      <c r="F594" s="9"/>
      <c r="G594" s="8"/>
      <c r="H594" s="8"/>
      <c r="I594" s="8"/>
    </row>
    <row r="595" spans="1:9" ht="14.25" customHeight="1" x14ac:dyDescent="0.25">
      <c r="A595" s="8"/>
      <c r="B595" s="8"/>
      <c r="C595" s="8"/>
      <c r="D595" s="8"/>
      <c r="E595" s="8"/>
      <c r="F595" s="9"/>
      <c r="G595" s="8"/>
      <c r="H595" s="8"/>
      <c r="I595" s="8"/>
    </row>
    <row r="596" spans="1:9" ht="14.25" customHeight="1" x14ac:dyDescent="0.25">
      <c r="A596" s="8"/>
      <c r="B596" s="8"/>
      <c r="C596" s="8"/>
      <c r="D596" s="8"/>
      <c r="E596" s="8"/>
      <c r="F596" s="9"/>
      <c r="G596" s="8"/>
      <c r="H596" s="8"/>
      <c r="I596" s="8"/>
    </row>
    <row r="597" spans="1:9" ht="14.25" customHeight="1" x14ac:dyDescent="0.25">
      <c r="A597" s="8"/>
      <c r="B597" s="8"/>
      <c r="C597" s="8"/>
      <c r="D597" s="8"/>
      <c r="E597" s="8"/>
      <c r="F597" s="9"/>
      <c r="G597" s="8"/>
      <c r="H597" s="8"/>
      <c r="I597" s="8"/>
    </row>
    <row r="598" spans="1:9" ht="14.25" customHeight="1" x14ac:dyDescent="0.25">
      <c r="A598" s="8"/>
      <c r="B598" s="8"/>
      <c r="C598" s="8"/>
      <c r="D598" s="8"/>
      <c r="E598" s="8"/>
      <c r="F598" s="9"/>
      <c r="G598" s="8"/>
      <c r="H598" s="8"/>
      <c r="I598" s="8"/>
    </row>
    <row r="599" spans="1:9" ht="14.25" customHeight="1" x14ac:dyDescent="0.25">
      <c r="A599" s="8"/>
      <c r="B599" s="8"/>
      <c r="C599" s="8"/>
      <c r="D599" s="8"/>
      <c r="E599" s="8"/>
      <c r="F599" s="9"/>
      <c r="G599" s="8"/>
      <c r="H599" s="8"/>
      <c r="I599" s="8"/>
    </row>
    <row r="600" spans="1:9" ht="14.25" customHeight="1" x14ac:dyDescent="0.25">
      <c r="A600" s="8"/>
      <c r="B600" s="8"/>
      <c r="C600" s="8"/>
      <c r="D600" s="8"/>
      <c r="E600" s="8"/>
      <c r="F600" s="9"/>
      <c r="G600" s="8"/>
      <c r="H600" s="8"/>
      <c r="I600" s="8"/>
    </row>
    <row r="601" spans="1:9" ht="14.25" customHeight="1" x14ac:dyDescent="0.25">
      <c r="A601" s="8"/>
      <c r="B601" s="8"/>
      <c r="C601" s="8"/>
      <c r="D601" s="8"/>
      <c r="E601" s="8"/>
      <c r="F601" s="9"/>
      <c r="G601" s="8"/>
      <c r="H601" s="8"/>
      <c r="I601" s="8"/>
    </row>
    <row r="602" spans="1:9" ht="14.25" customHeight="1" x14ac:dyDescent="0.25">
      <c r="A602" s="8"/>
      <c r="B602" s="8"/>
      <c r="C602" s="8"/>
      <c r="D602" s="8"/>
      <c r="E602" s="8"/>
      <c r="F602" s="9"/>
      <c r="G602" s="8"/>
      <c r="H602" s="8"/>
      <c r="I602" s="8"/>
    </row>
    <row r="603" spans="1:9" ht="14.25" customHeight="1" x14ac:dyDescent="0.25">
      <c r="A603" s="8"/>
      <c r="B603" s="8"/>
      <c r="C603" s="8"/>
      <c r="D603" s="8"/>
      <c r="E603" s="8"/>
      <c r="F603" s="9"/>
      <c r="G603" s="8"/>
      <c r="H603" s="8"/>
      <c r="I603" s="8"/>
    </row>
    <row r="604" spans="1:9" ht="14.25" customHeight="1" x14ac:dyDescent="0.25">
      <c r="A604" s="8"/>
      <c r="B604" s="8"/>
      <c r="C604" s="8"/>
      <c r="D604" s="8"/>
      <c r="E604" s="8"/>
      <c r="F604" s="9"/>
      <c r="G604" s="8"/>
      <c r="H604" s="8"/>
      <c r="I604" s="8"/>
    </row>
    <row r="605" spans="1:9" ht="14.25" customHeight="1" x14ac:dyDescent="0.25">
      <c r="A605" s="8"/>
      <c r="B605" s="8"/>
      <c r="C605" s="8"/>
      <c r="D605" s="8"/>
      <c r="E605" s="8"/>
      <c r="F605" s="9"/>
      <c r="G605" s="8"/>
      <c r="H605" s="8"/>
      <c r="I605" s="8"/>
    </row>
    <row r="606" spans="1:9" ht="14.25" customHeight="1" x14ac:dyDescent="0.25">
      <c r="A606" s="8"/>
      <c r="B606" s="8"/>
      <c r="C606" s="8"/>
      <c r="D606" s="8"/>
      <c r="E606" s="8"/>
      <c r="F606" s="9"/>
      <c r="G606" s="8"/>
      <c r="H606" s="8"/>
      <c r="I606" s="8"/>
    </row>
    <row r="607" spans="1:9" ht="14.25" customHeight="1" x14ac:dyDescent="0.25">
      <c r="A607" s="8"/>
      <c r="B607" s="8"/>
      <c r="C607" s="8"/>
      <c r="D607" s="8"/>
      <c r="E607" s="8"/>
      <c r="F607" s="9"/>
      <c r="G607" s="8"/>
      <c r="H607" s="8"/>
      <c r="I607" s="8"/>
    </row>
    <row r="608" spans="1:9" ht="14.25" customHeight="1" x14ac:dyDescent="0.25">
      <c r="A608" s="8"/>
      <c r="B608" s="8"/>
      <c r="C608" s="8"/>
      <c r="D608" s="8"/>
      <c r="E608" s="8"/>
      <c r="F608" s="9"/>
      <c r="G608" s="8"/>
      <c r="H608" s="8"/>
      <c r="I608" s="8"/>
    </row>
    <row r="609" spans="1:9" ht="14.25" customHeight="1" x14ac:dyDescent="0.25">
      <c r="A609" s="8"/>
      <c r="B609" s="8"/>
      <c r="C609" s="8"/>
      <c r="D609" s="8"/>
      <c r="E609" s="8"/>
      <c r="F609" s="9"/>
      <c r="G609" s="8"/>
      <c r="H609" s="8"/>
      <c r="I609" s="8"/>
    </row>
    <row r="610" spans="1:9" ht="14.25" customHeight="1" x14ac:dyDescent="0.25">
      <c r="A610" s="8"/>
      <c r="B610" s="8"/>
      <c r="C610" s="8"/>
      <c r="D610" s="8"/>
      <c r="E610" s="8"/>
      <c r="F610" s="9"/>
      <c r="G610" s="8"/>
      <c r="H610" s="8"/>
      <c r="I610" s="8"/>
    </row>
    <row r="611" spans="1:9" ht="14.25" customHeight="1" x14ac:dyDescent="0.25">
      <c r="A611" s="8"/>
      <c r="B611" s="8"/>
      <c r="C611" s="8"/>
      <c r="D611" s="8"/>
      <c r="E611" s="8"/>
      <c r="F611" s="9"/>
      <c r="G611" s="8"/>
      <c r="H611" s="8"/>
      <c r="I611" s="8"/>
    </row>
    <row r="612" spans="1:9" ht="14.25" customHeight="1" x14ac:dyDescent="0.25">
      <c r="A612" s="8"/>
      <c r="B612" s="8"/>
      <c r="C612" s="8"/>
      <c r="D612" s="8"/>
      <c r="E612" s="8"/>
      <c r="F612" s="9"/>
      <c r="G612" s="8"/>
      <c r="H612" s="8"/>
      <c r="I612" s="8"/>
    </row>
    <row r="613" spans="1:9" ht="14.25" customHeight="1" x14ac:dyDescent="0.25">
      <c r="A613" s="8"/>
      <c r="B613" s="8"/>
      <c r="C613" s="8"/>
      <c r="D613" s="8"/>
      <c r="E613" s="8"/>
      <c r="F613" s="9"/>
      <c r="G613" s="8"/>
      <c r="H613" s="8"/>
      <c r="I613" s="8"/>
    </row>
    <row r="614" spans="1:9" ht="14.25" customHeight="1" x14ac:dyDescent="0.25">
      <c r="A614" s="8"/>
      <c r="B614" s="8"/>
      <c r="C614" s="8"/>
      <c r="D614" s="8"/>
      <c r="E614" s="8"/>
      <c r="F614" s="9"/>
      <c r="G614" s="8"/>
      <c r="H614" s="8"/>
      <c r="I614" s="8"/>
    </row>
    <row r="615" spans="1:9" ht="14.25" customHeight="1" x14ac:dyDescent="0.25">
      <c r="A615" s="8"/>
      <c r="B615" s="8"/>
      <c r="C615" s="8"/>
      <c r="D615" s="8"/>
      <c r="E615" s="8"/>
      <c r="F615" s="9"/>
      <c r="G615" s="8"/>
      <c r="H615" s="8"/>
      <c r="I615" s="8"/>
    </row>
    <row r="616" spans="1:9" ht="14.25" customHeight="1" x14ac:dyDescent="0.25">
      <c r="A616" s="8"/>
      <c r="B616" s="8"/>
      <c r="C616" s="8"/>
      <c r="D616" s="8"/>
      <c r="E616" s="8"/>
      <c r="F616" s="9"/>
      <c r="G616" s="8"/>
      <c r="H616" s="8"/>
      <c r="I616" s="8"/>
    </row>
    <row r="617" spans="1:9" ht="14.25" customHeight="1" x14ac:dyDescent="0.25">
      <c r="A617" s="8"/>
      <c r="B617" s="8"/>
      <c r="C617" s="8"/>
      <c r="D617" s="8"/>
      <c r="E617" s="8"/>
      <c r="F617" s="9"/>
      <c r="G617" s="8"/>
      <c r="H617" s="8"/>
      <c r="I617" s="8"/>
    </row>
    <row r="618" spans="1:9" ht="14.25" customHeight="1" x14ac:dyDescent="0.25">
      <c r="A618" s="8"/>
      <c r="B618" s="8"/>
      <c r="C618" s="8"/>
      <c r="D618" s="8"/>
      <c r="E618" s="8"/>
      <c r="F618" s="9"/>
      <c r="G618" s="8"/>
      <c r="H618" s="8"/>
      <c r="I618" s="8"/>
    </row>
    <row r="619" spans="1:9" ht="14.25" customHeight="1" x14ac:dyDescent="0.25">
      <c r="A619" s="8"/>
      <c r="B619" s="8"/>
      <c r="C619" s="8"/>
      <c r="D619" s="8"/>
      <c r="E619" s="8"/>
      <c r="F619" s="9"/>
      <c r="G619" s="8"/>
      <c r="H619" s="8"/>
      <c r="I619" s="8"/>
    </row>
    <row r="620" spans="1:9" ht="14.25" customHeight="1" x14ac:dyDescent="0.25">
      <c r="A620" s="8"/>
      <c r="B620" s="8"/>
      <c r="C620" s="8"/>
      <c r="D620" s="8"/>
      <c r="E620" s="8"/>
      <c r="F620" s="9"/>
      <c r="G620" s="8"/>
      <c r="H620" s="8"/>
      <c r="I620" s="8"/>
    </row>
    <row r="621" spans="1:9" ht="14.25" customHeight="1" x14ac:dyDescent="0.25">
      <c r="A621" s="8"/>
      <c r="B621" s="8"/>
      <c r="C621" s="8"/>
      <c r="D621" s="8"/>
      <c r="E621" s="8"/>
      <c r="F621" s="9"/>
      <c r="G621" s="8"/>
      <c r="H621" s="8"/>
      <c r="I621" s="8"/>
    </row>
    <row r="622" spans="1:9" ht="14.25" customHeight="1" x14ac:dyDescent="0.25">
      <c r="A622" s="8"/>
      <c r="B622" s="8"/>
      <c r="C622" s="8"/>
      <c r="D622" s="8"/>
      <c r="E622" s="8"/>
      <c r="F622" s="9"/>
      <c r="G622" s="8"/>
      <c r="H622" s="8"/>
      <c r="I622" s="8"/>
    </row>
    <row r="623" spans="1:9" ht="14.25" customHeight="1" x14ac:dyDescent="0.25">
      <c r="A623" s="8"/>
      <c r="B623" s="8"/>
      <c r="C623" s="8"/>
      <c r="D623" s="8"/>
      <c r="E623" s="8"/>
      <c r="F623" s="9"/>
      <c r="G623" s="8"/>
      <c r="H623" s="8"/>
      <c r="I623" s="8"/>
    </row>
    <row r="624" spans="1:9" ht="14.25" customHeight="1" x14ac:dyDescent="0.25">
      <c r="A624" s="8"/>
      <c r="B624" s="8"/>
      <c r="C624" s="8"/>
      <c r="D624" s="8"/>
      <c r="E624" s="8"/>
      <c r="F624" s="9"/>
      <c r="G624" s="8"/>
      <c r="H624" s="8"/>
      <c r="I624" s="8"/>
    </row>
    <row r="625" spans="1:9" ht="14.25" customHeight="1" x14ac:dyDescent="0.25">
      <c r="A625" s="8"/>
      <c r="B625" s="8"/>
      <c r="C625" s="8"/>
      <c r="D625" s="8"/>
      <c r="E625" s="8"/>
      <c r="F625" s="9"/>
      <c r="G625" s="8"/>
      <c r="H625" s="8"/>
      <c r="I625" s="8"/>
    </row>
    <row r="626" spans="1:9" ht="14.25" customHeight="1" x14ac:dyDescent="0.25">
      <c r="A626" s="8"/>
      <c r="B626" s="8"/>
      <c r="C626" s="8"/>
      <c r="D626" s="8"/>
      <c r="E626" s="8"/>
      <c r="F626" s="9"/>
      <c r="G626" s="8"/>
      <c r="H626" s="8"/>
      <c r="I626" s="8"/>
    </row>
    <row r="627" spans="1:9" ht="14.25" customHeight="1" x14ac:dyDescent="0.25">
      <c r="A627" s="8"/>
      <c r="B627" s="8"/>
      <c r="C627" s="8"/>
      <c r="D627" s="8"/>
      <c r="E627" s="8"/>
      <c r="F627" s="9"/>
      <c r="G627" s="8"/>
      <c r="H627" s="8"/>
      <c r="I627" s="8"/>
    </row>
    <row r="628" spans="1:9" ht="14.25" customHeight="1" x14ac:dyDescent="0.25">
      <c r="A628" s="8"/>
      <c r="B628" s="8"/>
      <c r="C628" s="8"/>
      <c r="D628" s="8"/>
      <c r="E628" s="8"/>
      <c r="F628" s="9"/>
      <c r="G628" s="8"/>
      <c r="H628" s="8"/>
      <c r="I628" s="8"/>
    </row>
    <row r="629" spans="1:9" ht="14.25" customHeight="1" x14ac:dyDescent="0.25">
      <c r="A629" s="8"/>
      <c r="B629" s="8"/>
      <c r="C629" s="8"/>
      <c r="D629" s="8"/>
      <c r="E629" s="8"/>
      <c r="F629" s="9"/>
      <c r="G629" s="8"/>
      <c r="H629" s="8"/>
      <c r="I629" s="8"/>
    </row>
    <row r="630" spans="1:9" ht="14.25" customHeight="1" x14ac:dyDescent="0.25">
      <c r="A630" s="8"/>
      <c r="B630" s="8"/>
      <c r="C630" s="8"/>
      <c r="D630" s="8"/>
      <c r="E630" s="8"/>
      <c r="F630" s="9"/>
      <c r="G630" s="8"/>
      <c r="H630" s="8"/>
      <c r="I630" s="8"/>
    </row>
    <row r="631" spans="1:9" ht="14.25" customHeight="1" x14ac:dyDescent="0.25">
      <c r="A631" s="8"/>
      <c r="B631" s="8"/>
      <c r="C631" s="8"/>
      <c r="D631" s="8"/>
      <c r="E631" s="8"/>
      <c r="F631" s="9"/>
      <c r="G631" s="8"/>
      <c r="H631" s="8"/>
      <c r="I631" s="8"/>
    </row>
    <row r="632" spans="1:9" ht="14.25" customHeight="1" x14ac:dyDescent="0.25">
      <c r="A632" s="8"/>
      <c r="B632" s="8"/>
      <c r="C632" s="8"/>
      <c r="D632" s="8"/>
      <c r="E632" s="8"/>
      <c r="F632" s="9"/>
      <c r="G632" s="8"/>
      <c r="H632" s="8"/>
      <c r="I632" s="8"/>
    </row>
    <row r="633" spans="1:9" ht="14.25" customHeight="1" x14ac:dyDescent="0.25">
      <c r="A633" s="8"/>
      <c r="B633" s="8"/>
      <c r="C633" s="8"/>
      <c r="D633" s="8"/>
      <c r="E633" s="8"/>
      <c r="F633" s="9"/>
      <c r="G633" s="8"/>
      <c r="H633" s="8"/>
      <c r="I633" s="8"/>
    </row>
    <row r="634" spans="1:9" ht="14.25" customHeight="1" x14ac:dyDescent="0.25">
      <c r="A634" s="8"/>
      <c r="B634" s="8"/>
      <c r="C634" s="8"/>
      <c r="D634" s="8"/>
      <c r="E634" s="8"/>
      <c r="F634" s="9"/>
      <c r="G634" s="8"/>
      <c r="H634" s="8"/>
      <c r="I634" s="8"/>
    </row>
    <row r="635" spans="1:9" ht="14.25" customHeight="1" x14ac:dyDescent="0.25">
      <c r="A635" s="8"/>
      <c r="B635" s="8"/>
      <c r="C635" s="8"/>
      <c r="D635" s="8"/>
      <c r="E635" s="8"/>
      <c r="F635" s="9"/>
      <c r="G635" s="8"/>
      <c r="H635" s="8"/>
      <c r="I635" s="8"/>
    </row>
    <row r="636" spans="1:9" ht="14.25" customHeight="1" x14ac:dyDescent="0.25">
      <c r="A636" s="8"/>
      <c r="B636" s="8"/>
      <c r="C636" s="8"/>
      <c r="D636" s="8"/>
      <c r="E636" s="8"/>
      <c r="F636" s="9"/>
      <c r="G636" s="8"/>
      <c r="H636" s="8"/>
      <c r="I636" s="8"/>
    </row>
    <row r="637" spans="1:9" ht="14.25" customHeight="1" x14ac:dyDescent="0.25">
      <c r="A637" s="8"/>
      <c r="B637" s="8"/>
      <c r="C637" s="8"/>
      <c r="D637" s="8"/>
      <c r="E637" s="8"/>
      <c r="F637" s="9"/>
      <c r="G637" s="8"/>
      <c r="H637" s="8"/>
      <c r="I637" s="8"/>
    </row>
    <row r="638" spans="1:9" ht="14.25" customHeight="1" x14ac:dyDescent="0.25">
      <c r="A638" s="8"/>
      <c r="B638" s="8"/>
      <c r="C638" s="8"/>
      <c r="D638" s="8"/>
      <c r="E638" s="8"/>
      <c r="F638" s="9"/>
      <c r="G638" s="8"/>
      <c r="H638" s="8"/>
      <c r="I638" s="8"/>
    </row>
    <row r="639" spans="1:9" ht="14.25" customHeight="1" x14ac:dyDescent="0.25">
      <c r="A639" s="8"/>
      <c r="B639" s="8"/>
      <c r="C639" s="8"/>
      <c r="D639" s="8"/>
      <c r="E639" s="8"/>
      <c r="F639" s="9"/>
      <c r="G639" s="8"/>
      <c r="H639" s="8"/>
      <c r="I639" s="8"/>
    </row>
    <row r="640" spans="1:9" ht="14.25" customHeight="1" x14ac:dyDescent="0.25">
      <c r="A640" s="8"/>
      <c r="B640" s="8"/>
      <c r="C640" s="8"/>
      <c r="D640" s="8"/>
      <c r="E640" s="8"/>
      <c r="F640" s="9"/>
      <c r="G640" s="8"/>
      <c r="H640" s="8"/>
      <c r="I640" s="8"/>
    </row>
    <row r="641" spans="1:9" ht="14.25" customHeight="1" x14ac:dyDescent="0.25">
      <c r="A641" s="8"/>
      <c r="B641" s="8"/>
      <c r="C641" s="8"/>
      <c r="D641" s="8"/>
      <c r="E641" s="8"/>
      <c r="F641" s="9"/>
      <c r="G641" s="8"/>
      <c r="H641" s="8"/>
      <c r="I641" s="8"/>
    </row>
    <row r="642" spans="1:9" ht="14.25" customHeight="1" x14ac:dyDescent="0.25">
      <c r="A642" s="8"/>
      <c r="B642" s="8"/>
      <c r="C642" s="8"/>
      <c r="D642" s="8"/>
      <c r="E642" s="8"/>
      <c r="F642" s="9"/>
      <c r="G642" s="8"/>
      <c r="H642" s="8"/>
      <c r="I642" s="8"/>
    </row>
    <row r="643" spans="1:9" ht="14.25" customHeight="1" x14ac:dyDescent="0.25">
      <c r="A643" s="8"/>
      <c r="B643" s="8"/>
      <c r="C643" s="8"/>
      <c r="D643" s="8"/>
      <c r="E643" s="8"/>
      <c r="F643" s="9"/>
      <c r="G643" s="8"/>
      <c r="H643" s="8"/>
      <c r="I643" s="8"/>
    </row>
    <row r="644" spans="1:9" ht="14.25" customHeight="1" x14ac:dyDescent="0.25">
      <c r="A644" s="8"/>
      <c r="B644" s="8"/>
      <c r="C644" s="8"/>
      <c r="D644" s="8"/>
      <c r="E644" s="8"/>
      <c r="F644" s="9"/>
      <c r="G644" s="8"/>
      <c r="H644" s="8"/>
      <c r="I644" s="8"/>
    </row>
    <row r="645" spans="1:9" ht="14.25" customHeight="1" x14ac:dyDescent="0.25">
      <c r="A645" s="8"/>
      <c r="B645" s="8"/>
      <c r="C645" s="8"/>
      <c r="D645" s="8"/>
      <c r="E645" s="8"/>
      <c r="F645" s="9"/>
      <c r="G645" s="8"/>
      <c r="H645" s="8"/>
      <c r="I645" s="8"/>
    </row>
    <row r="646" spans="1:9" ht="14.25" customHeight="1" x14ac:dyDescent="0.25">
      <c r="A646" s="8"/>
      <c r="B646" s="8"/>
      <c r="C646" s="8"/>
      <c r="D646" s="8"/>
      <c r="E646" s="8"/>
      <c r="F646" s="9"/>
      <c r="G646" s="8"/>
      <c r="H646" s="8"/>
      <c r="I646" s="8"/>
    </row>
    <row r="647" spans="1:9" ht="14.25" customHeight="1" x14ac:dyDescent="0.25">
      <c r="A647" s="8"/>
      <c r="B647" s="8"/>
      <c r="C647" s="8"/>
      <c r="D647" s="8"/>
      <c r="E647" s="8"/>
      <c r="F647" s="9"/>
      <c r="G647" s="8"/>
      <c r="H647" s="8"/>
      <c r="I647" s="8"/>
    </row>
    <row r="648" spans="1:9" ht="14.25" customHeight="1" x14ac:dyDescent="0.25">
      <c r="A648" s="8"/>
      <c r="B648" s="8"/>
      <c r="C648" s="8"/>
      <c r="D648" s="8"/>
      <c r="E648" s="8"/>
      <c r="F648" s="9"/>
      <c r="G648" s="8"/>
      <c r="H648" s="8"/>
      <c r="I648" s="8"/>
    </row>
    <row r="649" spans="1:9" ht="14.25" customHeight="1" x14ac:dyDescent="0.25">
      <c r="A649" s="8"/>
      <c r="B649" s="8"/>
      <c r="C649" s="8"/>
      <c r="D649" s="8"/>
      <c r="E649" s="8"/>
      <c r="F649" s="9"/>
      <c r="G649" s="8"/>
      <c r="H649" s="8"/>
      <c r="I649" s="8"/>
    </row>
    <row r="650" spans="1:9" ht="14.25" customHeight="1" x14ac:dyDescent="0.25">
      <c r="A650" s="8"/>
      <c r="B650" s="8"/>
      <c r="C650" s="8"/>
      <c r="D650" s="8"/>
      <c r="E650" s="8"/>
      <c r="F650" s="9"/>
      <c r="G650" s="8"/>
      <c r="H650" s="8"/>
      <c r="I650" s="8"/>
    </row>
    <row r="651" spans="1:9" ht="14.25" customHeight="1" x14ac:dyDescent="0.25">
      <c r="A651" s="8"/>
      <c r="B651" s="8"/>
      <c r="C651" s="8"/>
      <c r="D651" s="8"/>
      <c r="E651" s="8"/>
      <c r="F651" s="9"/>
      <c r="G651" s="8"/>
      <c r="H651" s="8"/>
      <c r="I651" s="8"/>
    </row>
    <row r="652" spans="1:9" ht="14.25" customHeight="1" x14ac:dyDescent="0.25">
      <c r="A652" s="8"/>
      <c r="B652" s="8"/>
      <c r="C652" s="8"/>
      <c r="D652" s="8"/>
      <c r="E652" s="8"/>
      <c r="F652" s="9"/>
      <c r="G652" s="8"/>
      <c r="H652" s="8"/>
      <c r="I652" s="8"/>
    </row>
    <row r="653" spans="1:9" ht="14.25" customHeight="1" x14ac:dyDescent="0.25">
      <c r="A653" s="8"/>
      <c r="B653" s="8"/>
      <c r="C653" s="8"/>
      <c r="D653" s="8"/>
      <c r="E653" s="8"/>
      <c r="F653" s="9"/>
      <c r="G653" s="8"/>
      <c r="H653" s="8"/>
      <c r="I653" s="8"/>
    </row>
    <row r="654" spans="1:9" ht="14.25" customHeight="1" x14ac:dyDescent="0.25">
      <c r="A654" s="8"/>
      <c r="B654" s="8"/>
      <c r="C654" s="8"/>
      <c r="D654" s="8"/>
      <c r="E654" s="8"/>
      <c r="F654" s="9"/>
      <c r="G654" s="8"/>
      <c r="H654" s="8"/>
      <c r="I654" s="8"/>
    </row>
    <row r="655" spans="1:9" ht="14.25" customHeight="1" x14ac:dyDescent="0.25">
      <c r="A655" s="8"/>
      <c r="B655" s="8"/>
      <c r="C655" s="8"/>
      <c r="D655" s="8"/>
      <c r="E655" s="8"/>
      <c r="F655" s="9"/>
      <c r="G655" s="8"/>
      <c r="H655" s="8"/>
      <c r="I655" s="8"/>
    </row>
    <row r="656" spans="1:9" ht="14.25" customHeight="1" x14ac:dyDescent="0.25">
      <c r="A656" s="8"/>
      <c r="B656" s="8"/>
      <c r="C656" s="8"/>
      <c r="D656" s="8"/>
      <c r="E656" s="8"/>
      <c r="F656" s="9"/>
      <c r="G656" s="8"/>
      <c r="H656" s="8"/>
      <c r="I656" s="8"/>
    </row>
    <row r="657" spans="1:9" ht="14.25" customHeight="1" x14ac:dyDescent="0.25">
      <c r="A657" s="8"/>
      <c r="B657" s="8"/>
      <c r="C657" s="8"/>
      <c r="D657" s="8"/>
      <c r="E657" s="8"/>
      <c r="F657" s="9"/>
      <c r="G657" s="8"/>
      <c r="H657" s="8"/>
      <c r="I657" s="8"/>
    </row>
    <row r="658" spans="1:9" ht="14.25" customHeight="1" x14ac:dyDescent="0.25">
      <c r="A658" s="8"/>
      <c r="B658" s="8"/>
      <c r="C658" s="8"/>
      <c r="D658" s="8"/>
      <c r="E658" s="8"/>
      <c r="F658" s="9"/>
      <c r="G658" s="8"/>
      <c r="H658" s="8"/>
      <c r="I658" s="8"/>
    </row>
    <row r="659" spans="1:9" ht="14.25" customHeight="1" x14ac:dyDescent="0.25">
      <c r="A659" s="8"/>
      <c r="B659" s="8"/>
      <c r="C659" s="8"/>
      <c r="D659" s="8"/>
      <c r="E659" s="8"/>
      <c r="F659" s="9"/>
      <c r="G659" s="8"/>
      <c r="H659" s="8"/>
      <c r="I659" s="8"/>
    </row>
    <row r="660" spans="1:9" ht="14.25" customHeight="1" x14ac:dyDescent="0.25">
      <c r="A660" s="8"/>
      <c r="B660" s="8"/>
      <c r="C660" s="8"/>
      <c r="D660" s="8"/>
      <c r="E660" s="8"/>
      <c r="F660" s="9"/>
      <c r="G660" s="8"/>
      <c r="H660" s="8"/>
      <c r="I660" s="8"/>
    </row>
    <row r="661" spans="1:9" ht="14.25" customHeight="1" x14ac:dyDescent="0.25">
      <c r="A661" s="8"/>
      <c r="B661" s="8"/>
      <c r="C661" s="8"/>
      <c r="D661" s="8"/>
      <c r="E661" s="8"/>
      <c r="F661" s="9"/>
      <c r="G661" s="8"/>
      <c r="H661" s="8"/>
      <c r="I661" s="8"/>
    </row>
    <row r="662" spans="1:9" ht="14.25" customHeight="1" x14ac:dyDescent="0.25">
      <c r="A662" s="8"/>
      <c r="B662" s="8"/>
      <c r="C662" s="8"/>
      <c r="D662" s="8"/>
      <c r="E662" s="8"/>
      <c r="F662" s="9"/>
      <c r="G662" s="8"/>
      <c r="H662" s="8"/>
      <c r="I662" s="8"/>
    </row>
    <row r="663" spans="1:9" ht="14.25" customHeight="1" x14ac:dyDescent="0.25">
      <c r="A663" s="8"/>
      <c r="B663" s="8"/>
      <c r="C663" s="8"/>
      <c r="D663" s="8"/>
      <c r="E663" s="8"/>
      <c r="F663" s="9"/>
      <c r="G663" s="8"/>
      <c r="H663" s="8"/>
      <c r="I663" s="8"/>
    </row>
    <row r="664" spans="1:9" ht="14.25" customHeight="1" x14ac:dyDescent="0.25">
      <c r="A664" s="8"/>
      <c r="B664" s="8"/>
      <c r="C664" s="8"/>
      <c r="D664" s="8"/>
      <c r="E664" s="8"/>
      <c r="F664" s="9"/>
      <c r="G664" s="8"/>
      <c r="H664" s="8"/>
      <c r="I664" s="8"/>
    </row>
    <row r="665" spans="1:9" ht="14.25" customHeight="1" x14ac:dyDescent="0.25">
      <c r="A665" s="8"/>
      <c r="B665" s="8"/>
      <c r="C665" s="8"/>
      <c r="D665" s="8"/>
      <c r="E665" s="8"/>
      <c r="F665" s="9"/>
      <c r="G665" s="8"/>
      <c r="H665" s="8"/>
      <c r="I665" s="8"/>
    </row>
    <row r="666" spans="1:9" ht="14.25" customHeight="1" x14ac:dyDescent="0.25">
      <c r="A666" s="8"/>
      <c r="B666" s="8"/>
      <c r="C666" s="8"/>
      <c r="D666" s="8"/>
      <c r="E666" s="8"/>
      <c r="F666" s="9"/>
      <c r="G666" s="8"/>
      <c r="H666" s="8"/>
      <c r="I666" s="8"/>
    </row>
    <row r="667" spans="1:9" ht="14.25" customHeight="1" x14ac:dyDescent="0.25">
      <c r="A667" s="8"/>
      <c r="B667" s="8"/>
      <c r="C667" s="8"/>
      <c r="D667" s="8"/>
      <c r="E667" s="8"/>
      <c r="F667" s="9"/>
      <c r="G667" s="8"/>
      <c r="H667" s="8"/>
      <c r="I667" s="8"/>
    </row>
    <row r="668" spans="1:9" ht="14.25" customHeight="1" x14ac:dyDescent="0.25">
      <c r="A668" s="8"/>
      <c r="B668" s="8"/>
      <c r="C668" s="8"/>
      <c r="D668" s="8"/>
      <c r="E668" s="8"/>
      <c r="F668" s="9"/>
      <c r="G668" s="8"/>
      <c r="H668" s="8"/>
      <c r="I668" s="8"/>
    </row>
    <row r="669" spans="1:9" ht="14.25" customHeight="1" x14ac:dyDescent="0.25">
      <c r="A669" s="8"/>
      <c r="B669" s="8"/>
      <c r="C669" s="8"/>
      <c r="D669" s="8"/>
      <c r="E669" s="8"/>
      <c r="F669" s="9"/>
      <c r="G669" s="8"/>
      <c r="H669" s="8"/>
      <c r="I669" s="8"/>
    </row>
    <row r="670" spans="1:9" ht="14.25" customHeight="1" x14ac:dyDescent="0.25">
      <c r="A670" s="8"/>
      <c r="B670" s="8"/>
      <c r="C670" s="8"/>
      <c r="D670" s="8"/>
      <c r="E670" s="8"/>
      <c r="F670" s="9"/>
      <c r="G670" s="8"/>
      <c r="H670" s="8"/>
      <c r="I670" s="8"/>
    </row>
    <row r="671" spans="1:9" ht="14.25" customHeight="1" x14ac:dyDescent="0.25">
      <c r="A671" s="8"/>
      <c r="B671" s="8"/>
      <c r="C671" s="8"/>
      <c r="D671" s="8"/>
      <c r="E671" s="8"/>
      <c r="F671" s="9"/>
      <c r="G671" s="8"/>
      <c r="H671" s="8"/>
      <c r="I671" s="8"/>
    </row>
    <row r="672" spans="1:9" ht="14.25" customHeight="1" x14ac:dyDescent="0.25">
      <c r="A672" s="8"/>
      <c r="B672" s="8"/>
      <c r="C672" s="8"/>
      <c r="D672" s="8"/>
      <c r="E672" s="8"/>
      <c r="F672" s="9"/>
      <c r="G672" s="8"/>
      <c r="H672" s="8"/>
      <c r="I672" s="8"/>
    </row>
    <row r="673" spans="1:9" ht="14.25" customHeight="1" x14ac:dyDescent="0.25">
      <c r="A673" s="8"/>
      <c r="B673" s="8"/>
      <c r="C673" s="8"/>
      <c r="D673" s="8"/>
      <c r="E673" s="8"/>
      <c r="F673" s="9"/>
      <c r="G673" s="8"/>
      <c r="H673" s="8"/>
      <c r="I673" s="8"/>
    </row>
    <row r="674" spans="1:9" ht="14.25" customHeight="1" x14ac:dyDescent="0.25">
      <c r="A674" s="8"/>
      <c r="B674" s="8"/>
      <c r="C674" s="8"/>
      <c r="D674" s="8"/>
      <c r="E674" s="8"/>
      <c r="F674" s="9"/>
      <c r="G674" s="8"/>
      <c r="H674" s="8"/>
      <c r="I674" s="8"/>
    </row>
    <row r="675" spans="1:9" ht="14.25" customHeight="1" x14ac:dyDescent="0.25">
      <c r="A675" s="8"/>
      <c r="B675" s="8"/>
      <c r="C675" s="8"/>
      <c r="D675" s="8"/>
      <c r="E675" s="8"/>
      <c r="F675" s="9"/>
      <c r="G675" s="8"/>
      <c r="H675" s="8"/>
      <c r="I675" s="8"/>
    </row>
    <row r="676" spans="1:9" ht="14.25" customHeight="1" x14ac:dyDescent="0.25">
      <c r="A676" s="8"/>
      <c r="B676" s="8"/>
      <c r="C676" s="8"/>
      <c r="D676" s="8"/>
      <c r="E676" s="8"/>
      <c r="F676" s="9"/>
      <c r="G676" s="8"/>
      <c r="H676" s="8"/>
      <c r="I676" s="8"/>
    </row>
    <row r="677" spans="1:9" ht="14.25" customHeight="1" x14ac:dyDescent="0.25">
      <c r="A677" s="8"/>
      <c r="B677" s="8"/>
      <c r="C677" s="8"/>
      <c r="D677" s="8"/>
      <c r="E677" s="8"/>
      <c r="F677" s="9"/>
      <c r="G677" s="8"/>
      <c r="H677" s="8"/>
      <c r="I677" s="8"/>
    </row>
    <row r="678" spans="1:9" ht="14.25" customHeight="1" x14ac:dyDescent="0.25">
      <c r="A678" s="8"/>
      <c r="B678" s="8"/>
      <c r="C678" s="8"/>
      <c r="D678" s="8"/>
      <c r="E678" s="8"/>
      <c r="F678" s="9"/>
      <c r="G678" s="8"/>
      <c r="H678" s="8"/>
      <c r="I678" s="8"/>
    </row>
    <row r="679" spans="1:9" ht="14.25" customHeight="1" x14ac:dyDescent="0.25">
      <c r="A679" s="8"/>
      <c r="B679" s="8"/>
      <c r="C679" s="8"/>
      <c r="D679" s="8"/>
      <c r="E679" s="8"/>
      <c r="F679" s="9"/>
      <c r="G679" s="8"/>
      <c r="H679" s="8"/>
      <c r="I679" s="8"/>
    </row>
    <row r="680" spans="1:9" ht="14.25" customHeight="1" x14ac:dyDescent="0.25">
      <c r="A680" s="8"/>
      <c r="B680" s="8"/>
      <c r="C680" s="8"/>
      <c r="D680" s="8"/>
      <c r="E680" s="8"/>
      <c r="F680" s="9"/>
      <c r="G680" s="8"/>
      <c r="H680" s="8"/>
      <c r="I680" s="8"/>
    </row>
    <row r="681" spans="1:9" ht="14.25" customHeight="1" x14ac:dyDescent="0.25">
      <c r="A681" s="8"/>
      <c r="B681" s="8"/>
      <c r="C681" s="8"/>
      <c r="D681" s="8"/>
      <c r="E681" s="8"/>
      <c r="F681" s="9"/>
      <c r="G681" s="8"/>
      <c r="H681" s="8"/>
      <c r="I681" s="8"/>
    </row>
    <row r="682" spans="1:9" ht="14.25" customHeight="1" x14ac:dyDescent="0.25">
      <c r="A682" s="8"/>
      <c r="B682" s="8"/>
      <c r="C682" s="8"/>
      <c r="D682" s="8"/>
      <c r="E682" s="8"/>
      <c r="F682" s="9"/>
      <c r="G682" s="8"/>
      <c r="H682" s="8"/>
      <c r="I682" s="8"/>
    </row>
    <row r="683" spans="1:9" ht="14.25" customHeight="1" x14ac:dyDescent="0.25">
      <c r="A683" s="8"/>
      <c r="B683" s="8"/>
      <c r="C683" s="8"/>
      <c r="D683" s="8"/>
      <c r="E683" s="8"/>
      <c r="F683" s="9"/>
      <c r="G683" s="8"/>
      <c r="H683" s="8"/>
      <c r="I683" s="8"/>
    </row>
    <row r="684" spans="1:9" ht="14.25" customHeight="1" x14ac:dyDescent="0.25">
      <c r="A684" s="8"/>
      <c r="B684" s="8"/>
      <c r="C684" s="8"/>
      <c r="D684" s="8"/>
      <c r="E684" s="8"/>
      <c r="F684" s="9"/>
      <c r="G684" s="8"/>
      <c r="H684" s="8"/>
      <c r="I684" s="8"/>
    </row>
    <row r="685" spans="1:9" ht="14.25" customHeight="1" x14ac:dyDescent="0.25">
      <c r="A685" s="8"/>
      <c r="B685" s="8"/>
      <c r="C685" s="8"/>
      <c r="D685" s="8"/>
      <c r="E685" s="8"/>
      <c r="F685" s="9"/>
      <c r="G685" s="8"/>
      <c r="H685" s="8"/>
      <c r="I685" s="8"/>
    </row>
    <row r="686" spans="1:9" ht="14.25" customHeight="1" x14ac:dyDescent="0.25">
      <c r="A686" s="8"/>
      <c r="B686" s="8"/>
      <c r="C686" s="8"/>
      <c r="D686" s="8"/>
      <c r="E686" s="8"/>
      <c r="F686" s="9"/>
      <c r="G686" s="8"/>
      <c r="H686" s="8"/>
      <c r="I686" s="8"/>
    </row>
    <row r="687" spans="1:9" ht="14.25" customHeight="1" x14ac:dyDescent="0.25">
      <c r="A687" s="8"/>
      <c r="B687" s="8"/>
      <c r="C687" s="8"/>
      <c r="D687" s="8"/>
      <c r="E687" s="8"/>
      <c r="F687" s="9"/>
      <c r="G687" s="8"/>
      <c r="H687" s="8"/>
      <c r="I687" s="8"/>
    </row>
    <row r="688" spans="1:9" ht="14.25" customHeight="1" x14ac:dyDescent="0.25">
      <c r="A688" s="8"/>
      <c r="B688" s="8"/>
      <c r="C688" s="8"/>
      <c r="D688" s="8"/>
      <c r="E688" s="8"/>
      <c r="F688" s="9"/>
      <c r="G688" s="8"/>
      <c r="H688" s="8"/>
      <c r="I688" s="8"/>
    </row>
    <row r="689" spans="1:9" ht="14.25" customHeight="1" x14ac:dyDescent="0.25">
      <c r="A689" s="8"/>
      <c r="B689" s="8"/>
      <c r="C689" s="8"/>
      <c r="D689" s="8"/>
      <c r="E689" s="8"/>
      <c r="F689" s="9"/>
      <c r="G689" s="8"/>
      <c r="H689" s="8"/>
      <c r="I689" s="8"/>
    </row>
    <row r="690" spans="1:9" ht="14.25" customHeight="1" x14ac:dyDescent="0.25">
      <c r="A690" s="8"/>
      <c r="B690" s="8"/>
      <c r="C690" s="8"/>
      <c r="D690" s="8"/>
      <c r="E690" s="8"/>
      <c r="F690" s="9"/>
      <c r="G690" s="8"/>
      <c r="H690" s="8"/>
      <c r="I690" s="8"/>
    </row>
    <row r="691" spans="1:9" ht="14.25" customHeight="1" x14ac:dyDescent="0.25">
      <c r="A691" s="8"/>
      <c r="B691" s="8"/>
      <c r="C691" s="8"/>
      <c r="D691" s="8"/>
      <c r="E691" s="8"/>
      <c r="F691" s="9"/>
      <c r="G691" s="8"/>
      <c r="H691" s="8"/>
      <c r="I691" s="8"/>
    </row>
    <row r="692" spans="1:9" ht="14.25" customHeight="1" x14ac:dyDescent="0.25">
      <c r="A692" s="8"/>
      <c r="B692" s="8"/>
      <c r="C692" s="8"/>
      <c r="D692" s="8"/>
      <c r="E692" s="8"/>
      <c r="F692" s="9"/>
      <c r="G692" s="8"/>
      <c r="H692" s="8"/>
      <c r="I692" s="8"/>
    </row>
    <row r="693" spans="1:9" ht="14.25" customHeight="1" x14ac:dyDescent="0.25">
      <c r="A693" s="8"/>
      <c r="B693" s="8"/>
      <c r="C693" s="8"/>
      <c r="D693" s="8"/>
      <c r="E693" s="8"/>
      <c r="F693" s="9"/>
      <c r="G693" s="8"/>
      <c r="H693" s="8"/>
      <c r="I693" s="8"/>
    </row>
    <row r="694" spans="1:9" ht="14.25" customHeight="1" x14ac:dyDescent="0.25">
      <c r="A694" s="8"/>
      <c r="B694" s="8"/>
      <c r="C694" s="8"/>
      <c r="D694" s="8"/>
      <c r="E694" s="8"/>
      <c r="F694" s="9"/>
      <c r="G694" s="8"/>
      <c r="H694" s="8"/>
      <c r="I694" s="8"/>
    </row>
    <row r="695" spans="1:9" ht="14.25" customHeight="1" x14ac:dyDescent="0.25">
      <c r="A695" s="8"/>
      <c r="B695" s="8"/>
      <c r="C695" s="8"/>
      <c r="D695" s="8"/>
      <c r="E695" s="8"/>
      <c r="F695" s="9"/>
      <c r="G695" s="8"/>
      <c r="H695" s="8"/>
      <c r="I695" s="8"/>
    </row>
    <row r="696" spans="1:9" ht="14.25" customHeight="1" x14ac:dyDescent="0.25">
      <c r="A696" s="8"/>
      <c r="B696" s="8"/>
      <c r="C696" s="8"/>
      <c r="D696" s="8"/>
      <c r="E696" s="8"/>
      <c r="F696" s="9"/>
      <c r="G696" s="8"/>
      <c r="H696" s="8"/>
      <c r="I696" s="8"/>
    </row>
    <row r="697" spans="1:9" ht="14.25" customHeight="1" x14ac:dyDescent="0.25">
      <c r="A697" s="8"/>
      <c r="B697" s="8"/>
      <c r="C697" s="8"/>
      <c r="D697" s="8"/>
      <c r="E697" s="8"/>
      <c r="F697" s="9"/>
      <c r="G697" s="8"/>
      <c r="H697" s="8"/>
      <c r="I697" s="8"/>
    </row>
    <row r="698" spans="1:9" ht="14.25" customHeight="1" x14ac:dyDescent="0.25">
      <c r="A698" s="8"/>
      <c r="B698" s="8"/>
      <c r="C698" s="8"/>
      <c r="D698" s="8"/>
      <c r="E698" s="8"/>
      <c r="F698" s="9"/>
      <c r="G698" s="8"/>
      <c r="H698" s="8"/>
      <c r="I698" s="8"/>
    </row>
    <row r="699" spans="1:9" ht="14.25" customHeight="1" x14ac:dyDescent="0.25">
      <c r="A699" s="8"/>
      <c r="B699" s="8"/>
      <c r="C699" s="8"/>
      <c r="D699" s="8"/>
      <c r="E699" s="8"/>
      <c r="F699" s="9"/>
      <c r="G699" s="8"/>
      <c r="H699" s="8"/>
      <c r="I699" s="8"/>
    </row>
    <row r="700" spans="1:9" ht="14.25" customHeight="1" x14ac:dyDescent="0.25">
      <c r="A700" s="8"/>
      <c r="B700" s="8"/>
      <c r="C700" s="8"/>
      <c r="D700" s="8"/>
      <c r="E700" s="8"/>
      <c r="F700" s="9"/>
      <c r="G700" s="8"/>
      <c r="H700" s="8"/>
      <c r="I700" s="8"/>
    </row>
    <row r="701" spans="1:9" ht="14.25" customHeight="1" x14ac:dyDescent="0.25">
      <c r="A701" s="8"/>
      <c r="B701" s="8"/>
      <c r="C701" s="8"/>
      <c r="D701" s="8"/>
      <c r="E701" s="8"/>
      <c r="F701" s="9"/>
      <c r="G701" s="8"/>
      <c r="H701" s="8"/>
      <c r="I701" s="8"/>
    </row>
    <row r="702" spans="1:9" ht="14.25" customHeight="1" x14ac:dyDescent="0.25">
      <c r="A702" s="8"/>
      <c r="B702" s="8"/>
      <c r="C702" s="8"/>
      <c r="D702" s="8"/>
      <c r="E702" s="8"/>
      <c r="F702" s="9"/>
      <c r="G702" s="8"/>
      <c r="H702" s="8"/>
      <c r="I702" s="8"/>
    </row>
    <row r="703" spans="1:9" ht="14.25" customHeight="1" x14ac:dyDescent="0.25">
      <c r="A703" s="8"/>
      <c r="B703" s="8"/>
      <c r="C703" s="8"/>
      <c r="D703" s="8"/>
      <c r="E703" s="8"/>
      <c r="F703" s="9"/>
      <c r="G703" s="8"/>
      <c r="H703" s="8"/>
      <c r="I703" s="8"/>
    </row>
    <row r="704" spans="1:9" ht="14.25" customHeight="1" x14ac:dyDescent="0.25">
      <c r="A704" s="8"/>
      <c r="B704" s="8"/>
      <c r="C704" s="8"/>
      <c r="D704" s="8"/>
      <c r="E704" s="8"/>
      <c r="F704" s="9"/>
      <c r="G704" s="8"/>
      <c r="H704" s="8"/>
      <c r="I704" s="8"/>
    </row>
    <row r="705" spans="1:9" ht="14.25" customHeight="1" x14ac:dyDescent="0.25">
      <c r="A705" s="8"/>
      <c r="B705" s="8"/>
      <c r="C705" s="8"/>
      <c r="D705" s="8"/>
      <c r="E705" s="8"/>
      <c r="F705" s="9"/>
      <c r="G705" s="8"/>
      <c r="H705" s="8"/>
      <c r="I705" s="8"/>
    </row>
    <row r="706" spans="1:9" ht="14.25" customHeight="1" x14ac:dyDescent="0.25">
      <c r="A706" s="8"/>
      <c r="B706" s="8"/>
      <c r="C706" s="8"/>
      <c r="D706" s="8"/>
      <c r="E706" s="8"/>
      <c r="F706" s="9"/>
      <c r="G706" s="8"/>
      <c r="H706" s="8"/>
      <c r="I706" s="8"/>
    </row>
    <row r="707" spans="1:9" ht="14.25" customHeight="1" x14ac:dyDescent="0.25">
      <c r="A707" s="8"/>
      <c r="B707" s="8"/>
      <c r="C707" s="8"/>
      <c r="D707" s="8"/>
      <c r="E707" s="8"/>
      <c r="F707" s="9"/>
      <c r="G707" s="8"/>
      <c r="H707" s="8"/>
      <c r="I707" s="8"/>
    </row>
    <row r="708" spans="1:9" ht="14.25" customHeight="1" x14ac:dyDescent="0.25">
      <c r="A708" s="8"/>
      <c r="B708" s="8"/>
      <c r="C708" s="8"/>
      <c r="D708" s="8"/>
      <c r="E708" s="8"/>
      <c r="F708" s="9"/>
      <c r="G708" s="8"/>
      <c r="H708" s="8"/>
      <c r="I708" s="8"/>
    </row>
    <row r="709" spans="1:9" ht="14.25" customHeight="1" x14ac:dyDescent="0.25">
      <c r="A709" s="8"/>
      <c r="B709" s="8"/>
      <c r="C709" s="8"/>
      <c r="D709" s="8"/>
      <c r="E709" s="8"/>
      <c r="F709" s="9"/>
      <c r="G709" s="8"/>
      <c r="H709" s="8"/>
      <c r="I709" s="8"/>
    </row>
    <row r="710" spans="1:9" ht="14.25" customHeight="1" x14ac:dyDescent="0.25">
      <c r="A710" s="8"/>
      <c r="B710" s="8"/>
      <c r="C710" s="8"/>
      <c r="D710" s="8"/>
      <c r="E710" s="8"/>
      <c r="F710" s="9"/>
      <c r="G710" s="8"/>
      <c r="H710" s="8"/>
      <c r="I710" s="8"/>
    </row>
    <row r="711" spans="1:9" ht="14.25" customHeight="1" x14ac:dyDescent="0.25">
      <c r="A711" s="8"/>
      <c r="B711" s="8"/>
      <c r="C711" s="8"/>
      <c r="D711" s="8"/>
      <c r="E711" s="8"/>
      <c r="F711" s="9"/>
      <c r="G711" s="8"/>
      <c r="H711" s="8"/>
      <c r="I711" s="8"/>
    </row>
    <row r="712" spans="1:9" ht="14.25" customHeight="1" x14ac:dyDescent="0.25">
      <c r="A712" s="8"/>
      <c r="B712" s="8"/>
      <c r="C712" s="8"/>
      <c r="D712" s="8"/>
      <c r="E712" s="8"/>
      <c r="F712" s="9"/>
      <c r="G712" s="8"/>
      <c r="H712" s="8"/>
      <c r="I712" s="8"/>
    </row>
    <row r="713" spans="1:9" ht="14.25" customHeight="1" x14ac:dyDescent="0.25">
      <c r="A713" s="8"/>
      <c r="B713" s="8"/>
      <c r="C713" s="8"/>
      <c r="D713" s="8"/>
      <c r="E713" s="8"/>
      <c r="F713" s="9"/>
      <c r="G713" s="8"/>
      <c r="H713" s="8"/>
      <c r="I713" s="8"/>
    </row>
    <row r="714" spans="1:9" ht="14.25" customHeight="1" x14ac:dyDescent="0.25">
      <c r="A714" s="8"/>
      <c r="B714" s="8"/>
      <c r="C714" s="8"/>
      <c r="D714" s="8"/>
      <c r="E714" s="8"/>
      <c r="F714" s="9"/>
      <c r="G714" s="8"/>
      <c r="H714" s="8"/>
      <c r="I714" s="8"/>
    </row>
    <row r="715" spans="1:9" ht="14.25" customHeight="1" x14ac:dyDescent="0.25">
      <c r="A715" s="8"/>
      <c r="B715" s="8"/>
      <c r="C715" s="8"/>
      <c r="D715" s="8"/>
      <c r="E715" s="8"/>
      <c r="F715" s="9"/>
      <c r="G715" s="8"/>
      <c r="H715" s="8"/>
      <c r="I715" s="8"/>
    </row>
    <row r="716" spans="1:9" ht="14.25" customHeight="1" x14ac:dyDescent="0.25">
      <c r="A716" s="8"/>
      <c r="B716" s="8"/>
      <c r="C716" s="8"/>
      <c r="D716" s="8"/>
      <c r="E716" s="8"/>
      <c r="F716" s="9"/>
      <c r="G716" s="8"/>
      <c r="H716" s="8"/>
      <c r="I716" s="8"/>
    </row>
    <row r="717" spans="1:9" ht="14.25" customHeight="1" x14ac:dyDescent="0.25">
      <c r="A717" s="8"/>
      <c r="B717" s="8"/>
      <c r="C717" s="8"/>
      <c r="D717" s="8"/>
      <c r="E717" s="8"/>
      <c r="F717" s="9"/>
      <c r="G717" s="8"/>
      <c r="H717" s="8"/>
      <c r="I717" s="8"/>
    </row>
    <row r="718" spans="1:9" ht="14.25" customHeight="1" x14ac:dyDescent="0.25">
      <c r="A718" s="8"/>
      <c r="B718" s="8"/>
      <c r="C718" s="8"/>
      <c r="D718" s="8"/>
      <c r="E718" s="8"/>
      <c r="F718" s="9"/>
      <c r="G718" s="8"/>
      <c r="H718" s="8"/>
      <c r="I718" s="8"/>
    </row>
    <row r="719" spans="1:9" ht="14.25" customHeight="1" x14ac:dyDescent="0.25">
      <c r="A719" s="8"/>
      <c r="B719" s="8"/>
      <c r="C719" s="8"/>
      <c r="D719" s="8"/>
      <c r="E719" s="8"/>
      <c r="F719" s="9"/>
      <c r="G719" s="8"/>
      <c r="H719" s="8"/>
      <c r="I719" s="8"/>
    </row>
    <row r="720" spans="1:9" ht="14.25" customHeight="1" x14ac:dyDescent="0.25">
      <c r="A720" s="8"/>
      <c r="B720" s="8"/>
      <c r="C720" s="8"/>
      <c r="D720" s="8"/>
      <c r="E720" s="8"/>
      <c r="F720" s="9"/>
      <c r="G720" s="8"/>
      <c r="H720" s="8"/>
      <c r="I720" s="8"/>
    </row>
    <row r="721" spans="1:9" ht="14.25" customHeight="1" x14ac:dyDescent="0.25">
      <c r="A721" s="8"/>
      <c r="B721" s="8"/>
      <c r="C721" s="8"/>
      <c r="D721" s="8"/>
      <c r="E721" s="8"/>
      <c r="F721" s="9"/>
      <c r="G721" s="8"/>
      <c r="H721" s="8"/>
      <c r="I721" s="8"/>
    </row>
    <row r="722" spans="1:9" ht="14.25" customHeight="1" x14ac:dyDescent="0.25">
      <c r="A722" s="8"/>
      <c r="B722" s="8"/>
      <c r="C722" s="8"/>
      <c r="D722" s="8"/>
      <c r="E722" s="8"/>
      <c r="F722" s="9"/>
      <c r="G722" s="8"/>
      <c r="H722" s="8"/>
      <c r="I722" s="8"/>
    </row>
    <row r="723" spans="1:9" ht="14.25" customHeight="1" x14ac:dyDescent="0.25">
      <c r="A723" s="8"/>
      <c r="B723" s="8"/>
      <c r="C723" s="8"/>
      <c r="D723" s="8"/>
      <c r="E723" s="8"/>
      <c r="F723" s="9"/>
      <c r="G723" s="8"/>
      <c r="H723" s="8"/>
      <c r="I723" s="8"/>
    </row>
    <row r="724" spans="1:9" ht="14.25" customHeight="1" x14ac:dyDescent="0.25">
      <c r="A724" s="8"/>
      <c r="B724" s="8"/>
      <c r="C724" s="8"/>
      <c r="D724" s="8"/>
      <c r="E724" s="8"/>
      <c r="F724" s="9"/>
      <c r="G724" s="8"/>
      <c r="H724" s="8"/>
      <c r="I724" s="8"/>
    </row>
    <row r="725" spans="1:9" ht="14.25" customHeight="1" x14ac:dyDescent="0.25">
      <c r="A725" s="8"/>
      <c r="B725" s="8"/>
      <c r="C725" s="8"/>
      <c r="D725" s="8"/>
      <c r="E725" s="8"/>
      <c r="F725" s="9"/>
      <c r="G725" s="8"/>
      <c r="H725" s="8"/>
      <c r="I725" s="8"/>
    </row>
    <row r="726" spans="1:9" ht="14.25" customHeight="1" x14ac:dyDescent="0.25">
      <c r="A726" s="8"/>
      <c r="B726" s="8"/>
      <c r="C726" s="8"/>
      <c r="D726" s="8"/>
      <c r="E726" s="8"/>
      <c r="F726" s="9"/>
      <c r="G726" s="8"/>
      <c r="H726" s="8"/>
      <c r="I726" s="8"/>
    </row>
    <row r="727" spans="1:9" ht="14.25" customHeight="1" x14ac:dyDescent="0.25">
      <c r="A727" s="8"/>
      <c r="B727" s="8"/>
      <c r="C727" s="8"/>
      <c r="D727" s="8"/>
      <c r="E727" s="8"/>
      <c r="F727" s="9"/>
      <c r="G727" s="8"/>
      <c r="H727" s="8"/>
      <c r="I727" s="8"/>
    </row>
    <row r="728" spans="1:9" ht="14.25" customHeight="1" x14ac:dyDescent="0.25">
      <c r="A728" s="8"/>
      <c r="B728" s="8"/>
      <c r="C728" s="8"/>
      <c r="D728" s="8"/>
      <c r="E728" s="8"/>
      <c r="F728" s="9"/>
      <c r="G728" s="8"/>
      <c r="H728" s="8"/>
      <c r="I728" s="8"/>
    </row>
    <row r="729" spans="1:9" ht="14.25" customHeight="1" x14ac:dyDescent="0.25">
      <c r="A729" s="8"/>
      <c r="B729" s="8"/>
      <c r="C729" s="8"/>
      <c r="D729" s="8"/>
      <c r="E729" s="8"/>
      <c r="F729" s="9"/>
      <c r="G729" s="8"/>
      <c r="H729" s="8"/>
      <c r="I729" s="8"/>
    </row>
    <row r="730" spans="1:9" ht="14.25" customHeight="1" x14ac:dyDescent="0.25">
      <c r="A730" s="8"/>
      <c r="B730" s="8"/>
      <c r="C730" s="8"/>
      <c r="D730" s="8"/>
      <c r="E730" s="8"/>
      <c r="F730" s="9"/>
      <c r="G730" s="8"/>
      <c r="H730" s="8"/>
      <c r="I730" s="8"/>
    </row>
    <row r="731" spans="1:9" ht="14.25" customHeight="1" x14ac:dyDescent="0.25">
      <c r="A731" s="8"/>
      <c r="B731" s="8"/>
      <c r="C731" s="8"/>
      <c r="D731" s="8"/>
      <c r="E731" s="8"/>
      <c r="F731" s="9"/>
      <c r="G731" s="8"/>
      <c r="H731" s="8"/>
      <c r="I731" s="8"/>
    </row>
    <row r="732" spans="1:9" ht="14.25" customHeight="1" x14ac:dyDescent="0.25">
      <c r="A732" s="8"/>
      <c r="B732" s="8"/>
      <c r="C732" s="8"/>
      <c r="D732" s="8"/>
      <c r="E732" s="8"/>
      <c r="F732" s="9"/>
      <c r="G732" s="8"/>
      <c r="H732" s="8"/>
      <c r="I732" s="8"/>
    </row>
    <row r="733" spans="1:9" ht="14.25" customHeight="1" x14ac:dyDescent="0.25">
      <c r="A733" s="8"/>
      <c r="B733" s="8"/>
      <c r="C733" s="8"/>
      <c r="D733" s="8"/>
      <c r="E733" s="8"/>
      <c r="F733" s="9"/>
      <c r="G733" s="8"/>
      <c r="H733" s="8"/>
      <c r="I733" s="8"/>
    </row>
    <row r="734" spans="1:9" ht="14.25" customHeight="1" x14ac:dyDescent="0.25">
      <c r="A734" s="8"/>
      <c r="B734" s="8"/>
      <c r="C734" s="8"/>
      <c r="D734" s="8"/>
      <c r="E734" s="8"/>
      <c r="F734" s="9"/>
      <c r="G734" s="8"/>
      <c r="H734" s="8"/>
      <c r="I734" s="8"/>
    </row>
    <row r="735" spans="1:9" ht="14.25" customHeight="1" x14ac:dyDescent="0.25">
      <c r="A735" s="8"/>
      <c r="B735" s="8"/>
      <c r="C735" s="8"/>
      <c r="D735" s="8"/>
      <c r="E735" s="8"/>
      <c r="F735" s="9"/>
      <c r="G735" s="8"/>
      <c r="H735" s="8"/>
      <c r="I735" s="8"/>
    </row>
    <row r="736" spans="1:9" ht="14.25" customHeight="1" x14ac:dyDescent="0.25">
      <c r="A736" s="8"/>
      <c r="B736" s="8"/>
      <c r="C736" s="8"/>
      <c r="D736" s="8"/>
      <c r="E736" s="8"/>
      <c r="F736" s="9"/>
      <c r="G736" s="8"/>
      <c r="H736" s="8"/>
      <c r="I736" s="8"/>
    </row>
    <row r="737" spans="1:9" ht="14.25" customHeight="1" x14ac:dyDescent="0.25">
      <c r="A737" s="8"/>
      <c r="B737" s="8"/>
      <c r="C737" s="8"/>
      <c r="D737" s="8"/>
      <c r="E737" s="8"/>
      <c r="F737" s="9"/>
      <c r="G737" s="8"/>
      <c r="H737" s="8"/>
      <c r="I737" s="8"/>
    </row>
    <row r="738" spans="1:9" ht="14.25" customHeight="1" x14ac:dyDescent="0.25">
      <c r="A738" s="8"/>
      <c r="B738" s="8"/>
      <c r="C738" s="8"/>
      <c r="D738" s="8"/>
      <c r="E738" s="8"/>
      <c r="F738" s="9"/>
      <c r="G738" s="8"/>
      <c r="H738" s="8"/>
      <c r="I738" s="8"/>
    </row>
    <row r="739" spans="1:9" ht="14.25" customHeight="1" x14ac:dyDescent="0.25">
      <c r="A739" s="8"/>
      <c r="B739" s="8"/>
      <c r="C739" s="8"/>
      <c r="D739" s="8"/>
      <c r="E739" s="8"/>
      <c r="F739" s="9"/>
      <c r="G739" s="8"/>
      <c r="H739" s="8"/>
      <c r="I739" s="8"/>
    </row>
    <row r="740" spans="1:9" ht="14.25" customHeight="1" x14ac:dyDescent="0.25">
      <c r="A740" s="8"/>
      <c r="B740" s="8"/>
      <c r="C740" s="8"/>
      <c r="D740" s="8"/>
      <c r="E740" s="8"/>
      <c r="F740" s="9"/>
      <c r="G740" s="8"/>
      <c r="H740" s="8"/>
      <c r="I740" s="8"/>
    </row>
    <row r="741" spans="1:9" ht="14.25" customHeight="1" x14ac:dyDescent="0.25">
      <c r="A741" s="8"/>
      <c r="B741" s="8"/>
      <c r="C741" s="8"/>
      <c r="D741" s="8"/>
      <c r="E741" s="8"/>
      <c r="F741" s="9"/>
      <c r="G741" s="8"/>
      <c r="H741" s="8"/>
      <c r="I741" s="8"/>
    </row>
    <row r="742" spans="1:9" ht="14.25" customHeight="1" x14ac:dyDescent="0.25">
      <c r="A742" s="8"/>
      <c r="B742" s="8"/>
      <c r="C742" s="8"/>
      <c r="D742" s="8"/>
      <c r="E742" s="8"/>
      <c r="F742" s="9"/>
      <c r="G742" s="8"/>
      <c r="H742" s="8"/>
      <c r="I742" s="8"/>
    </row>
    <row r="743" spans="1:9" ht="14.25" customHeight="1" x14ac:dyDescent="0.25">
      <c r="A743" s="8"/>
      <c r="B743" s="8"/>
      <c r="C743" s="8"/>
      <c r="D743" s="8"/>
      <c r="E743" s="8"/>
      <c r="F743" s="9"/>
      <c r="G743" s="8"/>
      <c r="H743" s="8"/>
      <c r="I743" s="8"/>
    </row>
    <row r="744" spans="1:9" ht="14.25" customHeight="1" x14ac:dyDescent="0.25">
      <c r="A744" s="8"/>
      <c r="B744" s="8"/>
      <c r="C744" s="8"/>
      <c r="D744" s="8"/>
      <c r="E744" s="8"/>
      <c r="F744" s="9"/>
      <c r="G744" s="8"/>
      <c r="H744" s="8"/>
      <c r="I744" s="8"/>
    </row>
    <row r="745" spans="1:9" ht="14.25" customHeight="1" x14ac:dyDescent="0.25">
      <c r="A745" s="8"/>
      <c r="B745" s="8"/>
      <c r="C745" s="8"/>
      <c r="D745" s="8"/>
      <c r="E745" s="8"/>
      <c r="F745" s="9"/>
      <c r="G745" s="8"/>
      <c r="H745" s="8"/>
      <c r="I745" s="8"/>
    </row>
    <row r="746" spans="1:9" ht="14.25" customHeight="1" x14ac:dyDescent="0.25">
      <c r="A746" s="8"/>
      <c r="B746" s="8"/>
      <c r="C746" s="8"/>
      <c r="D746" s="8"/>
      <c r="E746" s="8"/>
      <c r="F746" s="9"/>
      <c r="G746" s="8"/>
      <c r="H746" s="8"/>
      <c r="I746" s="8"/>
    </row>
    <row r="747" spans="1:9" ht="14.25" customHeight="1" x14ac:dyDescent="0.25">
      <c r="A747" s="8"/>
      <c r="B747" s="8"/>
      <c r="C747" s="8"/>
      <c r="D747" s="8"/>
      <c r="E747" s="8"/>
      <c r="F747" s="9"/>
      <c r="G747" s="8"/>
      <c r="H747" s="8"/>
      <c r="I747" s="8"/>
    </row>
    <row r="748" spans="1:9" ht="14.25" customHeight="1" x14ac:dyDescent="0.25">
      <c r="A748" s="8"/>
      <c r="B748" s="8"/>
      <c r="C748" s="8"/>
      <c r="D748" s="8"/>
      <c r="E748" s="8"/>
      <c r="F748" s="9"/>
      <c r="G748" s="8"/>
      <c r="H748" s="8"/>
      <c r="I748" s="8"/>
    </row>
    <row r="749" spans="1:9" ht="14.25" customHeight="1" x14ac:dyDescent="0.25">
      <c r="A749" s="8"/>
      <c r="B749" s="8"/>
      <c r="C749" s="8"/>
      <c r="D749" s="8"/>
      <c r="E749" s="8"/>
      <c r="F749" s="9"/>
      <c r="G749" s="8"/>
      <c r="H749" s="8"/>
      <c r="I749" s="8"/>
    </row>
    <row r="750" spans="1:9" ht="14.25" customHeight="1" x14ac:dyDescent="0.25">
      <c r="A750" s="8"/>
      <c r="B750" s="8"/>
      <c r="C750" s="8"/>
      <c r="D750" s="8"/>
      <c r="E750" s="8"/>
      <c r="F750" s="9"/>
      <c r="G750" s="8"/>
      <c r="H750" s="8"/>
      <c r="I750" s="8"/>
    </row>
    <row r="751" spans="1:9" ht="14.25" customHeight="1" x14ac:dyDescent="0.25">
      <c r="A751" s="8"/>
      <c r="B751" s="8"/>
      <c r="C751" s="8"/>
      <c r="D751" s="8"/>
      <c r="E751" s="8"/>
      <c r="F751" s="9"/>
      <c r="G751" s="8"/>
      <c r="H751" s="8"/>
      <c r="I751" s="8"/>
    </row>
    <row r="752" spans="1:9" ht="14.25" customHeight="1" x14ac:dyDescent="0.25">
      <c r="A752" s="8"/>
      <c r="B752" s="8"/>
      <c r="C752" s="8"/>
      <c r="D752" s="8"/>
      <c r="E752" s="8"/>
      <c r="F752" s="9"/>
      <c r="G752" s="8"/>
      <c r="H752" s="8"/>
      <c r="I752" s="8"/>
    </row>
    <row r="753" spans="1:9" ht="14.25" customHeight="1" x14ac:dyDescent="0.25">
      <c r="A753" s="8"/>
      <c r="B753" s="8"/>
      <c r="C753" s="8"/>
      <c r="D753" s="8"/>
      <c r="E753" s="8"/>
      <c r="F753" s="9"/>
      <c r="G753" s="8"/>
      <c r="H753" s="8"/>
      <c r="I753" s="8"/>
    </row>
    <row r="754" spans="1:9" ht="14.25" customHeight="1" x14ac:dyDescent="0.25">
      <c r="A754" s="8"/>
      <c r="B754" s="8"/>
      <c r="C754" s="8"/>
      <c r="D754" s="8"/>
      <c r="E754" s="8"/>
      <c r="F754" s="9"/>
      <c r="G754" s="8"/>
      <c r="H754" s="8"/>
      <c r="I754" s="8"/>
    </row>
    <row r="755" spans="1:9" ht="14.25" customHeight="1" x14ac:dyDescent="0.25">
      <c r="A755" s="8"/>
      <c r="B755" s="8"/>
      <c r="C755" s="8"/>
      <c r="D755" s="8"/>
      <c r="E755" s="8"/>
      <c r="F755" s="9"/>
      <c r="G755" s="8"/>
      <c r="H755" s="8"/>
      <c r="I755" s="8"/>
    </row>
    <row r="756" spans="1:9" ht="14.25" customHeight="1" x14ac:dyDescent="0.25">
      <c r="A756" s="8"/>
      <c r="B756" s="8"/>
      <c r="C756" s="8"/>
      <c r="D756" s="8"/>
      <c r="E756" s="8"/>
      <c r="F756" s="9"/>
      <c r="G756" s="8"/>
      <c r="H756" s="8"/>
      <c r="I756" s="8"/>
    </row>
    <row r="757" spans="1:9" ht="14.25" customHeight="1" x14ac:dyDescent="0.25">
      <c r="A757" s="8"/>
      <c r="B757" s="8"/>
      <c r="C757" s="8"/>
      <c r="D757" s="8"/>
      <c r="E757" s="8"/>
      <c r="F757" s="9"/>
      <c r="G757" s="8"/>
      <c r="H757" s="8"/>
      <c r="I757" s="8"/>
    </row>
    <row r="758" spans="1:9" ht="14.25" customHeight="1" x14ac:dyDescent="0.25">
      <c r="A758" s="8"/>
      <c r="B758" s="8"/>
      <c r="C758" s="8"/>
      <c r="D758" s="8"/>
      <c r="E758" s="8"/>
      <c r="F758" s="9"/>
      <c r="G758" s="8"/>
      <c r="H758" s="8"/>
      <c r="I758" s="8"/>
    </row>
    <row r="759" spans="1:9" ht="14.25" customHeight="1" x14ac:dyDescent="0.25">
      <c r="A759" s="8"/>
      <c r="B759" s="8"/>
      <c r="C759" s="8"/>
      <c r="D759" s="8"/>
      <c r="E759" s="8"/>
      <c r="F759" s="9"/>
      <c r="G759" s="8"/>
      <c r="H759" s="8"/>
      <c r="I759" s="8"/>
    </row>
    <row r="760" spans="1:9" ht="14.25" customHeight="1" x14ac:dyDescent="0.25">
      <c r="A760" s="8"/>
      <c r="B760" s="8"/>
      <c r="C760" s="8"/>
      <c r="D760" s="8"/>
      <c r="E760" s="8"/>
      <c r="F760" s="9"/>
      <c r="G760" s="8"/>
      <c r="H760" s="8"/>
      <c r="I760" s="8"/>
    </row>
    <row r="761" spans="1:9" ht="14.25" customHeight="1" x14ac:dyDescent="0.25">
      <c r="A761" s="8"/>
      <c r="B761" s="8"/>
      <c r="C761" s="8"/>
      <c r="D761" s="8"/>
      <c r="E761" s="8"/>
      <c r="F761" s="9"/>
      <c r="G761" s="8"/>
      <c r="H761" s="8"/>
      <c r="I761" s="8"/>
    </row>
    <row r="762" spans="1:9" ht="14.25" customHeight="1" x14ac:dyDescent="0.25">
      <c r="A762" s="8"/>
      <c r="B762" s="8"/>
      <c r="C762" s="8"/>
      <c r="D762" s="8"/>
      <c r="E762" s="8"/>
      <c r="F762" s="9"/>
      <c r="G762" s="8"/>
      <c r="H762" s="8"/>
      <c r="I762" s="8"/>
    </row>
    <row r="763" spans="1:9" ht="14.25" customHeight="1" x14ac:dyDescent="0.25">
      <c r="A763" s="8"/>
      <c r="B763" s="8"/>
      <c r="C763" s="8"/>
      <c r="D763" s="8"/>
      <c r="E763" s="8"/>
      <c r="F763" s="9"/>
      <c r="G763" s="8"/>
      <c r="H763" s="8"/>
      <c r="I763" s="8"/>
    </row>
    <row r="764" spans="1:9" ht="14.25" customHeight="1" x14ac:dyDescent="0.25">
      <c r="A764" s="8"/>
      <c r="B764" s="8"/>
      <c r="C764" s="8"/>
      <c r="D764" s="8"/>
      <c r="E764" s="8"/>
      <c r="F764" s="9"/>
      <c r="G764" s="8"/>
      <c r="H764" s="8"/>
      <c r="I764" s="8"/>
    </row>
    <row r="765" spans="1:9" ht="14.25" customHeight="1" x14ac:dyDescent="0.25">
      <c r="A765" s="8"/>
      <c r="B765" s="8"/>
      <c r="C765" s="8"/>
      <c r="D765" s="8"/>
      <c r="E765" s="8"/>
      <c r="F765" s="9"/>
      <c r="G765" s="8"/>
      <c r="H765" s="8"/>
      <c r="I765" s="8"/>
    </row>
    <row r="766" spans="1:9" ht="14.25" customHeight="1" x14ac:dyDescent="0.25">
      <c r="A766" s="8"/>
      <c r="B766" s="8"/>
      <c r="C766" s="8"/>
      <c r="D766" s="8"/>
      <c r="E766" s="8"/>
      <c r="F766" s="9"/>
      <c r="G766" s="8"/>
      <c r="H766" s="8"/>
      <c r="I766" s="8"/>
    </row>
    <row r="767" spans="1:9" ht="14.25" customHeight="1" x14ac:dyDescent="0.25">
      <c r="A767" s="8"/>
      <c r="B767" s="8"/>
      <c r="C767" s="8"/>
      <c r="D767" s="8"/>
      <c r="E767" s="8"/>
      <c r="F767" s="9"/>
      <c r="G767" s="8"/>
      <c r="H767" s="8"/>
      <c r="I767" s="8"/>
    </row>
    <row r="768" spans="1:9" ht="14.25" customHeight="1" x14ac:dyDescent="0.25">
      <c r="A768" s="8"/>
      <c r="B768" s="8"/>
      <c r="C768" s="8"/>
      <c r="D768" s="8"/>
      <c r="E768" s="8"/>
      <c r="F768" s="9"/>
      <c r="G768" s="8"/>
      <c r="H768" s="8"/>
      <c r="I768" s="8"/>
    </row>
    <row r="769" spans="1:9" ht="14.25" customHeight="1" x14ac:dyDescent="0.25">
      <c r="A769" s="8"/>
      <c r="B769" s="8"/>
      <c r="C769" s="8"/>
      <c r="D769" s="8"/>
      <c r="E769" s="8"/>
      <c r="F769" s="9"/>
      <c r="G769" s="8"/>
      <c r="H769" s="8"/>
      <c r="I769" s="8"/>
    </row>
    <row r="770" spans="1:9" ht="14.25" customHeight="1" x14ac:dyDescent="0.25">
      <c r="A770" s="8"/>
      <c r="B770" s="8"/>
      <c r="C770" s="8"/>
      <c r="D770" s="8"/>
      <c r="E770" s="8"/>
      <c r="F770" s="9"/>
      <c r="G770" s="8"/>
      <c r="H770" s="8"/>
      <c r="I770" s="8"/>
    </row>
    <row r="771" spans="1:9" ht="14.25" customHeight="1" x14ac:dyDescent="0.25">
      <c r="A771" s="8"/>
      <c r="B771" s="8"/>
      <c r="C771" s="8"/>
      <c r="D771" s="8"/>
      <c r="E771" s="8"/>
      <c r="F771" s="9"/>
      <c r="G771" s="8"/>
      <c r="H771" s="8"/>
      <c r="I771" s="8"/>
    </row>
    <row r="772" spans="1:9" ht="14.25" customHeight="1" x14ac:dyDescent="0.25">
      <c r="A772" s="8"/>
      <c r="B772" s="8"/>
      <c r="C772" s="8"/>
      <c r="D772" s="8"/>
      <c r="E772" s="8"/>
      <c r="F772" s="9"/>
      <c r="G772" s="8"/>
      <c r="H772" s="8"/>
      <c r="I772" s="8"/>
    </row>
    <row r="773" spans="1:9" ht="14.25" customHeight="1" x14ac:dyDescent="0.25">
      <c r="A773" s="8"/>
      <c r="B773" s="8"/>
      <c r="C773" s="8"/>
      <c r="D773" s="8"/>
      <c r="E773" s="8"/>
      <c r="F773" s="9"/>
      <c r="G773" s="8"/>
      <c r="H773" s="8"/>
      <c r="I773" s="8"/>
    </row>
    <row r="774" spans="1:9" ht="14.25" customHeight="1" x14ac:dyDescent="0.25">
      <c r="A774" s="8"/>
      <c r="B774" s="8"/>
      <c r="C774" s="8"/>
      <c r="D774" s="8"/>
      <c r="E774" s="8"/>
      <c r="F774" s="9"/>
      <c r="G774" s="8"/>
      <c r="H774" s="8"/>
      <c r="I774" s="8"/>
    </row>
    <row r="775" spans="1:9" ht="14.25" customHeight="1" x14ac:dyDescent="0.25">
      <c r="A775" s="8"/>
      <c r="B775" s="8"/>
      <c r="C775" s="8"/>
      <c r="D775" s="8"/>
      <c r="E775" s="8"/>
      <c r="F775" s="9"/>
      <c r="G775" s="8"/>
      <c r="H775" s="8"/>
      <c r="I775" s="8"/>
    </row>
    <row r="776" spans="1:9" ht="14.25" customHeight="1" x14ac:dyDescent="0.25">
      <c r="A776" s="8"/>
      <c r="B776" s="8"/>
      <c r="C776" s="8"/>
      <c r="D776" s="8"/>
      <c r="E776" s="8"/>
      <c r="F776" s="9"/>
      <c r="G776" s="8"/>
      <c r="H776" s="8"/>
      <c r="I776" s="8"/>
    </row>
    <row r="777" spans="1:9" ht="14.25" customHeight="1" x14ac:dyDescent="0.25">
      <c r="A777" s="8"/>
      <c r="B777" s="8"/>
      <c r="C777" s="8"/>
      <c r="D777" s="8"/>
      <c r="E777" s="8"/>
      <c r="F777" s="9"/>
      <c r="G777" s="8"/>
      <c r="H777" s="8"/>
      <c r="I777" s="8"/>
    </row>
    <row r="778" spans="1:9" ht="14.25" customHeight="1" x14ac:dyDescent="0.25">
      <c r="A778" s="8"/>
      <c r="B778" s="8"/>
      <c r="C778" s="8"/>
      <c r="D778" s="8"/>
      <c r="E778" s="8"/>
      <c r="F778" s="9"/>
      <c r="G778" s="8"/>
      <c r="H778" s="8"/>
      <c r="I778" s="8"/>
    </row>
    <row r="779" spans="1:9" ht="14.25" customHeight="1" x14ac:dyDescent="0.25">
      <c r="A779" s="8"/>
      <c r="B779" s="8"/>
      <c r="C779" s="8"/>
      <c r="D779" s="8"/>
      <c r="E779" s="8"/>
      <c r="F779" s="9"/>
      <c r="G779" s="8"/>
      <c r="H779" s="8"/>
      <c r="I779" s="8"/>
    </row>
    <row r="780" spans="1:9" ht="14.25" customHeight="1" x14ac:dyDescent="0.25">
      <c r="A780" s="8"/>
      <c r="B780" s="8"/>
      <c r="C780" s="8"/>
      <c r="D780" s="8"/>
      <c r="E780" s="8"/>
      <c r="F780" s="9"/>
      <c r="G780" s="8"/>
      <c r="H780" s="8"/>
      <c r="I780" s="8"/>
    </row>
    <row r="781" spans="1:9" ht="14.25" customHeight="1" x14ac:dyDescent="0.25">
      <c r="A781" s="8"/>
      <c r="B781" s="8"/>
      <c r="C781" s="8"/>
      <c r="D781" s="8"/>
      <c r="E781" s="8"/>
      <c r="F781" s="9"/>
      <c r="G781" s="8"/>
      <c r="H781" s="8"/>
      <c r="I781" s="8"/>
    </row>
    <row r="782" spans="1:9" ht="14.25" customHeight="1" x14ac:dyDescent="0.25">
      <c r="A782" s="8"/>
      <c r="B782" s="8"/>
      <c r="C782" s="8"/>
      <c r="D782" s="8"/>
      <c r="E782" s="8"/>
      <c r="F782" s="9"/>
      <c r="G782" s="8"/>
      <c r="H782" s="8"/>
      <c r="I782" s="8"/>
    </row>
    <row r="783" spans="1:9" ht="14.25" customHeight="1" x14ac:dyDescent="0.25">
      <c r="A783" s="8"/>
      <c r="B783" s="8"/>
      <c r="C783" s="8"/>
      <c r="D783" s="8"/>
      <c r="E783" s="8"/>
      <c r="F783" s="9"/>
      <c r="G783" s="8"/>
      <c r="H783" s="8"/>
      <c r="I783" s="8"/>
    </row>
    <row r="784" spans="1:9" ht="14.25" customHeight="1" x14ac:dyDescent="0.25">
      <c r="A784" s="8"/>
      <c r="B784" s="8"/>
      <c r="C784" s="8"/>
      <c r="D784" s="8"/>
      <c r="E784" s="8"/>
      <c r="F784" s="9"/>
      <c r="G784" s="8"/>
      <c r="H784" s="8"/>
      <c r="I784" s="8"/>
    </row>
    <row r="785" spans="1:9" ht="14.25" customHeight="1" x14ac:dyDescent="0.25">
      <c r="A785" s="8"/>
      <c r="B785" s="8"/>
      <c r="C785" s="8"/>
      <c r="D785" s="8"/>
      <c r="E785" s="8"/>
      <c r="F785" s="9"/>
      <c r="G785" s="8"/>
      <c r="H785" s="8"/>
      <c r="I785" s="8"/>
    </row>
    <row r="786" spans="1:9" ht="14.25" customHeight="1" x14ac:dyDescent="0.25">
      <c r="A786" s="8"/>
      <c r="B786" s="8"/>
      <c r="C786" s="8"/>
      <c r="D786" s="8"/>
      <c r="E786" s="8"/>
      <c r="F786" s="9"/>
      <c r="G786" s="8"/>
      <c r="H786" s="8"/>
      <c r="I786" s="8"/>
    </row>
    <row r="787" spans="1:9" ht="14.25" customHeight="1" x14ac:dyDescent="0.25">
      <c r="A787" s="8"/>
      <c r="B787" s="8"/>
      <c r="C787" s="8"/>
      <c r="D787" s="8"/>
      <c r="E787" s="8"/>
      <c r="F787" s="9"/>
      <c r="G787" s="8"/>
      <c r="H787" s="8"/>
      <c r="I787" s="8"/>
    </row>
    <row r="788" spans="1:9" ht="14.25" customHeight="1" x14ac:dyDescent="0.25">
      <c r="A788" s="8"/>
      <c r="B788" s="8"/>
      <c r="C788" s="8"/>
      <c r="D788" s="8"/>
      <c r="E788" s="8"/>
      <c r="F788" s="9"/>
      <c r="G788" s="8"/>
      <c r="H788" s="8"/>
      <c r="I788" s="8"/>
    </row>
    <row r="789" spans="1:9" ht="14.25" customHeight="1" x14ac:dyDescent="0.25">
      <c r="A789" s="8"/>
      <c r="B789" s="8"/>
      <c r="C789" s="8"/>
      <c r="D789" s="8"/>
      <c r="E789" s="8"/>
      <c r="F789" s="9"/>
      <c r="G789" s="8"/>
      <c r="H789" s="8"/>
      <c r="I789" s="8"/>
    </row>
    <row r="790" spans="1:9" ht="14.25" customHeight="1" x14ac:dyDescent="0.25">
      <c r="A790" s="8"/>
      <c r="B790" s="8"/>
      <c r="C790" s="8"/>
      <c r="D790" s="8"/>
      <c r="E790" s="8"/>
      <c r="F790" s="9"/>
      <c r="G790" s="8"/>
      <c r="H790" s="8"/>
      <c r="I790" s="8"/>
    </row>
    <row r="791" spans="1:9" ht="14.25" customHeight="1" x14ac:dyDescent="0.25">
      <c r="A791" s="8"/>
      <c r="B791" s="8"/>
      <c r="C791" s="8"/>
      <c r="D791" s="8"/>
      <c r="E791" s="8"/>
      <c r="F791" s="9"/>
      <c r="G791" s="8"/>
      <c r="H791" s="8"/>
      <c r="I791" s="8"/>
    </row>
    <row r="792" spans="1:9" ht="14.25" customHeight="1" x14ac:dyDescent="0.25">
      <c r="A792" s="8"/>
      <c r="B792" s="8"/>
      <c r="C792" s="8"/>
      <c r="D792" s="8"/>
      <c r="E792" s="8"/>
      <c r="F792" s="9"/>
      <c r="G792" s="8"/>
      <c r="H792" s="8"/>
      <c r="I792" s="8"/>
    </row>
    <row r="793" spans="1:9" ht="14.25" customHeight="1" x14ac:dyDescent="0.25">
      <c r="A793" s="8"/>
      <c r="B793" s="8"/>
      <c r="C793" s="8"/>
      <c r="D793" s="8"/>
      <c r="E793" s="8"/>
      <c r="F793" s="9"/>
      <c r="G793" s="8"/>
      <c r="H793" s="8"/>
      <c r="I793" s="8"/>
    </row>
    <row r="794" spans="1:9" ht="14.25" customHeight="1" x14ac:dyDescent="0.25">
      <c r="A794" s="8"/>
      <c r="B794" s="8"/>
      <c r="C794" s="8"/>
      <c r="D794" s="8"/>
      <c r="E794" s="8"/>
      <c r="F794" s="9"/>
      <c r="G794" s="8"/>
      <c r="H794" s="8"/>
      <c r="I794" s="8"/>
    </row>
    <row r="795" spans="1:9" ht="14.25" customHeight="1" x14ac:dyDescent="0.25">
      <c r="A795" s="8"/>
      <c r="B795" s="8"/>
      <c r="C795" s="8"/>
      <c r="D795" s="8"/>
      <c r="E795" s="8"/>
      <c r="F795" s="9"/>
      <c r="G795" s="8"/>
      <c r="H795" s="8"/>
      <c r="I795" s="8"/>
    </row>
    <row r="796" spans="1:9" ht="14.25" customHeight="1" x14ac:dyDescent="0.25">
      <c r="A796" s="8"/>
      <c r="B796" s="8"/>
      <c r="C796" s="8"/>
      <c r="D796" s="8"/>
      <c r="E796" s="8"/>
      <c r="F796" s="9"/>
      <c r="G796" s="8"/>
      <c r="H796" s="8"/>
      <c r="I796" s="8"/>
    </row>
    <row r="797" spans="1:9" ht="14.25" customHeight="1" x14ac:dyDescent="0.25">
      <c r="A797" s="8"/>
      <c r="B797" s="8"/>
      <c r="C797" s="8"/>
      <c r="D797" s="8"/>
      <c r="E797" s="8"/>
      <c r="F797" s="9"/>
      <c r="G797" s="8"/>
      <c r="H797" s="8"/>
      <c r="I797" s="8"/>
    </row>
    <row r="798" spans="1:9" ht="14.25" customHeight="1" x14ac:dyDescent="0.25">
      <c r="A798" s="8"/>
      <c r="B798" s="8"/>
      <c r="C798" s="8"/>
      <c r="D798" s="8"/>
      <c r="E798" s="8"/>
      <c r="F798" s="9"/>
      <c r="G798" s="8"/>
      <c r="H798" s="8"/>
      <c r="I798" s="8"/>
    </row>
    <row r="799" spans="1:9" ht="14.25" customHeight="1" x14ac:dyDescent="0.25">
      <c r="A799" s="8"/>
      <c r="B799" s="8"/>
      <c r="C799" s="8"/>
      <c r="D799" s="8"/>
      <c r="E799" s="8"/>
      <c r="F799" s="9"/>
      <c r="G799" s="8"/>
      <c r="H799" s="8"/>
      <c r="I799" s="8"/>
    </row>
    <row r="800" spans="1:9" ht="14.25" customHeight="1" x14ac:dyDescent="0.25">
      <c r="A800" s="8"/>
      <c r="B800" s="8"/>
      <c r="C800" s="8"/>
      <c r="D800" s="8"/>
      <c r="E800" s="8"/>
      <c r="F800" s="9"/>
      <c r="G800" s="8"/>
      <c r="H800" s="8"/>
      <c r="I800" s="8"/>
    </row>
    <row r="801" spans="1:9" ht="14.25" customHeight="1" x14ac:dyDescent="0.25">
      <c r="A801" s="8"/>
      <c r="B801" s="8"/>
      <c r="C801" s="8"/>
      <c r="D801" s="8"/>
      <c r="E801" s="8"/>
      <c r="F801" s="9"/>
      <c r="G801" s="8"/>
      <c r="H801" s="8"/>
      <c r="I801" s="8"/>
    </row>
    <row r="802" spans="1:9" ht="14.25" customHeight="1" x14ac:dyDescent="0.25">
      <c r="A802" s="8"/>
      <c r="B802" s="8"/>
      <c r="C802" s="8"/>
      <c r="D802" s="8"/>
      <c r="E802" s="8"/>
      <c r="F802" s="9"/>
      <c r="G802" s="8"/>
      <c r="H802" s="8"/>
      <c r="I802" s="8"/>
    </row>
    <row r="803" spans="1:9" ht="14.25" customHeight="1" x14ac:dyDescent="0.25">
      <c r="A803" s="8"/>
      <c r="B803" s="8"/>
      <c r="C803" s="8"/>
      <c r="D803" s="8"/>
      <c r="E803" s="8"/>
      <c r="F803" s="9"/>
      <c r="G803" s="8"/>
      <c r="H803" s="8"/>
      <c r="I803" s="8"/>
    </row>
    <row r="804" spans="1:9" ht="14.25" customHeight="1" x14ac:dyDescent="0.25">
      <c r="A804" s="8"/>
      <c r="B804" s="8"/>
      <c r="C804" s="8"/>
      <c r="D804" s="8"/>
      <c r="E804" s="8"/>
      <c r="F804" s="9"/>
      <c r="G804" s="8"/>
      <c r="H804" s="8"/>
      <c r="I804" s="8"/>
    </row>
    <row r="805" spans="1:9" ht="14.25" customHeight="1" x14ac:dyDescent="0.25">
      <c r="A805" s="8"/>
      <c r="B805" s="8"/>
      <c r="C805" s="8"/>
      <c r="D805" s="8"/>
      <c r="E805" s="8"/>
      <c r="F805" s="9"/>
      <c r="G805" s="8"/>
      <c r="H805" s="8"/>
      <c r="I805" s="8"/>
    </row>
    <row r="806" spans="1:9" ht="14.25" customHeight="1" x14ac:dyDescent="0.25">
      <c r="A806" s="8"/>
      <c r="B806" s="8"/>
      <c r="C806" s="8"/>
      <c r="D806" s="8"/>
      <c r="E806" s="8"/>
      <c r="F806" s="9"/>
      <c r="G806" s="8"/>
      <c r="H806" s="8"/>
      <c r="I806" s="8"/>
    </row>
    <row r="807" spans="1:9" ht="14.25" customHeight="1" x14ac:dyDescent="0.25">
      <c r="A807" s="8"/>
      <c r="B807" s="8"/>
      <c r="C807" s="8"/>
      <c r="D807" s="8"/>
      <c r="E807" s="8"/>
      <c r="F807" s="9"/>
      <c r="G807" s="8"/>
      <c r="H807" s="8"/>
      <c r="I807" s="8"/>
    </row>
    <row r="808" spans="1:9" ht="14.25" customHeight="1" x14ac:dyDescent="0.25">
      <c r="A808" s="8"/>
      <c r="B808" s="8"/>
      <c r="C808" s="8"/>
      <c r="D808" s="8"/>
      <c r="E808" s="8"/>
      <c r="F808" s="9"/>
      <c r="G808" s="8"/>
      <c r="H808" s="8"/>
      <c r="I808" s="8"/>
    </row>
    <row r="809" spans="1:9" ht="14.25" customHeight="1" x14ac:dyDescent="0.25">
      <c r="A809" s="8"/>
      <c r="B809" s="8"/>
      <c r="C809" s="8"/>
      <c r="D809" s="8"/>
      <c r="E809" s="8"/>
      <c r="F809" s="9"/>
      <c r="G809" s="8"/>
      <c r="H809" s="8"/>
      <c r="I809" s="8"/>
    </row>
    <row r="810" spans="1:9" ht="14.25" customHeight="1" x14ac:dyDescent="0.25">
      <c r="A810" s="8"/>
      <c r="B810" s="8"/>
      <c r="C810" s="8"/>
      <c r="D810" s="8"/>
      <c r="E810" s="8"/>
      <c r="F810" s="9"/>
      <c r="G810" s="8"/>
      <c r="H810" s="8"/>
      <c r="I810" s="8"/>
    </row>
    <row r="811" spans="1:9" ht="14.25" customHeight="1" x14ac:dyDescent="0.25">
      <c r="A811" s="8"/>
      <c r="B811" s="8"/>
      <c r="C811" s="8"/>
      <c r="D811" s="8"/>
      <c r="E811" s="8"/>
      <c r="F811" s="9"/>
      <c r="G811" s="8"/>
      <c r="H811" s="8"/>
      <c r="I811" s="8"/>
    </row>
    <row r="812" spans="1:9" ht="14.25" customHeight="1" x14ac:dyDescent="0.25">
      <c r="A812" s="8"/>
      <c r="B812" s="8"/>
      <c r="C812" s="8"/>
      <c r="D812" s="8"/>
      <c r="E812" s="8"/>
      <c r="F812" s="9"/>
      <c r="G812" s="8"/>
      <c r="H812" s="8"/>
      <c r="I812" s="8"/>
    </row>
    <row r="813" spans="1:9" ht="14.25" customHeight="1" x14ac:dyDescent="0.25">
      <c r="A813" s="8"/>
      <c r="B813" s="8"/>
      <c r="C813" s="8"/>
      <c r="D813" s="8"/>
      <c r="E813" s="8"/>
      <c r="F813" s="9"/>
      <c r="G813" s="8"/>
      <c r="H813" s="8"/>
      <c r="I813" s="8"/>
    </row>
    <row r="814" spans="1:9" ht="14.25" customHeight="1" x14ac:dyDescent="0.25">
      <c r="A814" s="8"/>
      <c r="B814" s="8"/>
      <c r="C814" s="8"/>
      <c r="D814" s="8"/>
      <c r="E814" s="8"/>
      <c r="F814" s="9"/>
      <c r="G814" s="8"/>
      <c r="H814" s="8"/>
      <c r="I814" s="8"/>
    </row>
    <row r="815" spans="1:9" ht="14.25" customHeight="1" x14ac:dyDescent="0.25">
      <c r="A815" s="8"/>
      <c r="B815" s="8"/>
      <c r="C815" s="8"/>
      <c r="D815" s="8"/>
      <c r="E815" s="8"/>
      <c r="F815" s="9"/>
      <c r="G815" s="8"/>
      <c r="H815" s="8"/>
      <c r="I815" s="8"/>
    </row>
    <row r="816" spans="1:9" ht="14.25" customHeight="1" x14ac:dyDescent="0.25">
      <c r="A816" s="8"/>
      <c r="B816" s="8"/>
      <c r="C816" s="8"/>
      <c r="D816" s="8"/>
      <c r="E816" s="8"/>
      <c r="F816" s="9"/>
      <c r="G816" s="8"/>
      <c r="H816" s="8"/>
      <c r="I816" s="8"/>
    </row>
    <row r="817" spans="1:9" ht="14.25" customHeight="1" x14ac:dyDescent="0.25">
      <c r="A817" s="8"/>
      <c r="B817" s="8"/>
      <c r="C817" s="8"/>
      <c r="D817" s="8"/>
      <c r="E817" s="8"/>
      <c r="F817" s="9"/>
      <c r="G817" s="8"/>
      <c r="H817" s="8"/>
      <c r="I817" s="8"/>
    </row>
    <row r="818" spans="1:9" ht="14.25" customHeight="1" x14ac:dyDescent="0.25">
      <c r="A818" s="8"/>
      <c r="B818" s="8"/>
      <c r="C818" s="8"/>
      <c r="D818" s="8"/>
      <c r="E818" s="8"/>
      <c r="F818" s="9"/>
      <c r="G818" s="8"/>
      <c r="H818" s="8"/>
      <c r="I818" s="8"/>
    </row>
    <row r="819" spans="1:9" ht="14.25" customHeight="1" x14ac:dyDescent="0.25">
      <c r="A819" s="8"/>
      <c r="B819" s="8"/>
      <c r="C819" s="8"/>
      <c r="D819" s="8"/>
      <c r="E819" s="8"/>
      <c r="F819" s="9"/>
      <c r="G819" s="8"/>
      <c r="H819" s="8"/>
      <c r="I819" s="8"/>
    </row>
    <row r="820" spans="1:9" ht="14.25" customHeight="1" x14ac:dyDescent="0.25">
      <c r="A820" s="8"/>
      <c r="B820" s="8"/>
      <c r="C820" s="8"/>
      <c r="D820" s="8"/>
      <c r="E820" s="8"/>
      <c r="F820" s="9"/>
      <c r="G820" s="8"/>
      <c r="H820" s="8"/>
      <c r="I820" s="8"/>
    </row>
    <row r="821" spans="1:9" ht="14.25" customHeight="1" x14ac:dyDescent="0.25">
      <c r="A821" s="8"/>
      <c r="B821" s="8"/>
      <c r="C821" s="8"/>
      <c r="D821" s="8"/>
      <c r="E821" s="8"/>
      <c r="F821" s="9"/>
      <c r="G821" s="8"/>
      <c r="H821" s="8"/>
      <c r="I821" s="8"/>
    </row>
    <row r="822" spans="1:9" ht="14.25" customHeight="1" x14ac:dyDescent="0.25">
      <c r="A822" s="8"/>
      <c r="B822" s="8"/>
      <c r="C822" s="8"/>
      <c r="D822" s="8"/>
      <c r="E822" s="8"/>
      <c r="F822" s="9"/>
      <c r="G822" s="8"/>
      <c r="H822" s="8"/>
      <c r="I822" s="8"/>
    </row>
    <row r="823" spans="1:9" ht="14.25" customHeight="1" x14ac:dyDescent="0.25">
      <c r="A823" s="8"/>
      <c r="B823" s="8"/>
      <c r="C823" s="8"/>
      <c r="D823" s="8"/>
      <c r="E823" s="8"/>
      <c r="F823" s="9"/>
      <c r="G823" s="8"/>
      <c r="H823" s="8"/>
      <c r="I823" s="8"/>
    </row>
    <row r="824" spans="1:9" ht="14.25" customHeight="1" x14ac:dyDescent="0.25">
      <c r="A824" s="8"/>
      <c r="B824" s="8"/>
      <c r="C824" s="8"/>
      <c r="D824" s="8"/>
      <c r="E824" s="8"/>
      <c r="F824" s="9"/>
      <c r="G824" s="8"/>
      <c r="H824" s="8"/>
      <c r="I824" s="8"/>
    </row>
    <row r="825" spans="1:9" ht="14.25" customHeight="1" x14ac:dyDescent="0.25">
      <c r="A825" s="8"/>
      <c r="B825" s="8"/>
      <c r="C825" s="8"/>
      <c r="D825" s="8"/>
      <c r="E825" s="8"/>
      <c r="F825" s="9"/>
      <c r="G825" s="8"/>
      <c r="H825" s="8"/>
      <c r="I825" s="8"/>
    </row>
    <row r="826" spans="1:9" ht="14.25" customHeight="1" x14ac:dyDescent="0.25">
      <c r="A826" s="8"/>
      <c r="B826" s="8"/>
      <c r="C826" s="8"/>
      <c r="D826" s="8"/>
      <c r="E826" s="8"/>
      <c r="F826" s="9"/>
      <c r="G826" s="8"/>
      <c r="H826" s="8"/>
      <c r="I826" s="8"/>
    </row>
    <row r="827" spans="1:9" ht="14.25" customHeight="1" x14ac:dyDescent="0.25">
      <c r="A827" s="8"/>
      <c r="B827" s="8"/>
      <c r="C827" s="8"/>
      <c r="D827" s="8"/>
      <c r="E827" s="8"/>
      <c r="F827" s="9"/>
      <c r="G827" s="8"/>
      <c r="H827" s="8"/>
      <c r="I827" s="8"/>
    </row>
    <row r="828" spans="1:9" ht="14.25" customHeight="1" x14ac:dyDescent="0.25">
      <c r="A828" s="8"/>
      <c r="B828" s="8"/>
      <c r="C828" s="8"/>
      <c r="D828" s="8"/>
      <c r="E828" s="8"/>
      <c r="F828" s="9"/>
      <c r="G828" s="8"/>
      <c r="H828" s="8"/>
      <c r="I828" s="8"/>
    </row>
    <row r="829" spans="1:9" ht="14.25" customHeight="1" x14ac:dyDescent="0.25">
      <c r="A829" s="8"/>
      <c r="B829" s="8"/>
      <c r="C829" s="8"/>
      <c r="D829" s="8"/>
      <c r="E829" s="8"/>
      <c r="F829" s="9"/>
      <c r="G829" s="8"/>
      <c r="H829" s="8"/>
      <c r="I829" s="8"/>
    </row>
    <row r="830" spans="1:9" ht="14.25" customHeight="1" x14ac:dyDescent="0.25">
      <c r="A830" s="8"/>
      <c r="B830" s="8"/>
      <c r="C830" s="8"/>
      <c r="D830" s="8"/>
      <c r="E830" s="8"/>
      <c r="F830" s="9"/>
      <c r="G830" s="8"/>
      <c r="H830" s="8"/>
      <c r="I830" s="8"/>
    </row>
    <row r="831" spans="1:9" ht="14.25" customHeight="1" x14ac:dyDescent="0.25">
      <c r="A831" s="8"/>
      <c r="B831" s="8"/>
      <c r="C831" s="8"/>
      <c r="D831" s="8"/>
      <c r="E831" s="8"/>
      <c r="F831" s="9"/>
      <c r="G831" s="8"/>
      <c r="H831" s="8"/>
      <c r="I831" s="8"/>
    </row>
    <row r="832" spans="1:9" ht="14.25" customHeight="1" x14ac:dyDescent="0.25">
      <c r="A832" s="8"/>
      <c r="B832" s="8"/>
      <c r="C832" s="8"/>
      <c r="D832" s="8"/>
      <c r="E832" s="8"/>
      <c r="F832" s="9"/>
      <c r="G832" s="8"/>
      <c r="H832" s="8"/>
      <c r="I832" s="8"/>
    </row>
    <row r="833" spans="1:9" ht="14.25" customHeight="1" x14ac:dyDescent="0.25">
      <c r="A833" s="8"/>
      <c r="B833" s="8"/>
      <c r="C833" s="8"/>
      <c r="D833" s="8"/>
      <c r="E833" s="8"/>
      <c r="F833" s="9"/>
      <c r="G833" s="8"/>
      <c r="H833" s="8"/>
      <c r="I833" s="8"/>
    </row>
    <row r="834" spans="1:9" ht="14.25" customHeight="1" x14ac:dyDescent="0.25">
      <c r="A834" s="8"/>
      <c r="B834" s="8"/>
      <c r="C834" s="8"/>
      <c r="D834" s="8"/>
      <c r="E834" s="8"/>
      <c r="F834" s="9"/>
      <c r="G834" s="8"/>
      <c r="H834" s="8"/>
      <c r="I834" s="8"/>
    </row>
    <row r="835" spans="1:9" ht="14.25" customHeight="1" x14ac:dyDescent="0.25">
      <c r="A835" s="8"/>
      <c r="B835" s="8"/>
      <c r="C835" s="8"/>
      <c r="D835" s="8"/>
      <c r="E835" s="8"/>
      <c r="F835" s="9"/>
      <c r="G835" s="8"/>
      <c r="H835" s="8"/>
      <c r="I835" s="8"/>
    </row>
    <row r="836" spans="1:9" ht="14.25" customHeight="1" x14ac:dyDescent="0.25">
      <c r="A836" s="8"/>
      <c r="B836" s="8"/>
      <c r="C836" s="8"/>
      <c r="D836" s="8"/>
      <c r="E836" s="8"/>
      <c r="F836" s="9"/>
      <c r="G836" s="8"/>
      <c r="H836" s="8"/>
      <c r="I836" s="8"/>
    </row>
    <row r="837" spans="1:9" ht="14.25" customHeight="1" x14ac:dyDescent="0.25">
      <c r="A837" s="8"/>
      <c r="B837" s="8"/>
      <c r="C837" s="8"/>
      <c r="D837" s="8"/>
      <c r="E837" s="8"/>
      <c r="F837" s="9"/>
      <c r="G837" s="8"/>
      <c r="H837" s="8"/>
      <c r="I837" s="8"/>
    </row>
    <row r="838" spans="1:9" ht="14.25" customHeight="1" x14ac:dyDescent="0.25">
      <c r="A838" s="8"/>
      <c r="B838" s="8"/>
      <c r="C838" s="8"/>
      <c r="D838" s="8"/>
      <c r="E838" s="8"/>
      <c r="F838" s="9"/>
      <c r="G838" s="8"/>
      <c r="H838" s="8"/>
      <c r="I838" s="8"/>
    </row>
    <row r="839" spans="1:9" ht="14.25" customHeight="1" x14ac:dyDescent="0.25">
      <c r="A839" s="8"/>
      <c r="B839" s="8"/>
      <c r="C839" s="8"/>
      <c r="D839" s="8"/>
      <c r="E839" s="8"/>
      <c r="F839" s="9"/>
      <c r="G839" s="8"/>
      <c r="H839" s="8"/>
      <c r="I839" s="8"/>
    </row>
    <row r="840" spans="1:9" ht="14.25" customHeight="1" x14ac:dyDescent="0.25">
      <c r="A840" s="8"/>
      <c r="B840" s="8"/>
      <c r="C840" s="8"/>
      <c r="D840" s="8"/>
      <c r="E840" s="8"/>
      <c r="F840" s="9"/>
      <c r="G840" s="8"/>
      <c r="H840" s="8"/>
      <c r="I840" s="8"/>
    </row>
    <row r="841" spans="1:9" ht="14.25" customHeight="1" x14ac:dyDescent="0.25">
      <c r="A841" s="8"/>
      <c r="B841" s="8"/>
      <c r="C841" s="8"/>
      <c r="D841" s="8"/>
      <c r="E841" s="8"/>
      <c r="F841" s="9"/>
      <c r="G841" s="8"/>
      <c r="H841" s="8"/>
      <c r="I841" s="8"/>
    </row>
    <row r="842" spans="1:9" ht="14.25" customHeight="1" x14ac:dyDescent="0.25">
      <c r="A842" s="8"/>
      <c r="B842" s="8"/>
      <c r="C842" s="8"/>
      <c r="D842" s="8"/>
      <c r="E842" s="8"/>
      <c r="F842" s="9"/>
      <c r="G842" s="8"/>
      <c r="H842" s="8"/>
      <c r="I842" s="8"/>
    </row>
    <row r="843" spans="1:9" ht="14.25" customHeight="1" x14ac:dyDescent="0.25">
      <c r="A843" s="8"/>
      <c r="B843" s="8"/>
      <c r="C843" s="8"/>
      <c r="D843" s="8"/>
      <c r="E843" s="8"/>
      <c r="F843" s="9"/>
      <c r="G843" s="8"/>
      <c r="H843" s="8"/>
      <c r="I843" s="8"/>
    </row>
    <row r="844" spans="1:9" ht="14.25" customHeight="1" x14ac:dyDescent="0.25">
      <c r="A844" s="8"/>
      <c r="B844" s="8"/>
      <c r="C844" s="8"/>
      <c r="D844" s="8"/>
      <c r="E844" s="8"/>
      <c r="F844" s="9"/>
      <c r="G844" s="8"/>
      <c r="H844" s="8"/>
      <c r="I844" s="8"/>
    </row>
    <row r="845" spans="1:9" ht="14.25" customHeight="1" x14ac:dyDescent="0.25">
      <c r="A845" s="8"/>
      <c r="B845" s="8"/>
      <c r="C845" s="8"/>
      <c r="D845" s="8"/>
      <c r="E845" s="8"/>
      <c r="F845" s="9"/>
      <c r="G845" s="8"/>
      <c r="H845" s="8"/>
      <c r="I845" s="8"/>
    </row>
    <row r="846" spans="1:9" ht="14.25" customHeight="1" x14ac:dyDescent="0.25">
      <c r="A846" s="8"/>
      <c r="B846" s="8"/>
      <c r="C846" s="8"/>
      <c r="D846" s="8"/>
      <c r="E846" s="8"/>
      <c r="F846" s="9"/>
      <c r="G846" s="8"/>
      <c r="H846" s="8"/>
      <c r="I846" s="8"/>
    </row>
    <row r="847" spans="1:9" ht="14.25" customHeight="1" x14ac:dyDescent="0.25">
      <c r="A847" s="8"/>
      <c r="B847" s="8"/>
      <c r="C847" s="8"/>
      <c r="D847" s="8"/>
      <c r="E847" s="8"/>
      <c r="F847" s="9"/>
      <c r="G847" s="8"/>
      <c r="H847" s="8"/>
      <c r="I847" s="8"/>
    </row>
    <row r="848" spans="1:9" ht="14.25" customHeight="1" x14ac:dyDescent="0.25">
      <c r="A848" s="8"/>
      <c r="B848" s="8"/>
      <c r="C848" s="8"/>
      <c r="D848" s="8"/>
      <c r="E848" s="8"/>
      <c r="F848" s="9"/>
      <c r="G848" s="8"/>
      <c r="H848" s="8"/>
      <c r="I848" s="8"/>
    </row>
    <row r="849" spans="1:9" ht="14.25" customHeight="1" x14ac:dyDescent="0.25">
      <c r="A849" s="8"/>
      <c r="B849" s="8"/>
      <c r="C849" s="8"/>
      <c r="D849" s="8"/>
      <c r="E849" s="8"/>
      <c r="F849" s="9"/>
      <c r="G849" s="8"/>
      <c r="H849" s="8"/>
      <c r="I849" s="8"/>
    </row>
    <row r="850" spans="1:9" ht="14.25" customHeight="1" x14ac:dyDescent="0.25">
      <c r="A850" s="8"/>
      <c r="B850" s="8"/>
      <c r="C850" s="8"/>
      <c r="D850" s="8"/>
      <c r="E850" s="8"/>
      <c r="F850" s="9"/>
      <c r="G850" s="8"/>
      <c r="H850" s="8"/>
      <c r="I850" s="8"/>
    </row>
    <row r="851" spans="1:9" ht="14.25" customHeight="1" x14ac:dyDescent="0.25">
      <c r="A851" s="8"/>
      <c r="B851" s="8"/>
      <c r="C851" s="8"/>
      <c r="D851" s="8"/>
      <c r="E851" s="8"/>
      <c r="F851" s="9"/>
      <c r="G851" s="8"/>
      <c r="H851" s="8"/>
      <c r="I851" s="8"/>
    </row>
    <row r="852" spans="1:9" ht="14.25" customHeight="1" x14ac:dyDescent="0.25">
      <c r="A852" s="8"/>
      <c r="B852" s="8"/>
      <c r="C852" s="8"/>
      <c r="D852" s="8"/>
      <c r="E852" s="8"/>
      <c r="F852" s="9"/>
      <c r="G852" s="8"/>
      <c r="H852" s="8"/>
      <c r="I852" s="8"/>
    </row>
    <row r="853" spans="1:9" ht="14.25" customHeight="1" x14ac:dyDescent="0.25">
      <c r="A853" s="8"/>
      <c r="B853" s="8"/>
      <c r="C853" s="8"/>
      <c r="D853" s="8"/>
      <c r="E853" s="8"/>
      <c r="F853" s="9"/>
      <c r="G853" s="8"/>
      <c r="H853" s="8"/>
      <c r="I853" s="8"/>
    </row>
    <row r="854" spans="1:9" ht="14.25" customHeight="1" x14ac:dyDescent="0.25">
      <c r="A854" s="8"/>
      <c r="B854" s="8"/>
      <c r="C854" s="8"/>
      <c r="D854" s="8"/>
      <c r="E854" s="8"/>
      <c r="F854" s="9"/>
      <c r="G854" s="8"/>
      <c r="H854" s="8"/>
      <c r="I854" s="8"/>
    </row>
    <row r="855" spans="1:9" ht="14.25" customHeight="1" x14ac:dyDescent="0.25">
      <c r="A855" s="8"/>
      <c r="B855" s="8"/>
      <c r="C855" s="8"/>
      <c r="D855" s="8"/>
      <c r="E855" s="8"/>
      <c r="F855" s="9"/>
      <c r="G855" s="8"/>
      <c r="H855" s="8"/>
      <c r="I855" s="8"/>
    </row>
    <row r="856" spans="1:9" ht="14.25" customHeight="1" x14ac:dyDescent="0.25">
      <c r="A856" s="8"/>
      <c r="B856" s="8"/>
      <c r="C856" s="8"/>
      <c r="D856" s="8"/>
      <c r="E856" s="8"/>
      <c r="F856" s="9"/>
      <c r="G856" s="8"/>
      <c r="H856" s="8"/>
      <c r="I856" s="8"/>
    </row>
    <row r="857" spans="1:9" ht="14.25" customHeight="1" x14ac:dyDescent="0.25">
      <c r="A857" s="8"/>
      <c r="B857" s="8"/>
      <c r="C857" s="8"/>
      <c r="D857" s="8"/>
      <c r="E857" s="8"/>
      <c r="F857" s="9"/>
      <c r="G857" s="8"/>
      <c r="H857" s="8"/>
      <c r="I857" s="8"/>
    </row>
    <row r="858" spans="1:9" ht="14.25" customHeight="1" x14ac:dyDescent="0.25">
      <c r="A858" s="8"/>
      <c r="B858" s="8"/>
      <c r="C858" s="8"/>
      <c r="D858" s="8"/>
      <c r="E858" s="8"/>
      <c r="F858" s="9"/>
      <c r="G858" s="8"/>
      <c r="H858" s="8"/>
      <c r="I858" s="8"/>
    </row>
    <row r="859" spans="1:9" ht="14.25" customHeight="1" x14ac:dyDescent="0.25">
      <c r="A859" s="8"/>
      <c r="B859" s="8"/>
      <c r="C859" s="8"/>
      <c r="D859" s="8"/>
      <c r="E859" s="8"/>
      <c r="F859" s="9"/>
      <c r="G859" s="8"/>
      <c r="H859" s="8"/>
      <c r="I859" s="8"/>
    </row>
    <row r="860" spans="1:9" ht="14.25" customHeight="1" x14ac:dyDescent="0.25">
      <c r="A860" s="8"/>
      <c r="B860" s="8"/>
      <c r="C860" s="8"/>
      <c r="D860" s="8"/>
      <c r="E860" s="8"/>
      <c r="F860" s="9"/>
      <c r="G860" s="8"/>
      <c r="H860" s="8"/>
      <c r="I860" s="8"/>
    </row>
    <row r="861" spans="1:9" ht="14.25" customHeight="1" x14ac:dyDescent="0.25">
      <c r="A861" s="8"/>
      <c r="B861" s="8"/>
      <c r="C861" s="8"/>
      <c r="D861" s="8"/>
      <c r="E861" s="8"/>
      <c r="F861" s="9"/>
      <c r="G861" s="8"/>
      <c r="H861" s="8"/>
      <c r="I861" s="8"/>
    </row>
    <row r="862" spans="1:9" ht="14.25" customHeight="1" x14ac:dyDescent="0.25">
      <c r="A862" s="8"/>
      <c r="B862" s="8"/>
      <c r="C862" s="8"/>
      <c r="D862" s="8"/>
      <c r="E862" s="8"/>
      <c r="F862" s="9"/>
      <c r="G862" s="8"/>
      <c r="H862" s="8"/>
      <c r="I862" s="8"/>
    </row>
    <row r="863" spans="1:9" ht="14.25" customHeight="1" x14ac:dyDescent="0.25">
      <c r="A863" s="8"/>
      <c r="B863" s="8"/>
      <c r="C863" s="8"/>
      <c r="D863" s="8"/>
      <c r="E863" s="8"/>
      <c r="F863" s="9"/>
      <c r="G863" s="8"/>
      <c r="H863" s="8"/>
      <c r="I863" s="8"/>
    </row>
    <row r="864" spans="1:9" ht="14.25" customHeight="1" x14ac:dyDescent="0.25">
      <c r="A864" s="8"/>
      <c r="B864" s="8"/>
      <c r="C864" s="8"/>
      <c r="D864" s="8"/>
      <c r="E864" s="8"/>
      <c r="F864" s="9"/>
      <c r="G864" s="8"/>
      <c r="H864" s="8"/>
      <c r="I864" s="8"/>
    </row>
    <row r="865" spans="1:9" ht="14.25" customHeight="1" x14ac:dyDescent="0.25">
      <c r="A865" s="8"/>
      <c r="B865" s="8"/>
      <c r="C865" s="8"/>
      <c r="D865" s="8"/>
      <c r="E865" s="8"/>
      <c r="F865" s="9"/>
      <c r="G865" s="8"/>
      <c r="H865" s="8"/>
      <c r="I865" s="8"/>
    </row>
    <row r="866" spans="1:9" ht="14.25" customHeight="1" x14ac:dyDescent="0.25">
      <c r="A866" s="8"/>
      <c r="B866" s="8"/>
      <c r="C866" s="8"/>
      <c r="D866" s="8"/>
      <c r="E866" s="8"/>
      <c r="F866" s="9"/>
      <c r="G866" s="8"/>
      <c r="H866" s="8"/>
      <c r="I866" s="8"/>
    </row>
    <row r="867" spans="1:9" ht="14.25" customHeight="1" x14ac:dyDescent="0.25">
      <c r="A867" s="8"/>
      <c r="B867" s="8"/>
      <c r="C867" s="8"/>
      <c r="D867" s="8"/>
      <c r="E867" s="8"/>
      <c r="F867" s="9"/>
      <c r="G867" s="8"/>
      <c r="H867" s="8"/>
      <c r="I867" s="8"/>
    </row>
    <row r="868" spans="1:9" ht="14.25" customHeight="1" x14ac:dyDescent="0.25">
      <c r="A868" s="8"/>
      <c r="B868" s="8"/>
      <c r="C868" s="8"/>
      <c r="D868" s="8"/>
      <c r="E868" s="8"/>
      <c r="F868" s="9"/>
      <c r="G868" s="8"/>
      <c r="H868" s="8"/>
      <c r="I868" s="8"/>
    </row>
    <row r="869" spans="1:9" ht="14.25" customHeight="1" x14ac:dyDescent="0.25">
      <c r="A869" s="8"/>
      <c r="B869" s="8"/>
      <c r="C869" s="8"/>
      <c r="D869" s="8"/>
      <c r="E869" s="8"/>
      <c r="F869" s="9"/>
      <c r="G869" s="8"/>
      <c r="H869" s="8"/>
      <c r="I869" s="8"/>
    </row>
    <row r="870" spans="1:9" ht="14.25" customHeight="1" x14ac:dyDescent="0.25">
      <c r="A870" s="8"/>
      <c r="B870" s="8"/>
      <c r="C870" s="8"/>
      <c r="D870" s="8"/>
      <c r="E870" s="8"/>
      <c r="F870" s="9"/>
      <c r="G870" s="8"/>
      <c r="H870" s="8"/>
      <c r="I870" s="8"/>
    </row>
    <row r="871" spans="1:9" ht="14.25" customHeight="1" x14ac:dyDescent="0.25">
      <c r="A871" s="8"/>
      <c r="B871" s="8"/>
      <c r="C871" s="8"/>
      <c r="D871" s="8"/>
      <c r="E871" s="8"/>
      <c r="F871" s="9"/>
      <c r="G871" s="8"/>
      <c r="H871" s="8"/>
      <c r="I871" s="8"/>
    </row>
    <row r="872" spans="1:9" ht="14.25" customHeight="1" x14ac:dyDescent="0.25">
      <c r="A872" s="8"/>
      <c r="B872" s="8"/>
      <c r="C872" s="8"/>
      <c r="D872" s="8"/>
      <c r="E872" s="8"/>
      <c r="F872" s="9"/>
      <c r="G872" s="8"/>
      <c r="H872" s="8"/>
      <c r="I872" s="8"/>
    </row>
    <row r="873" spans="1:9" ht="14.25" customHeight="1" x14ac:dyDescent="0.25">
      <c r="A873" s="8"/>
      <c r="B873" s="8"/>
      <c r="C873" s="8"/>
      <c r="D873" s="8"/>
      <c r="E873" s="8"/>
      <c r="F873" s="9"/>
      <c r="G873" s="8"/>
      <c r="H873" s="8"/>
      <c r="I873" s="8"/>
    </row>
    <row r="874" spans="1:9" ht="14.25" customHeight="1" x14ac:dyDescent="0.25">
      <c r="A874" s="8"/>
      <c r="B874" s="8"/>
      <c r="C874" s="8"/>
      <c r="D874" s="8"/>
      <c r="E874" s="8"/>
      <c r="F874" s="9"/>
      <c r="G874" s="8"/>
      <c r="H874" s="8"/>
      <c r="I874" s="8"/>
    </row>
    <row r="875" spans="1:9" ht="14.25" customHeight="1" x14ac:dyDescent="0.25">
      <c r="A875" s="8"/>
      <c r="B875" s="8"/>
      <c r="C875" s="8"/>
      <c r="D875" s="8"/>
      <c r="E875" s="8"/>
      <c r="F875" s="9"/>
      <c r="G875" s="8"/>
      <c r="H875" s="8"/>
      <c r="I875" s="8"/>
    </row>
    <row r="876" spans="1:9" ht="14.25" customHeight="1" x14ac:dyDescent="0.25">
      <c r="A876" s="8"/>
      <c r="B876" s="8"/>
      <c r="C876" s="8"/>
      <c r="D876" s="8"/>
      <c r="E876" s="8"/>
      <c r="F876" s="9"/>
      <c r="G876" s="8"/>
      <c r="H876" s="8"/>
      <c r="I876" s="8"/>
    </row>
    <row r="877" spans="1:9" ht="14.25" customHeight="1" x14ac:dyDescent="0.25">
      <c r="A877" s="8"/>
      <c r="B877" s="8"/>
      <c r="C877" s="8"/>
      <c r="D877" s="8"/>
      <c r="E877" s="8"/>
      <c r="F877" s="9"/>
      <c r="G877" s="8"/>
      <c r="H877" s="8"/>
      <c r="I877" s="8"/>
    </row>
    <row r="878" spans="1:9" ht="14.25" customHeight="1" x14ac:dyDescent="0.25">
      <c r="A878" s="8"/>
      <c r="B878" s="8"/>
      <c r="C878" s="8"/>
      <c r="D878" s="8"/>
      <c r="E878" s="8"/>
      <c r="F878" s="9"/>
      <c r="G878" s="8"/>
      <c r="H878" s="8"/>
      <c r="I878" s="8"/>
    </row>
    <row r="879" spans="1:9" ht="14.25" customHeight="1" x14ac:dyDescent="0.25">
      <c r="A879" s="8"/>
      <c r="B879" s="8"/>
      <c r="C879" s="8"/>
      <c r="D879" s="8"/>
      <c r="E879" s="8"/>
      <c r="F879" s="9"/>
      <c r="G879" s="8"/>
      <c r="H879" s="8"/>
      <c r="I879" s="8"/>
    </row>
    <row r="880" spans="1:9" ht="14.25" customHeight="1" x14ac:dyDescent="0.25">
      <c r="A880" s="8"/>
      <c r="B880" s="8"/>
      <c r="C880" s="8"/>
      <c r="D880" s="8"/>
      <c r="E880" s="8"/>
      <c r="F880" s="9"/>
      <c r="G880" s="8"/>
      <c r="H880" s="8"/>
      <c r="I880" s="8"/>
    </row>
    <row r="881" spans="1:9" ht="14.25" customHeight="1" x14ac:dyDescent="0.25">
      <c r="A881" s="8"/>
      <c r="B881" s="8"/>
      <c r="C881" s="8"/>
      <c r="D881" s="8"/>
      <c r="E881" s="8"/>
      <c r="F881" s="9"/>
      <c r="G881" s="8"/>
      <c r="H881" s="8"/>
      <c r="I881" s="8"/>
    </row>
    <row r="882" spans="1:9" ht="14.25" customHeight="1" x14ac:dyDescent="0.25">
      <c r="A882" s="8"/>
      <c r="B882" s="8"/>
      <c r="C882" s="8"/>
      <c r="D882" s="8"/>
      <c r="E882" s="8"/>
      <c r="F882" s="9"/>
      <c r="G882" s="8"/>
      <c r="H882" s="8"/>
      <c r="I882" s="8"/>
    </row>
    <row r="883" spans="1:9" ht="14.25" customHeight="1" x14ac:dyDescent="0.25">
      <c r="A883" s="8"/>
      <c r="B883" s="8"/>
      <c r="C883" s="8"/>
      <c r="D883" s="8"/>
      <c r="E883" s="8"/>
      <c r="F883" s="9"/>
      <c r="G883" s="8"/>
      <c r="H883" s="8"/>
      <c r="I883" s="8"/>
    </row>
    <row r="884" spans="1:9" ht="14.25" customHeight="1" x14ac:dyDescent="0.25">
      <c r="A884" s="8"/>
      <c r="B884" s="8"/>
      <c r="C884" s="8"/>
      <c r="D884" s="8"/>
      <c r="E884" s="8"/>
      <c r="F884" s="9"/>
      <c r="G884" s="8"/>
      <c r="H884" s="8"/>
      <c r="I884" s="8"/>
    </row>
    <row r="885" spans="1:9" ht="14.25" customHeight="1" x14ac:dyDescent="0.25">
      <c r="A885" s="8"/>
      <c r="B885" s="8"/>
      <c r="C885" s="8"/>
      <c r="D885" s="8"/>
      <c r="E885" s="8"/>
      <c r="F885" s="9"/>
      <c r="G885" s="8"/>
      <c r="H885" s="8"/>
      <c r="I885" s="8"/>
    </row>
    <row r="886" spans="1:9" ht="14.25" customHeight="1" x14ac:dyDescent="0.25">
      <c r="A886" s="8"/>
      <c r="B886" s="8"/>
      <c r="C886" s="8"/>
      <c r="D886" s="8"/>
      <c r="E886" s="8"/>
      <c r="F886" s="9"/>
      <c r="G886" s="8"/>
      <c r="H886" s="8"/>
      <c r="I886" s="8"/>
    </row>
    <row r="887" spans="1:9" ht="14.25" customHeight="1" x14ac:dyDescent="0.25">
      <c r="A887" s="8"/>
      <c r="B887" s="8"/>
      <c r="C887" s="8"/>
      <c r="D887" s="8"/>
      <c r="E887" s="8"/>
      <c r="F887" s="9"/>
      <c r="G887" s="8"/>
      <c r="H887" s="8"/>
      <c r="I887" s="8"/>
    </row>
    <row r="888" spans="1:9" ht="14.25" customHeight="1" x14ac:dyDescent="0.25">
      <c r="A888" s="8"/>
      <c r="B888" s="8"/>
      <c r="C888" s="8"/>
      <c r="D888" s="8"/>
      <c r="E888" s="8"/>
      <c r="F888" s="9"/>
      <c r="G888" s="8"/>
      <c r="H888" s="8"/>
      <c r="I888" s="8"/>
    </row>
    <row r="889" spans="1:9" ht="14.25" customHeight="1" x14ac:dyDescent="0.25">
      <c r="A889" s="8"/>
      <c r="B889" s="8"/>
      <c r="C889" s="8"/>
      <c r="D889" s="8"/>
      <c r="E889" s="8"/>
      <c r="F889" s="9"/>
      <c r="G889" s="8"/>
      <c r="H889" s="8"/>
      <c r="I889" s="8"/>
    </row>
    <row r="890" spans="1:9" ht="14.25" customHeight="1" x14ac:dyDescent="0.25">
      <c r="A890" s="8"/>
      <c r="B890" s="8"/>
      <c r="C890" s="8"/>
      <c r="D890" s="8"/>
      <c r="E890" s="8"/>
      <c r="F890" s="9"/>
      <c r="G890" s="8"/>
      <c r="H890" s="8"/>
      <c r="I890" s="8"/>
    </row>
    <row r="891" spans="1:9" ht="14.25" customHeight="1" x14ac:dyDescent="0.25">
      <c r="A891" s="8"/>
      <c r="B891" s="8"/>
      <c r="C891" s="8"/>
      <c r="D891" s="8"/>
      <c r="E891" s="8"/>
      <c r="F891" s="9"/>
      <c r="G891" s="8"/>
      <c r="H891" s="8"/>
      <c r="I891" s="8"/>
    </row>
    <row r="892" spans="1:9" ht="14.25" customHeight="1" x14ac:dyDescent="0.25">
      <c r="A892" s="8"/>
      <c r="B892" s="8"/>
      <c r="C892" s="8"/>
      <c r="D892" s="8"/>
      <c r="E892" s="8"/>
      <c r="F892" s="9"/>
      <c r="G892" s="8"/>
      <c r="H892" s="8"/>
      <c r="I892" s="8"/>
    </row>
    <row r="893" spans="1:9" ht="14.25" customHeight="1" x14ac:dyDescent="0.25">
      <c r="A893" s="8"/>
      <c r="B893" s="8"/>
      <c r="C893" s="8"/>
      <c r="D893" s="8"/>
      <c r="E893" s="8"/>
      <c r="F893" s="9"/>
      <c r="G893" s="8"/>
      <c r="H893" s="8"/>
      <c r="I893" s="8"/>
    </row>
    <row r="894" spans="1:9" ht="14.25" customHeight="1" x14ac:dyDescent="0.25">
      <c r="A894" s="8"/>
      <c r="B894" s="8"/>
      <c r="C894" s="8"/>
      <c r="D894" s="8"/>
      <c r="E894" s="8"/>
      <c r="F894" s="9"/>
      <c r="G894" s="8"/>
      <c r="H894" s="8"/>
      <c r="I894" s="8"/>
    </row>
    <row r="895" spans="1:9" ht="14.25" customHeight="1" x14ac:dyDescent="0.25">
      <c r="A895" s="8"/>
      <c r="B895" s="8"/>
      <c r="C895" s="8"/>
      <c r="D895" s="8"/>
      <c r="E895" s="8"/>
      <c r="F895" s="9"/>
      <c r="G895" s="8"/>
      <c r="H895" s="8"/>
      <c r="I895" s="8"/>
    </row>
    <row r="896" spans="1:9" ht="14.25" customHeight="1" x14ac:dyDescent="0.25">
      <c r="A896" s="8"/>
      <c r="B896" s="8"/>
      <c r="C896" s="8"/>
      <c r="D896" s="8"/>
      <c r="E896" s="8"/>
      <c r="F896" s="9"/>
      <c r="G896" s="8"/>
      <c r="H896" s="8"/>
      <c r="I896" s="8"/>
    </row>
    <row r="897" spans="1:9" ht="14.25" customHeight="1" x14ac:dyDescent="0.25">
      <c r="A897" s="8"/>
      <c r="B897" s="8"/>
      <c r="C897" s="8"/>
      <c r="D897" s="8"/>
      <c r="E897" s="8"/>
      <c r="F897" s="9"/>
      <c r="G897" s="8"/>
      <c r="H897" s="8"/>
      <c r="I897" s="8"/>
    </row>
    <row r="898" spans="1:9" ht="14.25" customHeight="1" x14ac:dyDescent="0.25">
      <c r="A898" s="8"/>
      <c r="B898" s="8"/>
      <c r="C898" s="8"/>
      <c r="D898" s="8"/>
      <c r="E898" s="8"/>
      <c r="F898" s="9"/>
      <c r="G898" s="8"/>
      <c r="H898" s="8"/>
      <c r="I898" s="8"/>
    </row>
    <row r="899" spans="1:9" ht="14.25" customHeight="1" x14ac:dyDescent="0.25">
      <c r="A899" s="8"/>
      <c r="B899" s="8"/>
      <c r="C899" s="8"/>
      <c r="D899" s="8"/>
      <c r="E899" s="8"/>
      <c r="F899" s="9"/>
      <c r="G899" s="8"/>
      <c r="H899" s="8"/>
      <c r="I899" s="8"/>
    </row>
    <row r="900" spans="1:9" ht="14.25" customHeight="1" x14ac:dyDescent="0.25">
      <c r="A900" s="8"/>
      <c r="B900" s="8"/>
      <c r="C900" s="8"/>
      <c r="D900" s="8"/>
      <c r="E900" s="8"/>
      <c r="F900" s="9"/>
      <c r="G900" s="8"/>
      <c r="H900" s="8"/>
      <c r="I900" s="8"/>
    </row>
    <row r="901" spans="1:9" ht="14.25" customHeight="1" x14ac:dyDescent="0.25">
      <c r="A901" s="8"/>
      <c r="B901" s="8"/>
      <c r="C901" s="8"/>
      <c r="D901" s="8"/>
      <c r="E901" s="8"/>
      <c r="F901" s="9"/>
      <c r="G901" s="8"/>
      <c r="H901" s="8"/>
      <c r="I901" s="8"/>
    </row>
    <row r="902" spans="1:9" ht="14.25" customHeight="1" x14ac:dyDescent="0.25">
      <c r="A902" s="8"/>
      <c r="B902" s="8"/>
      <c r="C902" s="8"/>
      <c r="D902" s="8"/>
      <c r="E902" s="8"/>
      <c r="F902" s="9"/>
      <c r="G902" s="8"/>
      <c r="H902" s="8"/>
      <c r="I902" s="8"/>
    </row>
    <row r="903" spans="1:9" ht="14.25" customHeight="1" x14ac:dyDescent="0.25">
      <c r="A903" s="8"/>
      <c r="B903" s="8"/>
      <c r="C903" s="8"/>
      <c r="D903" s="8"/>
      <c r="E903" s="8"/>
      <c r="F903" s="9"/>
      <c r="G903" s="8"/>
      <c r="H903" s="8"/>
      <c r="I903" s="8"/>
    </row>
    <row r="904" spans="1:9" ht="14.25" customHeight="1" x14ac:dyDescent="0.25">
      <c r="A904" s="8"/>
      <c r="B904" s="8"/>
      <c r="C904" s="8"/>
      <c r="D904" s="8"/>
      <c r="E904" s="8"/>
      <c r="F904" s="9"/>
      <c r="G904" s="8"/>
      <c r="H904" s="8"/>
      <c r="I904" s="8"/>
    </row>
    <row r="905" spans="1:9" ht="14.25" customHeight="1" x14ac:dyDescent="0.25">
      <c r="A905" s="8"/>
      <c r="B905" s="8"/>
      <c r="C905" s="8"/>
      <c r="D905" s="8"/>
      <c r="E905" s="8"/>
      <c r="F905" s="9"/>
      <c r="G905" s="8"/>
      <c r="H905" s="8"/>
      <c r="I905" s="8"/>
    </row>
    <row r="906" spans="1:9" ht="14.25" customHeight="1" x14ac:dyDescent="0.25">
      <c r="A906" s="8"/>
      <c r="B906" s="8"/>
      <c r="C906" s="8"/>
      <c r="D906" s="8"/>
      <c r="E906" s="8"/>
      <c r="F906" s="9"/>
      <c r="G906" s="8"/>
      <c r="H906" s="8"/>
      <c r="I906" s="8"/>
    </row>
    <row r="907" spans="1:9" ht="14.25" customHeight="1" x14ac:dyDescent="0.25">
      <c r="A907" s="8"/>
      <c r="B907" s="8"/>
      <c r="C907" s="8"/>
      <c r="D907" s="8"/>
      <c r="E907" s="8"/>
      <c r="F907" s="9"/>
      <c r="G907" s="8"/>
      <c r="H907" s="8"/>
      <c r="I907" s="8"/>
    </row>
    <row r="908" spans="1:9" ht="14.25" customHeight="1" x14ac:dyDescent="0.25">
      <c r="A908" s="8"/>
      <c r="B908" s="8"/>
      <c r="C908" s="8"/>
      <c r="D908" s="8"/>
      <c r="E908" s="8"/>
      <c r="F908" s="9"/>
      <c r="G908" s="8"/>
      <c r="H908" s="8"/>
      <c r="I908" s="8"/>
    </row>
    <row r="909" spans="1:9" ht="14.25" customHeight="1" x14ac:dyDescent="0.25">
      <c r="A909" s="8"/>
      <c r="B909" s="8"/>
      <c r="C909" s="8"/>
      <c r="D909" s="8"/>
      <c r="E909" s="8"/>
      <c r="F909" s="9"/>
      <c r="G909" s="8"/>
      <c r="H909" s="8"/>
      <c r="I909" s="8"/>
    </row>
    <row r="910" spans="1:9" ht="14.25" customHeight="1" x14ac:dyDescent="0.25">
      <c r="A910" s="8"/>
      <c r="B910" s="8"/>
      <c r="C910" s="8"/>
      <c r="D910" s="8"/>
      <c r="E910" s="8"/>
      <c r="F910" s="9"/>
      <c r="G910" s="8"/>
      <c r="H910" s="8"/>
      <c r="I910" s="8"/>
    </row>
    <row r="911" spans="1:9" ht="14.25" customHeight="1" x14ac:dyDescent="0.25">
      <c r="A911" s="8"/>
      <c r="B911" s="8"/>
      <c r="C911" s="8"/>
      <c r="D911" s="8"/>
      <c r="E911" s="8"/>
      <c r="F911" s="9"/>
      <c r="G911" s="8"/>
      <c r="H911" s="8"/>
      <c r="I911" s="8"/>
    </row>
    <row r="912" spans="1:9" ht="14.25" customHeight="1" x14ac:dyDescent="0.25">
      <c r="A912" s="8"/>
      <c r="B912" s="8"/>
      <c r="C912" s="8"/>
      <c r="D912" s="8"/>
      <c r="E912" s="8"/>
      <c r="F912" s="9"/>
      <c r="G912" s="8"/>
      <c r="H912" s="8"/>
      <c r="I912" s="8"/>
    </row>
    <row r="913" spans="1:9" ht="14.25" customHeight="1" x14ac:dyDescent="0.25">
      <c r="A913" s="8"/>
      <c r="B913" s="8"/>
      <c r="C913" s="8"/>
      <c r="D913" s="8"/>
      <c r="E913" s="8"/>
      <c r="F913" s="9"/>
      <c r="G913" s="8"/>
      <c r="H913" s="8"/>
      <c r="I913" s="8"/>
    </row>
    <row r="914" spans="1:9" ht="14.25" customHeight="1" x14ac:dyDescent="0.25">
      <c r="A914" s="8"/>
      <c r="B914" s="8"/>
      <c r="C914" s="8"/>
      <c r="D914" s="8"/>
      <c r="E914" s="8"/>
      <c r="F914" s="9"/>
      <c r="G914" s="8"/>
      <c r="H914" s="8"/>
      <c r="I914" s="8"/>
    </row>
    <row r="915" spans="1:9" ht="14.25" customHeight="1" x14ac:dyDescent="0.25">
      <c r="A915" s="8"/>
      <c r="B915" s="8"/>
      <c r="C915" s="8"/>
      <c r="D915" s="8"/>
      <c r="E915" s="8"/>
      <c r="F915" s="9"/>
      <c r="G915" s="8"/>
      <c r="H915" s="8"/>
      <c r="I915" s="8"/>
    </row>
    <row r="916" spans="1:9" ht="14.25" customHeight="1" x14ac:dyDescent="0.25">
      <c r="A916" s="8"/>
      <c r="B916" s="8"/>
      <c r="C916" s="8"/>
      <c r="D916" s="8"/>
      <c r="E916" s="8"/>
      <c r="F916" s="9"/>
      <c r="G916" s="8"/>
      <c r="H916" s="8"/>
      <c r="I916" s="8"/>
    </row>
    <row r="917" spans="1:9" ht="14.25" customHeight="1" x14ac:dyDescent="0.25">
      <c r="A917" s="8"/>
      <c r="B917" s="8"/>
      <c r="C917" s="8"/>
      <c r="D917" s="8"/>
      <c r="E917" s="8"/>
      <c r="F917" s="9"/>
      <c r="G917" s="8"/>
      <c r="H917" s="8"/>
      <c r="I917" s="8"/>
    </row>
    <row r="918" spans="1:9" ht="14.25" customHeight="1" x14ac:dyDescent="0.25">
      <c r="A918" s="8"/>
      <c r="B918" s="8"/>
      <c r="C918" s="8"/>
      <c r="D918" s="8"/>
      <c r="E918" s="8"/>
      <c r="F918" s="9"/>
      <c r="G918" s="8"/>
      <c r="H918" s="8"/>
      <c r="I918" s="8"/>
    </row>
    <row r="919" spans="1:9" ht="14.25" customHeight="1" x14ac:dyDescent="0.25">
      <c r="A919" s="8"/>
      <c r="B919" s="8"/>
      <c r="C919" s="8"/>
      <c r="D919" s="8"/>
      <c r="E919" s="8"/>
      <c r="F919" s="9"/>
      <c r="G919" s="8"/>
      <c r="H919" s="8"/>
      <c r="I919" s="8"/>
    </row>
    <row r="920" spans="1:9" ht="14.25" customHeight="1" x14ac:dyDescent="0.25">
      <c r="A920" s="8"/>
      <c r="B920" s="8"/>
      <c r="C920" s="8"/>
      <c r="D920" s="8"/>
      <c r="E920" s="8"/>
      <c r="F920" s="9"/>
      <c r="G920" s="8"/>
      <c r="H920" s="8"/>
      <c r="I920" s="8"/>
    </row>
    <row r="921" spans="1:9" ht="14.25" customHeight="1" x14ac:dyDescent="0.25">
      <c r="A921" s="8"/>
      <c r="B921" s="8"/>
      <c r="C921" s="8"/>
      <c r="D921" s="8"/>
      <c r="E921" s="8"/>
      <c r="F921" s="9"/>
      <c r="G921" s="8"/>
      <c r="H921" s="8"/>
      <c r="I921" s="8"/>
    </row>
    <row r="922" spans="1:9" ht="14.25" customHeight="1" x14ac:dyDescent="0.25">
      <c r="A922" s="8"/>
      <c r="B922" s="8"/>
      <c r="C922" s="8"/>
      <c r="D922" s="8"/>
      <c r="E922" s="8"/>
      <c r="F922" s="9"/>
      <c r="G922" s="8"/>
      <c r="H922" s="8"/>
      <c r="I922" s="8"/>
    </row>
    <row r="923" spans="1:9" ht="14.25" customHeight="1" x14ac:dyDescent="0.25">
      <c r="A923" s="8"/>
      <c r="B923" s="8"/>
      <c r="C923" s="8"/>
      <c r="D923" s="8"/>
      <c r="E923" s="8"/>
      <c r="F923" s="9"/>
      <c r="G923" s="8"/>
      <c r="H923" s="8"/>
      <c r="I923" s="8"/>
    </row>
    <row r="924" spans="1:9" ht="14.25" customHeight="1" x14ac:dyDescent="0.25">
      <c r="A924" s="8"/>
      <c r="B924" s="8"/>
      <c r="C924" s="8"/>
      <c r="D924" s="8"/>
      <c r="E924" s="8"/>
      <c r="F924" s="9"/>
      <c r="G924" s="8"/>
      <c r="H924" s="8"/>
      <c r="I924" s="8"/>
    </row>
    <row r="925" spans="1:9" ht="14.25" customHeight="1" x14ac:dyDescent="0.25">
      <c r="A925" s="8"/>
      <c r="B925" s="8"/>
      <c r="C925" s="8"/>
      <c r="D925" s="8"/>
      <c r="E925" s="8"/>
      <c r="F925" s="9"/>
      <c r="G925" s="8"/>
      <c r="H925" s="8"/>
      <c r="I925" s="8"/>
    </row>
    <row r="926" spans="1:9" ht="14.25" customHeight="1" x14ac:dyDescent="0.25">
      <c r="A926" s="8"/>
      <c r="B926" s="8"/>
      <c r="C926" s="8"/>
      <c r="D926" s="8"/>
      <c r="E926" s="8"/>
      <c r="F926" s="9"/>
      <c r="G926" s="8"/>
      <c r="H926" s="8"/>
      <c r="I926" s="8"/>
    </row>
    <row r="927" spans="1:9" ht="14.25" customHeight="1" x14ac:dyDescent="0.25">
      <c r="A927" s="8"/>
      <c r="B927" s="8"/>
      <c r="C927" s="8"/>
      <c r="D927" s="8"/>
      <c r="E927" s="8"/>
      <c r="F927" s="9"/>
      <c r="G927" s="8"/>
      <c r="H927" s="8"/>
      <c r="I927" s="8"/>
    </row>
    <row r="928" spans="1:9" ht="14.25" customHeight="1" x14ac:dyDescent="0.25">
      <c r="A928" s="8"/>
      <c r="B928" s="8"/>
      <c r="C928" s="8"/>
      <c r="D928" s="8"/>
      <c r="E928" s="8"/>
      <c r="F928" s="9"/>
      <c r="G928" s="8"/>
      <c r="H928" s="8"/>
      <c r="I928" s="8"/>
    </row>
    <row r="929" spans="1:9" ht="14.25" customHeight="1" x14ac:dyDescent="0.25">
      <c r="A929" s="8"/>
      <c r="B929" s="8"/>
      <c r="C929" s="8"/>
      <c r="D929" s="8"/>
      <c r="E929" s="8"/>
      <c r="F929" s="9"/>
      <c r="G929" s="8"/>
      <c r="H929" s="8"/>
      <c r="I929" s="8"/>
    </row>
    <row r="930" spans="1:9" ht="14.25" customHeight="1" x14ac:dyDescent="0.25">
      <c r="A930" s="8"/>
      <c r="B930" s="8"/>
      <c r="C930" s="8"/>
      <c r="D930" s="8"/>
      <c r="E930" s="8"/>
      <c r="F930" s="9"/>
      <c r="G930" s="8"/>
      <c r="H930" s="8"/>
      <c r="I930" s="8"/>
    </row>
    <row r="931" spans="1:9" ht="14.25" customHeight="1" x14ac:dyDescent="0.25">
      <c r="A931" s="8"/>
      <c r="B931" s="8"/>
      <c r="C931" s="8"/>
      <c r="D931" s="8"/>
      <c r="E931" s="8"/>
      <c r="F931" s="9"/>
      <c r="G931" s="8"/>
      <c r="H931" s="8"/>
      <c r="I931" s="8"/>
    </row>
    <row r="932" spans="1:9" ht="14.25" customHeight="1" x14ac:dyDescent="0.25">
      <c r="A932" s="8"/>
      <c r="B932" s="8"/>
      <c r="C932" s="8"/>
      <c r="D932" s="8"/>
      <c r="E932" s="8"/>
      <c r="F932" s="9"/>
      <c r="G932" s="8"/>
      <c r="H932" s="8"/>
      <c r="I932" s="8"/>
    </row>
    <row r="933" spans="1:9" ht="14.25" customHeight="1" x14ac:dyDescent="0.25">
      <c r="A933" s="8"/>
      <c r="B933" s="8"/>
      <c r="C933" s="8"/>
      <c r="D933" s="8"/>
      <c r="E933" s="8"/>
      <c r="F933" s="9"/>
      <c r="G933" s="8"/>
      <c r="H933" s="8"/>
      <c r="I933" s="8"/>
    </row>
    <row r="934" spans="1:9" ht="14.25" customHeight="1" x14ac:dyDescent="0.25">
      <c r="A934" s="8"/>
      <c r="B934" s="8"/>
      <c r="C934" s="8"/>
      <c r="D934" s="8"/>
      <c r="E934" s="8"/>
      <c r="F934" s="9"/>
      <c r="G934" s="8"/>
      <c r="H934" s="8"/>
      <c r="I934" s="8"/>
    </row>
    <row r="935" spans="1:9" ht="14.25" customHeight="1" x14ac:dyDescent="0.25">
      <c r="A935" s="8"/>
      <c r="B935" s="8"/>
      <c r="C935" s="8"/>
      <c r="D935" s="8"/>
      <c r="E935" s="8"/>
      <c r="F935" s="9"/>
      <c r="G935" s="8"/>
      <c r="H935" s="8"/>
      <c r="I935" s="8"/>
    </row>
    <row r="936" spans="1:9" ht="14.25" customHeight="1" x14ac:dyDescent="0.25">
      <c r="A936" s="8"/>
      <c r="B936" s="8"/>
      <c r="C936" s="8"/>
      <c r="D936" s="8"/>
      <c r="E936" s="8"/>
      <c r="F936" s="9"/>
      <c r="G936" s="8"/>
      <c r="H936" s="8"/>
      <c r="I936" s="8"/>
    </row>
    <row r="937" spans="1:9" ht="14.25" customHeight="1" x14ac:dyDescent="0.25">
      <c r="A937" s="8"/>
      <c r="B937" s="8"/>
      <c r="C937" s="8"/>
      <c r="D937" s="8"/>
      <c r="E937" s="8"/>
      <c r="F937" s="9"/>
      <c r="G937" s="8"/>
      <c r="H937" s="8"/>
      <c r="I937" s="8"/>
    </row>
    <row r="938" spans="1:9" ht="14.25" customHeight="1" x14ac:dyDescent="0.25">
      <c r="A938" s="8"/>
      <c r="B938" s="8"/>
      <c r="C938" s="8"/>
      <c r="D938" s="8"/>
      <c r="E938" s="8"/>
      <c r="F938" s="9"/>
      <c r="G938" s="8"/>
      <c r="H938" s="8"/>
      <c r="I938" s="8"/>
    </row>
    <row r="939" spans="1:9" ht="14.25" customHeight="1" x14ac:dyDescent="0.25">
      <c r="A939" s="8"/>
      <c r="B939" s="8"/>
      <c r="C939" s="8"/>
      <c r="D939" s="8"/>
      <c r="E939" s="8"/>
      <c r="F939" s="9"/>
      <c r="G939" s="8"/>
      <c r="H939" s="8"/>
      <c r="I939" s="8"/>
    </row>
    <row r="940" spans="1:9" ht="14.25" customHeight="1" x14ac:dyDescent="0.25">
      <c r="A940" s="8"/>
      <c r="B940" s="8"/>
      <c r="C940" s="8"/>
      <c r="D940" s="8"/>
      <c r="E940" s="8"/>
      <c r="F940" s="9"/>
      <c r="G940" s="8"/>
      <c r="H940" s="8"/>
      <c r="I940" s="8"/>
    </row>
    <row r="941" spans="1:9" ht="14.25" customHeight="1" x14ac:dyDescent="0.25">
      <c r="A941" s="8"/>
      <c r="B941" s="8"/>
      <c r="C941" s="8"/>
      <c r="D941" s="8"/>
      <c r="E941" s="8"/>
      <c r="F941" s="9"/>
      <c r="G941" s="8"/>
      <c r="H941" s="8"/>
      <c r="I941" s="8"/>
    </row>
    <row r="942" spans="1:9" ht="14.25" customHeight="1" x14ac:dyDescent="0.25">
      <c r="A942" s="8"/>
      <c r="B942" s="8"/>
      <c r="C942" s="8"/>
      <c r="D942" s="8"/>
      <c r="E942" s="8"/>
      <c r="F942" s="9"/>
      <c r="G942" s="8"/>
      <c r="H942" s="8"/>
      <c r="I942" s="8"/>
    </row>
    <row r="943" spans="1:9" ht="14.25" customHeight="1" x14ac:dyDescent="0.25">
      <c r="A943" s="8"/>
      <c r="B943" s="8"/>
      <c r="C943" s="8"/>
      <c r="D943" s="8"/>
      <c r="E943" s="8"/>
      <c r="F943" s="9"/>
      <c r="G943" s="8"/>
      <c r="H943" s="8"/>
      <c r="I943" s="8"/>
    </row>
    <row r="944" spans="1:9" ht="14.25" customHeight="1" x14ac:dyDescent="0.25">
      <c r="A944" s="8"/>
      <c r="B944" s="8"/>
      <c r="C944" s="8"/>
      <c r="D944" s="8"/>
      <c r="E944" s="8"/>
      <c r="F944" s="9"/>
      <c r="G944" s="8"/>
      <c r="H944" s="8"/>
      <c r="I944" s="8"/>
    </row>
    <row r="945" spans="1:9" ht="14.25" customHeight="1" x14ac:dyDescent="0.25">
      <c r="A945" s="8"/>
      <c r="B945" s="8"/>
      <c r="C945" s="8"/>
      <c r="D945" s="8"/>
      <c r="E945" s="8"/>
      <c r="F945" s="9"/>
      <c r="G945" s="8"/>
      <c r="H945" s="8"/>
      <c r="I945" s="8"/>
    </row>
    <row r="946" spans="1:9" ht="14.25" customHeight="1" x14ac:dyDescent="0.25">
      <c r="A946" s="8"/>
      <c r="B946" s="8"/>
      <c r="C946" s="8"/>
      <c r="D946" s="8"/>
      <c r="E946" s="8"/>
      <c r="F946" s="9"/>
      <c r="G946" s="8"/>
      <c r="H946" s="8"/>
      <c r="I946" s="8"/>
    </row>
    <row r="947" spans="1:9" ht="14.25" customHeight="1" x14ac:dyDescent="0.25">
      <c r="A947" s="8"/>
      <c r="B947" s="8"/>
      <c r="C947" s="8"/>
      <c r="D947" s="8"/>
      <c r="E947" s="8"/>
      <c r="F947" s="9"/>
      <c r="G947" s="8"/>
      <c r="H947" s="8"/>
      <c r="I947" s="8"/>
    </row>
    <row r="948" spans="1:9" ht="14.25" customHeight="1" x14ac:dyDescent="0.25">
      <c r="A948" s="8"/>
      <c r="B948" s="8"/>
      <c r="C948" s="8"/>
      <c r="D948" s="8"/>
      <c r="E948" s="8"/>
      <c r="F948" s="9"/>
      <c r="G948" s="8"/>
      <c r="H948" s="8"/>
      <c r="I948" s="8"/>
    </row>
    <row r="949" spans="1:9" ht="14.25" customHeight="1" x14ac:dyDescent="0.25">
      <c r="A949" s="8"/>
      <c r="B949" s="8"/>
      <c r="C949" s="8"/>
      <c r="D949" s="8"/>
      <c r="E949" s="8"/>
      <c r="F949" s="9"/>
      <c r="G949" s="8"/>
      <c r="H949" s="8"/>
      <c r="I949" s="8"/>
    </row>
    <row r="950" spans="1:9" ht="14.25" customHeight="1" x14ac:dyDescent="0.25">
      <c r="A950" s="8"/>
      <c r="B950" s="8"/>
      <c r="C950" s="8"/>
      <c r="D950" s="8"/>
      <c r="E950" s="8"/>
      <c r="F950" s="9"/>
      <c r="G950" s="8"/>
      <c r="H950" s="8"/>
      <c r="I950" s="8"/>
    </row>
    <row r="951" spans="1:9" ht="14.25" customHeight="1" x14ac:dyDescent="0.25">
      <c r="A951" s="8"/>
      <c r="B951" s="8"/>
      <c r="C951" s="8"/>
      <c r="D951" s="8"/>
      <c r="E951" s="8"/>
      <c r="F951" s="9"/>
      <c r="G951" s="8"/>
      <c r="H951" s="8"/>
      <c r="I951" s="8"/>
    </row>
    <row r="952" spans="1:9" ht="14.25" customHeight="1" x14ac:dyDescent="0.25">
      <c r="A952" s="8"/>
      <c r="B952" s="8"/>
      <c r="C952" s="8"/>
      <c r="D952" s="8"/>
      <c r="E952" s="8"/>
      <c r="F952" s="9"/>
      <c r="G952" s="8"/>
      <c r="H952" s="8"/>
      <c r="I952" s="8"/>
    </row>
    <row r="953" spans="1:9" ht="14.25" customHeight="1" x14ac:dyDescent="0.25">
      <c r="A953" s="8"/>
      <c r="B953" s="8"/>
      <c r="C953" s="8"/>
      <c r="D953" s="8"/>
      <c r="E953" s="8"/>
      <c r="F953" s="9"/>
      <c r="G953" s="8"/>
      <c r="H953" s="8"/>
      <c r="I953" s="8"/>
    </row>
    <row r="954" spans="1:9" ht="14.25" customHeight="1" x14ac:dyDescent="0.25">
      <c r="A954" s="8"/>
      <c r="B954" s="8"/>
      <c r="C954" s="8"/>
      <c r="D954" s="8"/>
      <c r="E954" s="8"/>
      <c r="F954" s="9"/>
      <c r="G954" s="8"/>
      <c r="H954" s="8"/>
      <c r="I954" s="8"/>
    </row>
    <row r="955" spans="1:9" ht="14.25" customHeight="1" x14ac:dyDescent="0.25">
      <c r="A955" s="8"/>
      <c r="B955" s="8"/>
      <c r="C955" s="8"/>
      <c r="D955" s="8"/>
      <c r="E955" s="8"/>
      <c r="F955" s="9"/>
      <c r="G955" s="8"/>
      <c r="H955" s="8"/>
      <c r="I955" s="8"/>
    </row>
    <row r="956" spans="1:9" ht="14.25" customHeight="1" x14ac:dyDescent="0.25">
      <c r="A956" s="8"/>
      <c r="B956" s="8"/>
      <c r="C956" s="8"/>
      <c r="D956" s="8"/>
      <c r="E956" s="8"/>
      <c r="F956" s="9"/>
      <c r="G956" s="8"/>
      <c r="H956" s="8"/>
      <c r="I956" s="8"/>
    </row>
    <row r="957" spans="1:9" ht="14.25" customHeight="1" x14ac:dyDescent="0.25">
      <c r="A957" s="8"/>
      <c r="B957" s="8"/>
      <c r="C957" s="8"/>
      <c r="D957" s="8"/>
      <c r="E957" s="8"/>
      <c r="F957" s="9"/>
      <c r="G957" s="8"/>
      <c r="H957" s="8"/>
      <c r="I957" s="8"/>
    </row>
    <row r="958" spans="1:9" ht="14.25" customHeight="1" x14ac:dyDescent="0.25">
      <c r="A958" s="8"/>
      <c r="B958" s="8"/>
      <c r="C958" s="8"/>
      <c r="D958" s="8"/>
      <c r="E958" s="8"/>
      <c r="F958" s="9"/>
      <c r="G958" s="8"/>
      <c r="H958" s="8"/>
      <c r="I958" s="8"/>
    </row>
    <row r="959" spans="1:9" ht="14.25" customHeight="1" x14ac:dyDescent="0.25">
      <c r="A959" s="8"/>
      <c r="B959" s="8"/>
      <c r="C959" s="8"/>
      <c r="D959" s="8"/>
      <c r="E959" s="8"/>
      <c r="F959" s="9"/>
      <c r="G959" s="8"/>
      <c r="H959" s="8"/>
      <c r="I959" s="8"/>
    </row>
    <row r="960" spans="1:9" ht="14.25" customHeight="1" x14ac:dyDescent="0.25">
      <c r="A960" s="8"/>
      <c r="B960" s="8"/>
      <c r="C960" s="8"/>
      <c r="D960" s="8"/>
      <c r="E960" s="8"/>
      <c r="F960" s="9"/>
      <c r="G960" s="8"/>
      <c r="H960" s="8"/>
      <c r="I960" s="8"/>
    </row>
    <row r="961" spans="1:9" ht="14.25" customHeight="1" x14ac:dyDescent="0.25">
      <c r="A961" s="8"/>
      <c r="B961" s="8"/>
      <c r="C961" s="8"/>
      <c r="D961" s="8"/>
      <c r="E961" s="8"/>
      <c r="F961" s="9"/>
      <c r="G961" s="8"/>
      <c r="H961" s="8"/>
      <c r="I961" s="8"/>
    </row>
    <row r="962" spans="1:9" ht="14.25" customHeight="1" x14ac:dyDescent="0.25">
      <c r="A962" s="8"/>
      <c r="B962" s="8"/>
      <c r="C962" s="8"/>
      <c r="D962" s="8"/>
      <c r="E962" s="8"/>
      <c r="F962" s="9"/>
      <c r="G962" s="8"/>
      <c r="H962" s="8"/>
      <c r="I962" s="8"/>
    </row>
    <row r="963" spans="1:9" ht="14.25" customHeight="1" x14ac:dyDescent="0.25">
      <c r="A963" s="8"/>
      <c r="B963" s="8"/>
      <c r="C963" s="8"/>
      <c r="D963" s="8"/>
      <c r="E963" s="8"/>
      <c r="F963" s="9"/>
      <c r="G963" s="8"/>
      <c r="H963" s="8"/>
      <c r="I963" s="8"/>
    </row>
    <row r="964" spans="1:9" ht="14.25" customHeight="1" x14ac:dyDescent="0.25">
      <c r="A964" s="8"/>
      <c r="B964" s="8"/>
      <c r="C964" s="8"/>
      <c r="D964" s="8"/>
      <c r="E964" s="8"/>
      <c r="F964" s="9"/>
      <c r="G964" s="8"/>
      <c r="H964" s="8"/>
      <c r="I964" s="8"/>
    </row>
    <row r="965" spans="1:9" ht="14.25" customHeight="1" x14ac:dyDescent="0.25">
      <c r="A965" s="8"/>
      <c r="B965" s="8"/>
      <c r="C965" s="8"/>
      <c r="D965" s="8"/>
      <c r="E965" s="8"/>
      <c r="F965" s="9"/>
      <c r="G965" s="8"/>
      <c r="H965" s="8"/>
      <c r="I965" s="8"/>
    </row>
    <row r="966" spans="1:9" ht="14.25" customHeight="1" x14ac:dyDescent="0.25">
      <c r="A966" s="8"/>
      <c r="B966" s="8"/>
      <c r="C966" s="8"/>
      <c r="D966" s="8"/>
      <c r="E966" s="8"/>
      <c r="F966" s="9"/>
      <c r="G966" s="8"/>
      <c r="H966" s="8"/>
      <c r="I966" s="8"/>
    </row>
    <row r="967" spans="1:9" ht="14.25" customHeight="1" x14ac:dyDescent="0.25">
      <c r="A967" s="8"/>
      <c r="B967" s="8"/>
      <c r="C967" s="8"/>
      <c r="D967" s="8"/>
      <c r="E967" s="8"/>
      <c r="F967" s="9"/>
      <c r="G967" s="8"/>
      <c r="H967" s="8"/>
      <c r="I967" s="8"/>
    </row>
    <row r="968" spans="1:9" ht="14.25" customHeight="1" x14ac:dyDescent="0.25">
      <c r="A968" s="8"/>
      <c r="B968" s="8"/>
      <c r="C968" s="8"/>
      <c r="D968" s="8"/>
      <c r="E968" s="8"/>
      <c r="F968" s="9"/>
      <c r="G968" s="8"/>
      <c r="H968" s="8"/>
      <c r="I968" s="8"/>
    </row>
    <row r="969" spans="1:9" ht="14.25" customHeight="1" x14ac:dyDescent="0.25">
      <c r="A969" s="8"/>
      <c r="B969" s="8"/>
      <c r="C969" s="8"/>
      <c r="D969" s="8"/>
      <c r="E969" s="8"/>
      <c r="F969" s="9"/>
      <c r="G969" s="8"/>
      <c r="H969" s="8"/>
      <c r="I969" s="8"/>
    </row>
    <row r="970" spans="1:9" ht="14.25" customHeight="1" x14ac:dyDescent="0.25">
      <c r="A970" s="8"/>
      <c r="B970" s="8"/>
      <c r="C970" s="8"/>
      <c r="D970" s="8"/>
      <c r="E970" s="8"/>
      <c r="F970" s="9"/>
      <c r="G970" s="8"/>
      <c r="H970" s="8"/>
      <c r="I970" s="8"/>
    </row>
    <row r="971" spans="1:9" ht="14.25" customHeight="1" x14ac:dyDescent="0.25">
      <c r="A971" s="8"/>
      <c r="B971" s="8"/>
      <c r="C971" s="8"/>
      <c r="D971" s="8"/>
      <c r="E971" s="8"/>
      <c r="F971" s="9"/>
      <c r="G971" s="8"/>
      <c r="H971" s="8"/>
      <c r="I971" s="8"/>
    </row>
    <row r="972" spans="1:9" ht="14.25" customHeight="1" x14ac:dyDescent="0.25">
      <c r="A972" s="8"/>
      <c r="B972" s="8"/>
      <c r="C972" s="8"/>
      <c r="D972" s="8"/>
      <c r="E972" s="8"/>
      <c r="F972" s="9"/>
      <c r="G972" s="8"/>
      <c r="H972" s="8"/>
      <c r="I972" s="8"/>
    </row>
    <row r="973" spans="1:9" ht="14.25" customHeight="1" x14ac:dyDescent="0.25">
      <c r="A973" s="8"/>
      <c r="B973" s="8"/>
      <c r="C973" s="8"/>
      <c r="D973" s="8"/>
      <c r="E973" s="8"/>
      <c r="F973" s="9"/>
      <c r="G973" s="8"/>
      <c r="H973" s="8"/>
      <c r="I973" s="8"/>
    </row>
    <row r="974" spans="1:9" ht="14.25" customHeight="1" x14ac:dyDescent="0.25">
      <c r="A974" s="8"/>
      <c r="B974" s="8"/>
      <c r="C974" s="8"/>
      <c r="D974" s="8"/>
      <c r="E974" s="8"/>
      <c r="F974" s="9"/>
      <c r="G974" s="8"/>
      <c r="H974" s="8"/>
      <c r="I974" s="8"/>
    </row>
    <row r="975" spans="1:9" ht="14.25" customHeight="1" x14ac:dyDescent="0.25">
      <c r="A975" s="8"/>
      <c r="B975" s="8"/>
      <c r="C975" s="8"/>
      <c r="D975" s="8"/>
      <c r="E975" s="8"/>
      <c r="F975" s="9"/>
      <c r="G975" s="8"/>
      <c r="H975" s="8"/>
      <c r="I975" s="8"/>
    </row>
    <row r="976" spans="1:9" ht="14.25" customHeight="1" x14ac:dyDescent="0.25">
      <c r="A976" s="8"/>
      <c r="B976" s="8"/>
      <c r="C976" s="8"/>
      <c r="D976" s="8"/>
      <c r="E976" s="8"/>
      <c r="F976" s="9"/>
      <c r="G976" s="8"/>
      <c r="H976" s="8"/>
      <c r="I976" s="8"/>
    </row>
    <row r="977" spans="1:9" ht="14.25" customHeight="1" x14ac:dyDescent="0.25">
      <c r="A977" s="8"/>
      <c r="B977" s="8"/>
      <c r="C977" s="8"/>
      <c r="D977" s="8"/>
      <c r="E977" s="8"/>
      <c r="F977" s="9"/>
      <c r="G977" s="8"/>
      <c r="H977" s="8"/>
      <c r="I977" s="8"/>
    </row>
    <row r="978" spans="1:9" ht="14.25" customHeight="1" x14ac:dyDescent="0.25">
      <c r="A978" s="8"/>
      <c r="B978" s="8"/>
      <c r="C978" s="8"/>
      <c r="D978" s="8"/>
      <c r="E978" s="8"/>
      <c r="F978" s="9"/>
      <c r="G978" s="8"/>
      <c r="H978" s="8"/>
      <c r="I978" s="8"/>
    </row>
    <row r="979" spans="1:9" ht="14.25" customHeight="1" x14ac:dyDescent="0.25">
      <c r="A979" s="8"/>
      <c r="B979" s="8"/>
      <c r="C979" s="8"/>
      <c r="D979" s="8"/>
      <c r="E979" s="8"/>
      <c r="F979" s="9"/>
      <c r="G979" s="8"/>
      <c r="H979" s="8"/>
      <c r="I979" s="8"/>
    </row>
    <row r="980" spans="1:9" ht="14.25" customHeight="1" x14ac:dyDescent="0.25">
      <c r="A980" s="8"/>
      <c r="B980" s="8"/>
      <c r="C980" s="8"/>
      <c r="D980" s="8"/>
      <c r="E980" s="8"/>
      <c r="F980" s="9"/>
      <c r="G980" s="8"/>
      <c r="H980" s="8"/>
      <c r="I980" s="8"/>
    </row>
    <row r="981" spans="1:9" ht="14.25" customHeight="1" x14ac:dyDescent="0.25">
      <c r="A981" s="8"/>
      <c r="B981" s="8"/>
      <c r="C981" s="8"/>
      <c r="D981" s="8"/>
      <c r="E981" s="8"/>
      <c r="F981" s="9"/>
      <c r="G981" s="8"/>
      <c r="H981" s="8"/>
      <c r="I981" s="8"/>
    </row>
    <row r="982" spans="1:9" ht="14.25" customHeight="1" x14ac:dyDescent="0.25">
      <c r="A982" s="8"/>
      <c r="B982" s="8"/>
      <c r="C982" s="8"/>
      <c r="D982" s="8"/>
      <c r="E982" s="8"/>
      <c r="F982" s="9"/>
      <c r="G982" s="8"/>
      <c r="H982" s="8"/>
      <c r="I982" s="8"/>
    </row>
    <row r="983" spans="1:9" ht="14.25" customHeight="1" x14ac:dyDescent="0.25">
      <c r="A983" s="8"/>
      <c r="B983" s="8"/>
      <c r="C983" s="8"/>
      <c r="D983" s="8"/>
      <c r="E983" s="8"/>
      <c r="F983" s="9"/>
      <c r="G983" s="8"/>
      <c r="H983" s="8"/>
      <c r="I983" s="8"/>
    </row>
    <row r="984" spans="1:9" ht="14.25" customHeight="1" x14ac:dyDescent="0.25">
      <c r="A984" s="8"/>
      <c r="B984" s="8"/>
      <c r="C984" s="8"/>
      <c r="D984" s="8"/>
      <c r="E984" s="8"/>
      <c r="F984" s="9"/>
      <c r="G984" s="8"/>
      <c r="H984" s="8"/>
      <c r="I984" s="8"/>
    </row>
    <row r="985" spans="1:9" ht="14.25" customHeight="1" x14ac:dyDescent="0.25">
      <c r="A985" s="8"/>
      <c r="B985" s="8"/>
      <c r="C985" s="8"/>
      <c r="D985" s="8"/>
      <c r="E985" s="8"/>
      <c r="F985" s="9"/>
      <c r="G985" s="8"/>
      <c r="H985" s="8"/>
      <c r="I985" s="8"/>
    </row>
    <row r="986" spans="1:9" ht="14.25" customHeight="1" x14ac:dyDescent="0.25">
      <c r="A986" s="8"/>
      <c r="B986" s="8"/>
      <c r="C986" s="8"/>
      <c r="D986" s="8"/>
      <c r="E986" s="8"/>
      <c r="F986" s="9"/>
      <c r="G986" s="8"/>
      <c r="H986" s="8"/>
      <c r="I986" s="8"/>
    </row>
    <row r="987" spans="1:9" ht="14.25" customHeight="1" x14ac:dyDescent="0.25">
      <c r="A987" s="8"/>
      <c r="B987" s="8"/>
      <c r="C987" s="8"/>
      <c r="D987" s="8"/>
      <c r="E987" s="8"/>
      <c r="F987" s="9"/>
      <c r="G987" s="8"/>
      <c r="H987" s="8"/>
      <c r="I987" s="8"/>
    </row>
    <row r="988" spans="1:9" ht="14.25" customHeight="1" x14ac:dyDescent="0.25">
      <c r="A988" s="8"/>
      <c r="B988" s="8"/>
      <c r="C988" s="8"/>
      <c r="D988" s="8"/>
      <c r="E988" s="8"/>
      <c r="F988" s="9"/>
      <c r="G988" s="8"/>
      <c r="H988" s="8"/>
      <c r="I988" s="8"/>
    </row>
    <row r="989" spans="1:9" ht="14.25" customHeight="1" x14ac:dyDescent="0.25">
      <c r="A989" s="8"/>
      <c r="B989" s="8"/>
      <c r="C989" s="8"/>
      <c r="D989" s="8"/>
      <c r="E989" s="8"/>
      <c r="F989" s="9"/>
      <c r="G989" s="8"/>
      <c r="H989" s="8"/>
      <c r="I989" s="8"/>
    </row>
    <row r="990" spans="1:9" ht="14.25" customHeight="1" x14ac:dyDescent="0.25">
      <c r="A990" s="8"/>
      <c r="B990" s="8"/>
      <c r="C990" s="8"/>
      <c r="D990" s="8"/>
      <c r="E990" s="8"/>
      <c r="F990" s="9"/>
      <c r="G990" s="8"/>
      <c r="H990" s="8"/>
      <c r="I990" s="8"/>
    </row>
    <row r="991" spans="1:9" ht="14.25" customHeight="1" x14ac:dyDescent="0.25">
      <c r="A991" s="8"/>
      <c r="B991" s="8"/>
      <c r="C991" s="8"/>
      <c r="D991" s="8"/>
      <c r="E991" s="8"/>
      <c r="F991" s="9"/>
      <c r="G991" s="8"/>
      <c r="H991" s="8"/>
      <c r="I991" s="8"/>
    </row>
    <row r="992" spans="1:9" ht="14.25" customHeight="1" x14ac:dyDescent="0.25">
      <c r="A992" s="8"/>
      <c r="B992" s="8"/>
      <c r="C992" s="8"/>
      <c r="D992" s="8"/>
      <c r="E992" s="8"/>
      <c r="F992" s="9"/>
      <c r="G992" s="8"/>
      <c r="H992" s="8"/>
      <c r="I992" s="8"/>
    </row>
    <row r="993" spans="1:9" ht="14.25" customHeight="1" x14ac:dyDescent="0.25">
      <c r="A993" s="8"/>
      <c r="B993" s="8"/>
      <c r="C993" s="8"/>
      <c r="D993" s="8"/>
      <c r="E993" s="8"/>
      <c r="F993" s="9"/>
      <c r="G993" s="8"/>
      <c r="H993" s="8"/>
      <c r="I993" s="8"/>
    </row>
    <row r="994" spans="1:9" ht="14.25" customHeight="1" x14ac:dyDescent="0.25">
      <c r="A994" s="8"/>
      <c r="B994" s="8"/>
      <c r="C994" s="8"/>
      <c r="D994" s="8"/>
      <c r="E994" s="8"/>
      <c r="F994" s="9"/>
      <c r="G994" s="8"/>
      <c r="H994" s="8"/>
      <c r="I994" s="8"/>
    </row>
    <row r="995" spans="1:9" ht="14.25" customHeight="1" x14ac:dyDescent="0.25">
      <c r="A995" s="8"/>
      <c r="B995" s="8"/>
      <c r="C995" s="8"/>
      <c r="D995" s="8"/>
      <c r="E995" s="8"/>
      <c r="F995" s="9"/>
      <c r="G995" s="8"/>
      <c r="H995" s="8"/>
      <c r="I995" s="8"/>
    </row>
    <row r="996" spans="1:9" ht="14.25" customHeight="1" x14ac:dyDescent="0.25">
      <c r="A996" s="8"/>
      <c r="B996" s="8"/>
      <c r="C996" s="8"/>
      <c r="D996" s="8"/>
      <c r="E996" s="8"/>
      <c r="F996" s="9"/>
      <c r="G996" s="8"/>
      <c r="H996" s="8"/>
      <c r="I996" s="8"/>
    </row>
    <row r="997" spans="1:9" ht="14.25" customHeight="1" x14ac:dyDescent="0.25">
      <c r="A997" s="8"/>
      <c r="B997" s="8"/>
      <c r="C997" s="8"/>
      <c r="D997" s="8"/>
      <c r="E997" s="8"/>
      <c r="F997" s="9"/>
      <c r="G997" s="8"/>
      <c r="H997" s="8"/>
      <c r="I997" s="8"/>
    </row>
    <row r="998" spans="1:9" ht="14.25" customHeight="1" x14ac:dyDescent="0.25">
      <c r="A998" s="8"/>
      <c r="B998" s="8"/>
      <c r="C998" s="8"/>
      <c r="D998" s="8"/>
      <c r="E998" s="8"/>
      <c r="F998" s="9"/>
      <c r="G998" s="8"/>
      <c r="H998" s="8"/>
      <c r="I998" s="8"/>
    </row>
    <row r="999" spans="1:9" ht="14.25" customHeight="1" x14ac:dyDescent="0.25">
      <c r="A999" s="8"/>
      <c r="B999" s="8"/>
      <c r="C999" s="8"/>
      <c r="D999" s="8"/>
      <c r="E999" s="8"/>
      <c r="F999" s="9"/>
      <c r="G999" s="8"/>
      <c r="H999" s="8"/>
      <c r="I999" s="8"/>
    </row>
    <row r="1000" spans="1:9" ht="14.25" customHeight="1" x14ac:dyDescent="0.25">
      <c r="A1000" s="8"/>
      <c r="B1000" s="8"/>
      <c r="C1000" s="8"/>
      <c r="D1000" s="8"/>
      <c r="E1000" s="8"/>
      <c r="F1000" s="9"/>
      <c r="G1000" s="8"/>
      <c r="H1000" s="8"/>
      <c r="I1000" s="8"/>
    </row>
    <row r="1001" spans="1:9" ht="14.25" customHeight="1" x14ac:dyDescent="0.25">
      <c r="A1001" s="8"/>
      <c r="B1001" s="8"/>
      <c r="C1001" s="8"/>
      <c r="D1001" s="8"/>
      <c r="E1001" s="8"/>
      <c r="F1001" s="9"/>
      <c r="G1001" s="8"/>
      <c r="H1001" s="8"/>
      <c r="I1001" s="8"/>
    </row>
    <row r="1002" spans="1:9" ht="14.25" customHeight="1" x14ac:dyDescent="0.25">
      <c r="A1002" s="8"/>
      <c r="B1002" s="8"/>
      <c r="C1002" s="8"/>
      <c r="D1002" s="8"/>
      <c r="E1002" s="8"/>
      <c r="F1002" s="9"/>
      <c r="G1002" s="8"/>
      <c r="H1002" s="8"/>
      <c r="I1002" s="8"/>
    </row>
    <row r="1003" spans="1:9" ht="14.25" customHeight="1" x14ac:dyDescent="0.25">
      <c r="A1003" s="8"/>
      <c r="B1003" s="8"/>
      <c r="C1003" s="8"/>
      <c r="D1003" s="8"/>
      <c r="E1003" s="8"/>
      <c r="F1003" s="9"/>
      <c r="G1003" s="8"/>
      <c r="H1003" s="8"/>
      <c r="I1003" s="8"/>
    </row>
    <row r="1004" spans="1:9" ht="14.25" customHeight="1" x14ac:dyDescent="0.25">
      <c r="A1004" s="8"/>
      <c r="B1004" s="8"/>
      <c r="C1004" s="8"/>
      <c r="D1004" s="8"/>
      <c r="E1004" s="8"/>
      <c r="F1004" s="9"/>
      <c r="G1004" s="8"/>
      <c r="H1004" s="8"/>
      <c r="I1004" s="8"/>
    </row>
    <row r="1005" spans="1:9" ht="14.25" customHeight="1" x14ac:dyDescent="0.25">
      <c r="A1005" s="8"/>
      <c r="B1005" s="8"/>
      <c r="C1005" s="8"/>
      <c r="D1005" s="8"/>
      <c r="E1005" s="8"/>
      <c r="F1005" s="9"/>
      <c r="G1005" s="8"/>
      <c r="H1005" s="8"/>
      <c r="I1005" s="8"/>
    </row>
    <row r="1006" spans="1:9" ht="14.25" customHeight="1" x14ac:dyDescent="0.25">
      <c r="A1006" s="8"/>
      <c r="B1006" s="8"/>
      <c r="C1006" s="8"/>
      <c r="D1006" s="8"/>
      <c r="E1006" s="8"/>
      <c r="F1006" s="9"/>
      <c r="G1006" s="8"/>
      <c r="H1006" s="8"/>
      <c r="I1006" s="8"/>
    </row>
    <row r="1007" spans="1:9" ht="14.25" customHeight="1" x14ac:dyDescent="0.25">
      <c r="A1007" s="8"/>
      <c r="B1007" s="8"/>
      <c r="C1007" s="8"/>
      <c r="D1007" s="8"/>
      <c r="E1007" s="8"/>
      <c r="F1007" s="9"/>
      <c r="G1007" s="8"/>
      <c r="H1007" s="8"/>
      <c r="I1007" s="8"/>
    </row>
    <row r="1008" spans="1:9" ht="14.25" customHeight="1" x14ac:dyDescent="0.25">
      <c r="A1008" s="8"/>
      <c r="B1008" s="8"/>
      <c r="C1008" s="8"/>
      <c r="D1008" s="8"/>
      <c r="E1008" s="8"/>
      <c r="F1008" s="9"/>
      <c r="G1008" s="8"/>
      <c r="H1008" s="8"/>
      <c r="I1008" s="8"/>
    </row>
    <row r="1009" spans="1:9" ht="14.25" customHeight="1" x14ac:dyDescent="0.25">
      <c r="A1009" s="8"/>
      <c r="B1009" s="8"/>
      <c r="C1009" s="8"/>
      <c r="D1009" s="8"/>
      <c r="E1009" s="8"/>
      <c r="F1009" s="9"/>
      <c r="G1009" s="8"/>
      <c r="H1009" s="8"/>
      <c r="I1009" s="8"/>
    </row>
    <row r="1010" spans="1:9" ht="14.25" customHeight="1" x14ac:dyDescent="0.25">
      <c r="A1010" s="8"/>
      <c r="B1010" s="8"/>
      <c r="C1010" s="8"/>
      <c r="D1010" s="8"/>
      <c r="E1010" s="8"/>
      <c r="F1010" s="9"/>
      <c r="G1010" s="8"/>
      <c r="H1010" s="8"/>
      <c r="I1010" s="8"/>
    </row>
    <row r="1011" spans="1:9" ht="14.25" customHeight="1" x14ac:dyDescent="0.25">
      <c r="A1011" s="8"/>
      <c r="B1011" s="8"/>
      <c r="C1011" s="8"/>
      <c r="D1011" s="8"/>
      <c r="E1011" s="8"/>
      <c r="F1011" s="9"/>
      <c r="G1011" s="8"/>
      <c r="H1011" s="8"/>
      <c r="I1011" s="8"/>
    </row>
    <row r="1012" spans="1:9" ht="14.25" customHeight="1" x14ac:dyDescent="0.25">
      <c r="A1012" s="8"/>
      <c r="B1012" s="8"/>
      <c r="C1012" s="8"/>
      <c r="D1012" s="8"/>
      <c r="E1012" s="8"/>
      <c r="F1012" s="9"/>
      <c r="G1012" s="8"/>
      <c r="H1012" s="8"/>
      <c r="I1012" s="8"/>
    </row>
    <row r="1013" spans="1:9" ht="14.25" customHeight="1" x14ac:dyDescent="0.25">
      <c r="A1013" s="8"/>
      <c r="B1013" s="8"/>
      <c r="C1013" s="8"/>
      <c r="D1013" s="8"/>
      <c r="E1013" s="8"/>
      <c r="F1013" s="9"/>
      <c r="G1013" s="8"/>
      <c r="H1013" s="8"/>
      <c r="I1013" s="8"/>
    </row>
    <row r="1014" spans="1:9" ht="14.25" customHeight="1" x14ac:dyDescent="0.25">
      <c r="A1014" s="8"/>
      <c r="B1014" s="8"/>
      <c r="C1014" s="8"/>
      <c r="D1014" s="8"/>
      <c r="E1014" s="8"/>
      <c r="F1014" s="9"/>
      <c r="G1014" s="8"/>
      <c r="H1014" s="8"/>
      <c r="I1014" s="8"/>
    </row>
    <row r="1015" spans="1:9" ht="14.25" customHeight="1" x14ac:dyDescent="0.25">
      <c r="A1015" s="8"/>
      <c r="B1015" s="8"/>
      <c r="C1015" s="8"/>
      <c r="D1015" s="8"/>
      <c r="E1015" s="8"/>
      <c r="F1015" s="9"/>
      <c r="G1015" s="8"/>
      <c r="H1015" s="8"/>
      <c r="I1015" s="8"/>
    </row>
    <row r="1016" spans="1:9" ht="14.25" customHeight="1" x14ac:dyDescent="0.25">
      <c r="A1016" s="8"/>
      <c r="B1016" s="8"/>
      <c r="C1016" s="8"/>
      <c r="D1016" s="8"/>
      <c r="E1016" s="8"/>
      <c r="F1016" s="9"/>
      <c r="G1016" s="8"/>
      <c r="H1016" s="8"/>
      <c r="I1016" s="8"/>
    </row>
    <row r="1017" spans="1:9" ht="14.25" customHeight="1" x14ac:dyDescent="0.25">
      <c r="A1017" s="8"/>
      <c r="B1017" s="8"/>
      <c r="C1017" s="8"/>
      <c r="D1017" s="8"/>
      <c r="E1017" s="8"/>
      <c r="F1017" s="9"/>
      <c r="G1017" s="8"/>
      <c r="H1017" s="8"/>
      <c r="I1017" s="8"/>
    </row>
    <row r="1018" spans="1:9" ht="14.25" customHeight="1" x14ac:dyDescent="0.25">
      <c r="A1018" s="8"/>
      <c r="B1018" s="8"/>
      <c r="C1018" s="8"/>
      <c r="D1018" s="8"/>
      <c r="E1018" s="8"/>
      <c r="F1018" s="9"/>
      <c r="G1018" s="8"/>
      <c r="H1018" s="8"/>
      <c r="I1018" s="8"/>
    </row>
    <row r="1019" spans="1:9" ht="14.25" customHeight="1" x14ac:dyDescent="0.25">
      <c r="A1019" s="8"/>
      <c r="B1019" s="8"/>
      <c r="C1019" s="8"/>
      <c r="D1019" s="8"/>
      <c r="E1019" s="8"/>
      <c r="F1019" s="9"/>
      <c r="G1019" s="8"/>
      <c r="H1019" s="8"/>
      <c r="I1019" s="8"/>
    </row>
    <row r="1020" spans="1:9" ht="14.25" customHeight="1" x14ac:dyDescent="0.25">
      <c r="A1020" s="8"/>
      <c r="B1020" s="8"/>
      <c r="C1020" s="8"/>
      <c r="D1020" s="8"/>
      <c r="E1020" s="8"/>
      <c r="F1020" s="9"/>
      <c r="G1020" s="8"/>
      <c r="H1020" s="8"/>
      <c r="I1020" s="8"/>
    </row>
    <row r="1021" spans="1:9" ht="14.25" customHeight="1" x14ac:dyDescent="0.25">
      <c r="A1021" s="8"/>
      <c r="B1021" s="8"/>
      <c r="C1021" s="8"/>
      <c r="D1021" s="8"/>
      <c r="E1021" s="8"/>
      <c r="F1021" s="9"/>
      <c r="G1021" s="8"/>
      <c r="H1021" s="8"/>
      <c r="I1021" s="8"/>
    </row>
    <row r="1022" spans="1:9" ht="14.25" customHeight="1" x14ac:dyDescent="0.25">
      <c r="A1022" s="8"/>
      <c r="B1022" s="8"/>
      <c r="C1022" s="8"/>
      <c r="D1022" s="8"/>
      <c r="E1022" s="8"/>
      <c r="F1022" s="9"/>
      <c r="G1022" s="8"/>
      <c r="H1022" s="8"/>
      <c r="I1022" s="8"/>
    </row>
    <row r="1023" spans="1:9" ht="14.25" customHeight="1" x14ac:dyDescent="0.25">
      <c r="A1023" s="8"/>
      <c r="B1023" s="8"/>
      <c r="C1023" s="8"/>
      <c r="D1023" s="8"/>
      <c r="E1023" s="8"/>
      <c r="F1023" s="9"/>
      <c r="G1023" s="8"/>
      <c r="H1023" s="8"/>
      <c r="I1023" s="8"/>
    </row>
    <row r="1024" spans="1:9" ht="14.25" customHeight="1" x14ac:dyDescent="0.25">
      <c r="A1024" s="8"/>
      <c r="B1024" s="8"/>
      <c r="C1024" s="8"/>
      <c r="D1024" s="8"/>
      <c r="E1024" s="8"/>
      <c r="F1024" s="9"/>
      <c r="G1024" s="8"/>
      <c r="H1024" s="8"/>
      <c r="I1024" s="8"/>
    </row>
    <row r="1025" spans="1:9" ht="14.25" customHeight="1" x14ac:dyDescent="0.25">
      <c r="A1025" s="8"/>
      <c r="B1025" s="8"/>
      <c r="C1025" s="8"/>
      <c r="D1025" s="8"/>
      <c r="E1025" s="8"/>
      <c r="F1025" s="9"/>
      <c r="G1025" s="8"/>
      <c r="H1025" s="8"/>
      <c r="I1025" s="8"/>
    </row>
    <row r="1026" spans="1:9" ht="14.25" customHeight="1" x14ac:dyDescent="0.25">
      <c r="A1026" s="8"/>
      <c r="B1026" s="8"/>
      <c r="C1026" s="8"/>
      <c r="D1026" s="8"/>
      <c r="E1026" s="8"/>
      <c r="F1026" s="9"/>
      <c r="G1026" s="8"/>
      <c r="H1026" s="8"/>
      <c r="I1026" s="8"/>
    </row>
    <row r="1027" spans="1:9" ht="14.25" customHeight="1" x14ac:dyDescent="0.25">
      <c r="A1027" s="8"/>
      <c r="B1027" s="8"/>
      <c r="C1027" s="8"/>
      <c r="D1027" s="8"/>
      <c r="E1027" s="8"/>
      <c r="F1027" s="9"/>
      <c r="G1027" s="8"/>
      <c r="H1027" s="8"/>
      <c r="I1027" s="8"/>
    </row>
  </sheetData>
  <phoneticPr fontId="16"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012"/>
  <sheetViews>
    <sheetView workbookViewId="0">
      <selection activeCell="K13" sqref="K13"/>
    </sheetView>
  </sheetViews>
  <sheetFormatPr defaultColWidth="14.42578125" defaultRowHeight="15" x14ac:dyDescent="0.25"/>
  <cols>
    <col min="1" max="2" width="8.7109375" customWidth="1"/>
    <col min="3" max="3" width="14.140625" customWidth="1"/>
    <col min="4" max="4" width="8.7109375" customWidth="1"/>
    <col min="5" max="5" width="9" customWidth="1"/>
    <col min="6" max="29" width="8.7109375" customWidth="1"/>
  </cols>
  <sheetData>
    <row r="1" spans="1:9" ht="14.25" customHeight="1" x14ac:dyDescent="0.25">
      <c r="A1" s="36" t="s">
        <v>51</v>
      </c>
      <c r="B1" s="36" t="s">
        <v>52</v>
      </c>
      <c r="C1" s="36" t="s">
        <v>54</v>
      </c>
      <c r="D1" s="36" t="s">
        <v>55</v>
      </c>
      <c r="E1" s="17" t="s">
        <v>28</v>
      </c>
      <c r="F1" s="36" t="s">
        <v>60</v>
      </c>
      <c r="G1" s="36" t="s">
        <v>61</v>
      </c>
      <c r="H1" s="36" t="s">
        <v>56</v>
      </c>
      <c r="I1" s="30" t="s">
        <v>3</v>
      </c>
    </row>
    <row r="2" spans="1:9" ht="14.25" customHeight="1" x14ac:dyDescent="0.25">
      <c r="A2" s="36" t="s">
        <v>73</v>
      </c>
      <c r="B2" s="36">
        <v>2026</v>
      </c>
      <c r="C2" s="36" t="s">
        <v>75</v>
      </c>
      <c r="D2" s="36" t="s">
        <v>48</v>
      </c>
      <c r="E2" s="30">
        <v>4</v>
      </c>
      <c r="F2" s="36">
        <v>4</v>
      </c>
      <c r="G2" s="36">
        <f t="shared" ref="G2:G8" si="0">IF(ISNUMBER(FIND("-", E2)), MID(E2, FIND("-", E2) + 1, LEN(E2)) * 1, E2 * 1)</f>
        <v>4</v>
      </c>
      <c r="H2" s="36">
        <f t="shared" ref="H2:H69" si="1">IF(ISNUMBER(FIND("-",E2)),(LEFT(E2,FIND("-",E2)-1) + MID(E2,FIND("-",E2)+1,LEN(E2))) / 2,E2*1)</f>
        <v>4</v>
      </c>
      <c r="I2" s="30"/>
    </row>
    <row r="3" spans="1:9" ht="14.25" customHeight="1" x14ac:dyDescent="0.25">
      <c r="A3" s="30" t="s">
        <v>81</v>
      </c>
      <c r="B3" s="30">
        <v>2026</v>
      </c>
      <c r="C3" s="30" t="s">
        <v>65</v>
      </c>
      <c r="D3" s="30" t="s">
        <v>46</v>
      </c>
      <c r="E3" s="30">
        <v>4</v>
      </c>
      <c r="F3" s="36">
        <f t="shared" ref="F3:F8" si="2">IF(ISNUMBER(FIND("-", E3)), LEFT(E3, FIND("-", E3) - 1) * 1, E3 * 1)</f>
        <v>4</v>
      </c>
      <c r="G3" s="36">
        <f t="shared" si="0"/>
        <v>4</v>
      </c>
      <c r="H3" s="36">
        <f t="shared" si="1"/>
        <v>4</v>
      </c>
      <c r="I3" s="30"/>
    </row>
    <row r="4" spans="1:9" ht="14.25" customHeight="1" x14ac:dyDescent="0.25">
      <c r="A4" s="30" t="s">
        <v>81</v>
      </c>
      <c r="B4" s="30">
        <v>2026</v>
      </c>
      <c r="C4" s="30" t="s">
        <v>65</v>
      </c>
      <c r="D4" s="30" t="s">
        <v>47</v>
      </c>
      <c r="E4" s="30">
        <v>4</v>
      </c>
      <c r="F4" s="36">
        <f t="shared" si="2"/>
        <v>4</v>
      </c>
      <c r="G4" s="36">
        <f t="shared" si="0"/>
        <v>4</v>
      </c>
      <c r="H4" s="36">
        <f t="shared" si="1"/>
        <v>4</v>
      </c>
      <c r="I4" s="30"/>
    </row>
    <row r="5" spans="1:9" ht="14.25" customHeight="1" x14ac:dyDescent="0.25">
      <c r="A5" s="30" t="s">
        <v>180</v>
      </c>
      <c r="B5" s="30">
        <v>2025</v>
      </c>
      <c r="C5" s="30" t="s">
        <v>142</v>
      </c>
      <c r="D5" s="30" t="s">
        <v>48</v>
      </c>
      <c r="E5" s="30">
        <v>2</v>
      </c>
      <c r="F5" s="36">
        <f t="shared" si="2"/>
        <v>2</v>
      </c>
      <c r="G5" s="36">
        <f t="shared" si="0"/>
        <v>2</v>
      </c>
      <c r="H5" s="36">
        <f t="shared" si="1"/>
        <v>2</v>
      </c>
      <c r="I5" s="30"/>
    </row>
    <row r="6" spans="1:9" ht="14.25" customHeight="1" x14ac:dyDescent="0.25">
      <c r="A6" s="36" t="s">
        <v>182</v>
      </c>
      <c r="B6" s="36">
        <v>2025</v>
      </c>
      <c r="C6" s="36" t="s">
        <v>65</v>
      </c>
      <c r="D6" s="36" t="s">
        <v>46</v>
      </c>
      <c r="E6" s="17" t="s">
        <v>462</v>
      </c>
      <c r="F6" s="36">
        <f t="shared" si="2"/>
        <v>5</v>
      </c>
      <c r="G6" s="36">
        <f t="shared" si="0"/>
        <v>40</v>
      </c>
      <c r="H6" s="36">
        <f t="shared" si="1"/>
        <v>22.5</v>
      </c>
      <c r="I6" s="30"/>
    </row>
    <row r="7" spans="1:9" ht="14.25" customHeight="1" x14ac:dyDescent="0.25">
      <c r="A7" s="36" t="s">
        <v>186</v>
      </c>
      <c r="B7" s="36">
        <v>2025</v>
      </c>
      <c r="C7" s="36" t="s">
        <v>65</v>
      </c>
      <c r="D7" s="36" t="s">
        <v>46</v>
      </c>
      <c r="E7" s="17" t="s">
        <v>463</v>
      </c>
      <c r="F7" s="36">
        <f t="shared" si="2"/>
        <v>2</v>
      </c>
      <c r="G7" s="36">
        <f t="shared" si="0"/>
        <v>2</v>
      </c>
      <c r="H7" s="36">
        <f t="shared" si="1"/>
        <v>2</v>
      </c>
      <c r="I7" s="30"/>
    </row>
    <row r="8" spans="1:9" ht="14.25" customHeight="1" x14ac:dyDescent="0.25">
      <c r="A8" s="36" t="s">
        <v>151</v>
      </c>
      <c r="B8" s="36">
        <v>2025</v>
      </c>
      <c r="C8" s="36" t="s">
        <v>75</v>
      </c>
      <c r="D8" s="36" t="s">
        <v>46</v>
      </c>
      <c r="E8" s="17" t="s">
        <v>464</v>
      </c>
      <c r="F8" s="36">
        <f t="shared" si="2"/>
        <v>2</v>
      </c>
      <c r="G8" s="36">
        <f t="shared" si="0"/>
        <v>4</v>
      </c>
      <c r="H8" s="36">
        <f t="shared" si="1"/>
        <v>3</v>
      </c>
      <c r="I8" s="30"/>
    </row>
    <row r="9" spans="1:9" ht="14.25" customHeight="1" x14ac:dyDescent="0.25">
      <c r="A9" s="36" t="s">
        <v>465</v>
      </c>
      <c r="B9" s="36">
        <v>2025</v>
      </c>
      <c r="C9" s="36" t="s">
        <v>75</v>
      </c>
      <c r="D9" s="36" t="s">
        <v>71</v>
      </c>
      <c r="E9" s="48" t="s">
        <v>162</v>
      </c>
      <c r="F9" s="36">
        <v>1</v>
      </c>
      <c r="G9" s="36">
        <v>4</v>
      </c>
      <c r="H9" s="36">
        <f t="shared" si="1"/>
        <v>2.5</v>
      </c>
      <c r="I9" s="30"/>
    </row>
    <row r="10" spans="1:9" ht="14.25" customHeight="1" x14ac:dyDescent="0.25">
      <c r="A10" s="36" t="s">
        <v>433</v>
      </c>
      <c r="B10" s="36">
        <v>2025</v>
      </c>
      <c r="C10" s="36" t="s">
        <v>88</v>
      </c>
      <c r="D10" s="36" t="s">
        <v>71</v>
      </c>
      <c r="E10" s="30">
        <v>2</v>
      </c>
      <c r="F10" s="36">
        <f t="shared" ref="F10:F69" si="3">IF(ISNUMBER(FIND("-", E10)), LEFT(E10, FIND("-", E10) - 1) * 1, E10 * 1)</f>
        <v>2</v>
      </c>
      <c r="G10" s="36">
        <f t="shared" ref="G10:G69" si="4">IF(ISNUMBER(FIND("-", E10)), MID(E10, FIND("-", E10) + 1, LEN(E10)) * 1, E10 * 1)</f>
        <v>2</v>
      </c>
      <c r="H10" s="36">
        <f t="shared" si="1"/>
        <v>2</v>
      </c>
      <c r="I10" s="30"/>
    </row>
    <row r="11" spans="1:9" ht="14.25" customHeight="1" x14ac:dyDescent="0.25">
      <c r="A11" s="36" t="s">
        <v>197</v>
      </c>
      <c r="B11" s="36">
        <v>2025</v>
      </c>
      <c r="C11" s="36" t="s">
        <v>65</v>
      </c>
      <c r="D11" s="36" t="s">
        <v>46</v>
      </c>
      <c r="E11" s="17" t="s">
        <v>162</v>
      </c>
      <c r="F11" s="36">
        <f t="shared" si="3"/>
        <v>1</v>
      </c>
      <c r="G11" s="36">
        <f t="shared" si="4"/>
        <v>4</v>
      </c>
      <c r="H11" s="36">
        <f t="shared" si="1"/>
        <v>2.5</v>
      </c>
      <c r="I11" s="30"/>
    </row>
    <row r="12" spans="1:9" ht="14.25" customHeight="1" x14ac:dyDescent="0.25">
      <c r="A12" s="36" t="s">
        <v>198</v>
      </c>
      <c r="B12" s="36">
        <v>2025</v>
      </c>
      <c r="C12" s="36" t="s">
        <v>65</v>
      </c>
      <c r="D12" s="36" t="s">
        <v>46</v>
      </c>
      <c r="E12" s="17" t="s">
        <v>162</v>
      </c>
      <c r="F12" s="36">
        <f t="shared" si="3"/>
        <v>1</v>
      </c>
      <c r="G12" s="36">
        <f t="shared" si="4"/>
        <v>4</v>
      </c>
      <c r="H12" s="36">
        <f t="shared" si="1"/>
        <v>2.5</v>
      </c>
      <c r="I12" s="30"/>
    </row>
    <row r="13" spans="1:9" ht="14.25" customHeight="1" x14ac:dyDescent="0.25">
      <c r="A13" s="36" t="s">
        <v>199</v>
      </c>
      <c r="B13" s="36">
        <v>2025</v>
      </c>
      <c r="C13" s="36" t="s">
        <v>65</v>
      </c>
      <c r="D13" s="36" t="s">
        <v>46</v>
      </c>
      <c r="E13" s="17" t="s">
        <v>162</v>
      </c>
      <c r="F13" s="36">
        <f t="shared" si="3"/>
        <v>1</v>
      </c>
      <c r="G13" s="36">
        <f t="shared" si="4"/>
        <v>4</v>
      </c>
      <c r="H13" s="36">
        <f t="shared" si="1"/>
        <v>2.5</v>
      </c>
      <c r="I13" s="30"/>
    </row>
    <row r="14" spans="1:9" ht="14.25" customHeight="1" x14ac:dyDescent="0.25">
      <c r="A14" s="36" t="s">
        <v>200</v>
      </c>
      <c r="B14" s="36">
        <v>2024</v>
      </c>
      <c r="C14" s="36" t="s">
        <v>201</v>
      </c>
      <c r="D14" s="36" t="s">
        <v>46</v>
      </c>
      <c r="E14" s="17" t="s">
        <v>307</v>
      </c>
      <c r="F14" s="36">
        <f t="shared" si="3"/>
        <v>4</v>
      </c>
      <c r="G14" s="36">
        <f t="shared" si="4"/>
        <v>4</v>
      </c>
      <c r="H14" s="36">
        <f t="shared" si="1"/>
        <v>4</v>
      </c>
      <c r="I14" s="30"/>
    </row>
    <row r="15" spans="1:9" ht="14.25" customHeight="1" x14ac:dyDescent="0.25">
      <c r="A15" s="36" t="s">
        <v>113</v>
      </c>
      <c r="B15" s="36">
        <v>2024</v>
      </c>
      <c r="C15" s="36" t="s">
        <v>75</v>
      </c>
      <c r="D15" s="36" t="s">
        <v>46</v>
      </c>
      <c r="E15" s="17" t="s">
        <v>464</v>
      </c>
      <c r="F15" s="36">
        <f t="shared" si="3"/>
        <v>2</v>
      </c>
      <c r="G15" s="36">
        <f t="shared" si="4"/>
        <v>4</v>
      </c>
      <c r="H15" s="36">
        <f t="shared" si="1"/>
        <v>3</v>
      </c>
      <c r="I15" s="30"/>
    </row>
    <row r="16" spans="1:9" ht="14.25" customHeight="1" x14ac:dyDescent="0.25">
      <c r="A16" s="36" t="s">
        <v>205</v>
      </c>
      <c r="B16" s="36">
        <v>2024</v>
      </c>
      <c r="C16" s="36" t="s">
        <v>70</v>
      </c>
      <c r="D16" s="36" t="s">
        <v>46</v>
      </c>
      <c r="E16" s="17" t="s">
        <v>307</v>
      </c>
      <c r="F16" s="36">
        <f t="shared" si="3"/>
        <v>4</v>
      </c>
      <c r="G16" s="36">
        <f t="shared" si="4"/>
        <v>4</v>
      </c>
      <c r="H16" s="36">
        <f t="shared" si="1"/>
        <v>4</v>
      </c>
      <c r="I16" s="30"/>
    </row>
    <row r="17" spans="1:9" ht="14.25" customHeight="1" x14ac:dyDescent="0.25">
      <c r="A17" s="36" t="s">
        <v>205</v>
      </c>
      <c r="B17" s="36">
        <v>2024</v>
      </c>
      <c r="C17" s="36" t="s">
        <v>70</v>
      </c>
      <c r="D17" s="36" t="s">
        <v>48</v>
      </c>
      <c r="E17" s="17" t="s">
        <v>307</v>
      </c>
      <c r="F17" s="36">
        <f t="shared" si="3"/>
        <v>4</v>
      </c>
      <c r="G17" s="36">
        <f t="shared" si="4"/>
        <v>4</v>
      </c>
      <c r="H17" s="36">
        <f t="shared" si="1"/>
        <v>4</v>
      </c>
      <c r="I17" s="30"/>
    </row>
    <row r="18" spans="1:9" ht="15" customHeight="1" x14ac:dyDescent="0.25">
      <c r="A18" s="36" t="s">
        <v>186</v>
      </c>
      <c r="B18" s="36">
        <v>2024</v>
      </c>
      <c r="C18" s="36" t="s">
        <v>208</v>
      </c>
      <c r="D18" s="36" t="s">
        <v>46</v>
      </c>
      <c r="E18" s="17" t="s">
        <v>466</v>
      </c>
      <c r="F18" s="36">
        <f t="shared" si="3"/>
        <v>3</v>
      </c>
      <c r="G18" s="36">
        <f t="shared" si="4"/>
        <v>4</v>
      </c>
      <c r="H18" s="36">
        <f t="shared" si="1"/>
        <v>3.5</v>
      </c>
      <c r="I18" s="30"/>
    </row>
    <row r="19" spans="1:9" ht="15" customHeight="1" x14ac:dyDescent="0.25">
      <c r="A19" s="36" t="s">
        <v>186</v>
      </c>
      <c r="B19" s="36">
        <v>2024</v>
      </c>
      <c r="C19" s="36" t="s">
        <v>208</v>
      </c>
      <c r="D19" s="36" t="s">
        <v>47</v>
      </c>
      <c r="E19" s="17" t="s">
        <v>466</v>
      </c>
      <c r="F19" s="36">
        <f t="shared" si="3"/>
        <v>3</v>
      </c>
      <c r="G19" s="36">
        <f t="shared" si="4"/>
        <v>4</v>
      </c>
      <c r="H19" s="36">
        <f t="shared" si="1"/>
        <v>3.5</v>
      </c>
      <c r="I19" s="30"/>
    </row>
    <row r="20" spans="1:9" ht="14.25" customHeight="1" x14ac:dyDescent="0.25">
      <c r="A20" s="36" t="s">
        <v>467</v>
      </c>
      <c r="B20" s="36">
        <v>2024</v>
      </c>
      <c r="C20" s="36" t="s">
        <v>97</v>
      </c>
      <c r="D20" s="36" t="s">
        <v>71</v>
      </c>
      <c r="E20" s="17" t="s">
        <v>307</v>
      </c>
      <c r="F20" s="36">
        <f t="shared" si="3"/>
        <v>4</v>
      </c>
      <c r="G20" s="36">
        <f t="shared" si="4"/>
        <v>4</v>
      </c>
      <c r="H20" s="36">
        <f t="shared" si="1"/>
        <v>4</v>
      </c>
      <c r="I20" s="30"/>
    </row>
    <row r="21" spans="1:9" ht="14.25" customHeight="1" x14ac:dyDescent="0.25">
      <c r="A21" s="36" t="s">
        <v>224</v>
      </c>
      <c r="B21" s="36">
        <v>2024</v>
      </c>
      <c r="C21" s="36" t="s">
        <v>65</v>
      </c>
      <c r="D21" s="36" t="s">
        <v>46</v>
      </c>
      <c r="E21" s="17" t="s">
        <v>77</v>
      </c>
      <c r="F21" s="36">
        <f t="shared" si="3"/>
        <v>5</v>
      </c>
      <c r="G21" s="36">
        <f t="shared" si="4"/>
        <v>5</v>
      </c>
      <c r="H21" s="36">
        <f t="shared" si="1"/>
        <v>5</v>
      </c>
      <c r="I21" s="30"/>
    </row>
    <row r="22" spans="1:9" ht="14.25" customHeight="1" x14ac:dyDescent="0.25">
      <c r="A22" s="36" t="s">
        <v>119</v>
      </c>
      <c r="B22" s="36">
        <v>2024</v>
      </c>
      <c r="C22" s="36" t="s">
        <v>118</v>
      </c>
      <c r="D22" s="36" t="s">
        <v>47</v>
      </c>
      <c r="E22" s="17" t="s">
        <v>307</v>
      </c>
      <c r="F22" s="36">
        <f t="shared" si="3"/>
        <v>4</v>
      </c>
      <c r="G22" s="36">
        <f t="shared" si="4"/>
        <v>4</v>
      </c>
      <c r="H22" s="36">
        <f t="shared" si="1"/>
        <v>4</v>
      </c>
      <c r="I22" s="30"/>
    </row>
    <row r="23" spans="1:9" ht="14.25" customHeight="1" x14ac:dyDescent="0.25">
      <c r="A23" s="36" t="s">
        <v>119</v>
      </c>
      <c r="B23" s="36">
        <v>2024</v>
      </c>
      <c r="C23" s="36" t="s">
        <v>118</v>
      </c>
      <c r="D23" s="36" t="s">
        <v>48</v>
      </c>
      <c r="E23" s="17" t="s">
        <v>307</v>
      </c>
      <c r="F23" s="36">
        <f t="shared" si="3"/>
        <v>4</v>
      </c>
      <c r="G23" s="36">
        <f t="shared" si="4"/>
        <v>4</v>
      </c>
      <c r="H23" s="36">
        <f t="shared" si="1"/>
        <v>4</v>
      </c>
      <c r="I23" s="30"/>
    </row>
    <row r="24" spans="1:9" ht="14.25" customHeight="1" x14ac:dyDescent="0.25">
      <c r="A24" s="36" t="s">
        <v>440</v>
      </c>
      <c r="B24" s="36">
        <v>2024</v>
      </c>
      <c r="C24" s="36" t="s">
        <v>441</v>
      </c>
      <c r="D24" s="36" t="s">
        <v>46</v>
      </c>
      <c r="E24" s="17" t="s">
        <v>307</v>
      </c>
      <c r="F24" s="36">
        <f t="shared" si="3"/>
        <v>4</v>
      </c>
      <c r="G24" s="36">
        <f t="shared" si="4"/>
        <v>4</v>
      </c>
      <c r="H24" s="36">
        <f t="shared" si="1"/>
        <v>4</v>
      </c>
      <c r="I24" s="30"/>
    </row>
    <row r="25" spans="1:9" ht="14.25" customHeight="1" x14ac:dyDescent="0.25">
      <c r="A25" s="36" t="s">
        <v>468</v>
      </c>
      <c r="B25" s="36">
        <v>2024</v>
      </c>
      <c r="C25" s="36" t="s">
        <v>65</v>
      </c>
      <c r="D25" s="36" t="s">
        <v>71</v>
      </c>
      <c r="E25" s="17" t="s">
        <v>464</v>
      </c>
      <c r="F25" s="36">
        <f t="shared" si="3"/>
        <v>2</v>
      </c>
      <c r="G25" s="36">
        <f t="shared" si="4"/>
        <v>4</v>
      </c>
      <c r="H25" s="36">
        <f t="shared" si="1"/>
        <v>3</v>
      </c>
      <c r="I25" s="30"/>
    </row>
    <row r="26" spans="1:9" ht="14.25" customHeight="1" x14ac:dyDescent="0.25">
      <c r="A26" s="36" t="s">
        <v>442</v>
      </c>
      <c r="B26" s="36">
        <v>2023</v>
      </c>
      <c r="C26" s="36" t="s">
        <v>75</v>
      </c>
      <c r="D26" s="36" t="s">
        <v>47</v>
      </c>
      <c r="E26" s="17" t="s">
        <v>307</v>
      </c>
      <c r="F26" s="36">
        <f t="shared" si="3"/>
        <v>4</v>
      </c>
      <c r="G26" s="36">
        <f t="shared" si="4"/>
        <v>4</v>
      </c>
      <c r="H26" s="36">
        <f t="shared" si="1"/>
        <v>4</v>
      </c>
      <c r="I26" s="30"/>
    </row>
    <row r="27" spans="1:9" ht="14.25" customHeight="1" x14ac:dyDescent="0.25">
      <c r="A27" s="36" t="s">
        <v>227</v>
      </c>
      <c r="B27" s="36">
        <v>2023</v>
      </c>
      <c r="C27" s="36" t="s">
        <v>96</v>
      </c>
      <c r="D27" s="36" t="s">
        <v>48</v>
      </c>
      <c r="E27" s="17" t="s">
        <v>388</v>
      </c>
      <c r="F27" s="36">
        <f t="shared" si="3"/>
        <v>3</v>
      </c>
      <c r="G27" s="36">
        <f t="shared" si="4"/>
        <v>3</v>
      </c>
      <c r="H27" s="36">
        <f t="shared" si="1"/>
        <v>3</v>
      </c>
      <c r="I27" s="30"/>
    </row>
    <row r="28" spans="1:9" ht="14.25" customHeight="1" x14ac:dyDescent="0.25">
      <c r="A28" s="36" t="s">
        <v>126</v>
      </c>
      <c r="B28" s="36">
        <v>2023</v>
      </c>
      <c r="C28" s="36" t="s">
        <v>70</v>
      </c>
      <c r="D28" s="36" t="s">
        <v>46</v>
      </c>
      <c r="E28" s="17" t="s">
        <v>307</v>
      </c>
      <c r="F28" s="36">
        <f t="shared" si="3"/>
        <v>4</v>
      </c>
      <c r="G28" s="36">
        <f t="shared" si="4"/>
        <v>4</v>
      </c>
      <c r="H28" s="36">
        <f t="shared" si="1"/>
        <v>4</v>
      </c>
      <c r="I28" s="30" t="s">
        <v>469</v>
      </c>
    </row>
    <row r="29" spans="1:9" ht="14.25" customHeight="1" x14ac:dyDescent="0.25">
      <c r="A29" s="36" t="s">
        <v>126</v>
      </c>
      <c r="B29" s="36">
        <v>2023</v>
      </c>
      <c r="C29" s="36" t="s">
        <v>70</v>
      </c>
      <c r="D29" s="36" t="s">
        <v>46</v>
      </c>
      <c r="E29" s="17" t="s">
        <v>307</v>
      </c>
      <c r="F29" s="36">
        <f t="shared" si="3"/>
        <v>4</v>
      </c>
      <c r="G29" s="36">
        <f t="shared" si="4"/>
        <v>4</v>
      </c>
      <c r="H29" s="36">
        <f t="shared" si="1"/>
        <v>4</v>
      </c>
      <c r="I29" s="30" t="s">
        <v>470</v>
      </c>
    </row>
    <row r="30" spans="1:9" ht="14.25" customHeight="1" x14ac:dyDescent="0.25">
      <c r="A30" s="36" t="s">
        <v>126</v>
      </c>
      <c r="B30" s="36">
        <v>2023</v>
      </c>
      <c r="C30" s="36" t="s">
        <v>70</v>
      </c>
      <c r="D30" s="36" t="s">
        <v>47</v>
      </c>
      <c r="E30" s="17" t="s">
        <v>307</v>
      </c>
      <c r="F30" s="36">
        <f t="shared" si="3"/>
        <v>4</v>
      </c>
      <c r="G30" s="36">
        <f t="shared" si="4"/>
        <v>4</v>
      </c>
      <c r="H30" s="36">
        <f t="shared" si="1"/>
        <v>4</v>
      </c>
      <c r="I30" s="30"/>
    </row>
    <row r="31" spans="1:9" ht="14.25" customHeight="1" x14ac:dyDescent="0.25">
      <c r="A31" s="36" t="s">
        <v>235</v>
      </c>
      <c r="B31" s="36">
        <v>2023</v>
      </c>
      <c r="C31" s="36" t="s">
        <v>142</v>
      </c>
      <c r="D31" s="36" t="s">
        <v>46</v>
      </c>
      <c r="E31" s="17" t="s">
        <v>463</v>
      </c>
      <c r="F31" s="36">
        <f t="shared" si="3"/>
        <v>2</v>
      </c>
      <c r="G31" s="36">
        <f t="shared" si="4"/>
        <v>2</v>
      </c>
      <c r="H31" s="36">
        <f t="shared" si="1"/>
        <v>2</v>
      </c>
      <c r="I31" s="30"/>
    </row>
    <row r="32" spans="1:9" ht="14.25" customHeight="1" x14ac:dyDescent="0.25">
      <c r="A32" s="36" t="s">
        <v>186</v>
      </c>
      <c r="B32" s="36">
        <v>2022</v>
      </c>
      <c r="C32" s="36" t="s">
        <v>75</v>
      </c>
      <c r="D32" s="36" t="s">
        <v>46</v>
      </c>
      <c r="E32" s="17" t="s">
        <v>466</v>
      </c>
      <c r="F32" s="36">
        <f t="shared" si="3"/>
        <v>3</v>
      </c>
      <c r="G32" s="36">
        <f t="shared" si="4"/>
        <v>4</v>
      </c>
      <c r="H32" s="36">
        <f t="shared" si="1"/>
        <v>3.5</v>
      </c>
      <c r="I32" s="30"/>
    </row>
    <row r="33" spans="1:9" ht="14.25" customHeight="1" x14ac:dyDescent="0.25">
      <c r="A33" s="36" t="s">
        <v>236</v>
      </c>
      <c r="B33" s="36">
        <v>2022</v>
      </c>
      <c r="C33" s="36" t="s">
        <v>75</v>
      </c>
      <c r="D33" s="36" t="s">
        <v>46</v>
      </c>
      <c r="E33" s="17" t="s">
        <v>307</v>
      </c>
      <c r="F33" s="36">
        <f t="shared" si="3"/>
        <v>4</v>
      </c>
      <c r="G33" s="36">
        <f t="shared" si="4"/>
        <v>4</v>
      </c>
      <c r="H33" s="36">
        <f t="shared" si="1"/>
        <v>4</v>
      </c>
      <c r="I33" s="30"/>
    </row>
    <row r="34" spans="1:9" ht="14.25" customHeight="1" x14ac:dyDescent="0.25">
      <c r="A34" s="36" t="s">
        <v>465</v>
      </c>
      <c r="B34" s="36">
        <v>2022</v>
      </c>
      <c r="C34" s="36" t="s">
        <v>471</v>
      </c>
      <c r="D34" s="36" t="s">
        <v>71</v>
      </c>
      <c r="E34" s="17" t="s">
        <v>307</v>
      </c>
      <c r="F34" s="36">
        <f t="shared" si="3"/>
        <v>4</v>
      </c>
      <c r="G34" s="36">
        <f t="shared" si="4"/>
        <v>4</v>
      </c>
      <c r="H34" s="36">
        <f t="shared" si="1"/>
        <v>4</v>
      </c>
      <c r="I34" s="30"/>
    </row>
    <row r="35" spans="1:9" ht="14.25" customHeight="1" x14ac:dyDescent="0.25">
      <c r="A35" s="36" t="s">
        <v>133</v>
      </c>
      <c r="B35" s="36">
        <v>2022</v>
      </c>
      <c r="C35" s="36" t="s">
        <v>131</v>
      </c>
      <c r="D35" s="36" t="s">
        <v>47</v>
      </c>
      <c r="E35" s="17" t="s">
        <v>463</v>
      </c>
      <c r="F35" s="36">
        <f t="shared" si="3"/>
        <v>2</v>
      </c>
      <c r="G35" s="36">
        <f t="shared" si="4"/>
        <v>2</v>
      </c>
      <c r="H35" s="36">
        <f t="shared" si="1"/>
        <v>2</v>
      </c>
      <c r="I35" s="30"/>
    </row>
    <row r="36" spans="1:9" ht="14.25" customHeight="1" x14ac:dyDescent="0.25">
      <c r="A36" s="36" t="s">
        <v>133</v>
      </c>
      <c r="B36" s="36">
        <v>2022</v>
      </c>
      <c r="C36" s="36" t="s">
        <v>131</v>
      </c>
      <c r="D36" s="36" t="s">
        <v>48</v>
      </c>
      <c r="E36" s="17" t="s">
        <v>463</v>
      </c>
      <c r="F36" s="36">
        <f t="shared" si="3"/>
        <v>2</v>
      </c>
      <c r="G36" s="36">
        <f t="shared" si="4"/>
        <v>2</v>
      </c>
      <c r="H36" s="36">
        <f t="shared" si="1"/>
        <v>2</v>
      </c>
      <c r="I36" s="30"/>
    </row>
    <row r="37" spans="1:9" ht="14.25" customHeight="1" x14ac:dyDescent="0.25">
      <c r="A37" s="36" t="s">
        <v>240</v>
      </c>
      <c r="B37" s="36">
        <v>2022</v>
      </c>
      <c r="C37" s="36" t="s">
        <v>142</v>
      </c>
      <c r="D37" s="36" t="s">
        <v>46</v>
      </c>
      <c r="E37" s="17" t="s">
        <v>307</v>
      </c>
      <c r="F37" s="36">
        <f t="shared" si="3"/>
        <v>4</v>
      </c>
      <c r="G37" s="36">
        <f t="shared" si="4"/>
        <v>4</v>
      </c>
      <c r="H37" s="36">
        <f t="shared" si="1"/>
        <v>4</v>
      </c>
      <c r="I37" s="30"/>
    </row>
    <row r="38" spans="1:9" ht="14.25" customHeight="1" x14ac:dyDescent="0.25">
      <c r="A38" s="36" t="s">
        <v>240</v>
      </c>
      <c r="B38" s="36">
        <v>2022</v>
      </c>
      <c r="C38" s="36" t="s">
        <v>142</v>
      </c>
      <c r="D38" s="36" t="s">
        <v>47</v>
      </c>
      <c r="E38" s="17" t="s">
        <v>307</v>
      </c>
      <c r="F38" s="36">
        <f t="shared" si="3"/>
        <v>4</v>
      </c>
      <c r="G38" s="36">
        <f t="shared" si="4"/>
        <v>4</v>
      </c>
      <c r="H38" s="36">
        <f t="shared" si="1"/>
        <v>4</v>
      </c>
      <c r="I38" s="30"/>
    </row>
    <row r="39" spans="1:9" ht="14.25" customHeight="1" x14ac:dyDescent="0.25">
      <c r="A39" s="36" t="s">
        <v>240</v>
      </c>
      <c r="B39" s="36">
        <v>2022</v>
      </c>
      <c r="C39" s="36" t="s">
        <v>142</v>
      </c>
      <c r="D39" s="36" t="s">
        <v>48</v>
      </c>
      <c r="E39" s="17" t="s">
        <v>307</v>
      </c>
      <c r="F39" s="36">
        <f t="shared" si="3"/>
        <v>4</v>
      </c>
      <c r="G39" s="36">
        <f t="shared" si="4"/>
        <v>4</v>
      </c>
      <c r="H39" s="36">
        <f t="shared" si="1"/>
        <v>4</v>
      </c>
      <c r="I39" s="30"/>
    </row>
    <row r="40" spans="1:9" ht="14.25" customHeight="1" x14ac:dyDescent="0.25">
      <c r="A40" s="36" t="s">
        <v>322</v>
      </c>
      <c r="B40" s="36">
        <v>2021</v>
      </c>
      <c r="C40" s="36" t="s">
        <v>75</v>
      </c>
      <c r="D40" s="36" t="s">
        <v>47</v>
      </c>
      <c r="E40" s="17" t="s">
        <v>307</v>
      </c>
      <c r="F40" s="36">
        <f t="shared" si="3"/>
        <v>4</v>
      </c>
      <c r="G40" s="36">
        <f t="shared" si="4"/>
        <v>4</v>
      </c>
      <c r="H40" s="36">
        <f t="shared" si="1"/>
        <v>4</v>
      </c>
      <c r="I40" s="30"/>
    </row>
    <row r="41" spans="1:9" ht="14.25" customHeight="1" x14ac:dyDescent="0.25">
      <c r="A41" s="36" t="s">
        <v>246</v>
      </c>
      <c r="B41" s="36">
        <v>2021</v>
      </c>
      <c r="C41" s="36" t="s">
        <v>75</v>
      </c>
      <c r="D41" s="36" t="s">
        <v>46</v>
      </c>
      <c r="E41" s="17" t="s">
        <v>284</v>
      </c>
      <c r="F41" s="36">
        <f t="shared" si="3"/>
        <v>1</v>
      </c>
      <c r="G41" s="36">
        <f t="shared" si="4"/>
        <v>5</v>
      </c>
      <c r="H41" s="36">
        <f t="shared" si="1"/>
        <v>3</v>
      </c>
      <c r="I41" s="30"/>
    </row>
    <row r="42" spans="1:9" ht="14.25" customHeight="1" x14ac:dyDescent="0.25">
      <c r="A42" s="36" t="s">
        <v>246</v>
      </c>
      <c r="B42" s="36">
        <v>2021</v>
      </c>
      <c r="C42" s="36" t="s">
        <v>75</v>
      </c>
      <c r="D42" s="36" t="s">
        <v>48</v>
      </c>
      <c r="E42" s="17" t="s">
        <v>284</v>
      </c>
      <c r="F42" s="36">
        <f t="shared" si="3"/>
        <v>1</v>
      </c>
      <c r="G42" s="36">
        <f t="shared" si="4"/>
        <v>5</v>
      </c>
      <c r="H42" s="36">
        <f t="shared" si="1"/>
        <v>3</v>
      </c>
      <c r="I42" s="30"/>
    </row>
    <row r="43" spans="1:9" ht="15" customHeight="1" x14ac:dyDescent="0.25">
      <c r="A43" s="36" t="s">
        <v>135</v>
      </c>
      <c r="B43" s="36">
        <v>2021</v>
      </c>
      <c r="C43" s="36" t="s">
        <v>75</v>
      </c>
      <c r="D43" s="36" t="s">
        <v>46</v>
      </c>
      <c r="E43" s="17" t="s">
        <v>388</v>
      </c>
      <c r="F43" s="36">
        <f t="shared" si="3"/>
        <v>3</v>
      </c>
      <c r="G43" s="36">
        <f t="shared" si="4"/>
        <v>3</v>
      </c>
      <c r="H43" s="36">
        <f t="shared" si="1"/>
        <v>3</v>
      </c>
      <c r="I43" s="30"/>
    </row>
    <row r="44" spans="1:9" ht="14.25" customHeight="1" x14ac:dyDescent="0.25">
      <c r="A44" s="36" t="s">
        <v>140</v>
      </c>
      <c r="B44" s="36">
        <v>2021</v>
      </c>
      <c r="C44" s="36" t="s">
        <v>75</v>
      </c>
      <c r="D44" s="36" t="s">
        <v>46</v>
      </c>
      <c r="E44" s="17" t="s">
        <v>464</v>
      </c>
      <c r="F44" s="36">
        <f t="shared" si="3"/>
        <v>2</v>
      </c>
      <c r="G44" s="36">
        <f t="shared" si="4"/>
        <v>4</v>
      </c>
      <c r="H44" s="36">
        <f t="shared" si="1"/>
        <v>3</v>
      </c>
      <c r="I44" s="30"/>
    </row>
    <row r="45" spans="1:9" ht="14.25" customHeight="1" x14ac:dyDescent="0.25">
      <c r="A45" s="36" t="s">
        <v>254</v>
      </c>
      <c r="B45" s="36">
        <v>2021</v>
      </c>
      <c r="C45" s="36" t="s">
        <v>142</v>
      </c>
      <c r="D45" s="36" t="s">
        <v>47</v>
      </c>
      <c r="E45" s="17" t="s">
        <v>392</v>
      </c>
      <c r="F45" s="36">
        <f t="shared" si="3"/>
        <v>1</v>
      </c>
      <c r="G45" s="36">
        <f t="shared" si="4"/>
        <v>1</v>
      </c>
      <c r="H45" s="36">
        <f t="shared" si="1"/>
        <v>1</v>
      </c>
      <c r="I45" s="30"/>
    </row>
    <row r="46" spans="1:9" ht="14.25" customHeight="1" x14ac:dyDescent="0.25">
      <c r="A46" s="36" t="s">
        <v>261</v>
      </c>
      <c r="B46" s="36">
        <v>2021</v>
      </c>
      <c r="C46" s="36" t="s">
        <v>75</v>
      </c>
      <c r="D46" s="36" t="s">
        <v>48</v>
      </c>
      <c r="E46" s="17" t="s">
        <v>307</v>
      </c>
      <c r="F46" s="36">
        <f t="shared" si="3"/>
        <v>4</v>
      </c>
      <c r="G46" s="36">
        <f t="shared" si="4"/>
        <v>4</v>
      </c>
      <c r="H46" s="36">
        <f t="shared" si="1"/>
        <v>4</v>
      </c>
      <c r="I46" s="30"/>
    </row>
    <row r="47" spans="1:9" ht="14.25" customHeight="1" x14ac:dyDescent="0.25">
      <c r="A47" s="36" t="s">
        <v>452</v>
      </c>
      <c r="B47" s="36">
        <v>2021</v>
      </c>
      <c r="C47" s="36" t="s">
        <v>75</v>
      </c>
      <c r="D47" s="36" t="s">
        <v>48</v>
      </c>
      <c r="E47" s="17" t="s">
        <v>162</v>
      </c>
      <c r="F47" s="36">
        <f t="shared" si="3"/>
        <v>1</v>
      </c>
      <c r="G47" s="36">
        <f t="shared" si="4"/>
        <v>4</v>
      </c>
      <c r="H47" s="36">
        <f t="shared" si="1"/>
        <v>2.5</v>
      </c>
      <c r="I47" s="30"/>
    </row>
    <row r="48" spans="1:9" ht="14.25" customHeight="1" x14ac:dyDescent="0.25">
      <c r="A48" s="36" t="s">
        <v>405</v>
      </c>
      <c r="B48" s="36">
        <v>2020</v>
      </c>
      <c r="C48" s="36" t="s">
        <v>97</v>
      </c>
      <c r="D48" s="36" t="s">
        <v>46</v>
      </c>
      <c r="E48" s="17" t="s">
        <v>307</v>
      </c>
      <c r="F48" s="36">
        <f t="shared" si="3"/>
        <v>4</v>
      </c>
      <c r="G48" s="36">
        <f t="shared" si="4"/>
        <v>4</v>
      </c>
      <c r="H48" s="36">
        <f t="shared" si="1"/>
        <v>4</v>
      </c>
      <c r="I48" s="30"/>
    </row>
    <row r="49" spans="1:17" ht="14.25" customHeight="1" x14ac:dyDescent="0.25">
      <c r="A49" s="36" t="s">
        <v>405</v>
      </c>
      <c r="B49" s="36">
        <v>2020</v>
      </c>
      <c r="C49" s="36" t="s">
        <v>97</v>
      </c>
      <c r="D49" s="36" t="s">
        <v>48</v>
      </c>
      <c r="E49" s="17" t="s">
        <v>307</v>
      </c>
      <c r="F49" s="36">
        <f t="shared" si="3"/>
        <v>4</v>
      </c>
      <c r="G49" s="36">
        <f t="shared" si="4"/>
        <v>4</v>
      </c>
      <c r="H49" s="36">
        <f t="shared" si="1"/>
        <v>4</v>
      </c>
      <c r="I49" s="30"/>
    </row>
    <row r="50" spans="1:17" ht="14.25" customHeight="1" x14ac:dyDescent="0.25">
      <c r="A50" s="36" t="s">
        <v>141</v>
      </c>
      <c r="B50" s="36">
        <v>2020</v>
      </c>
      <c r="C50" s="36" t="s">
        <v>142</v>
      </c>
      <c r="D50" s="36" t="s">
        <v>71</v>
      </c>
      <c r="E50" s="17" t="s">
        <v>464</v>
      </c>
      <c r="F50" s="36">
        <f t="shared" si="3"/>
        <v>2</v>
      </c>
      <c r="G50" s="36">
        <f t="shared" si="4"/>
        <v>4</v>
      </c>
      <c r="H50" s="36">
        <f t="shared" si="1"/>
        <v>3</v>
      </c>
      <c r="I50" s="30"/>
    </row>
    <row r="51" spans="1:17" ht="14.25" customHeight="1" x14ac:dyDescent="0.25">
      <c r="A51" s="36" t="s">
        <v>143</v>
      </c>
      <c r="B51" s="36">
        <v>2020</v>
      </c>
      <c r="C51" s="36" t="s">
        <v>142</v>
      </c>
      <c r="D51" s="36" t="s">
        <v>46</v>
      </c>
      <c r="E51" s="17" t="s">
        <v>464</v>
      </c>
      <c r="F51" s="36">
        <f t="shared" si="3"/>
        <v>2</v>
      </c>
      <c r="G51" s="36">
        <f t="shared" si="4"/>
        <v>4</v>
      </c>
      <c r="H51" s="36">
        <f t="shared" si="1"/>
        <v>3</v>
      </c>
      <c r="I51" s="30"/>
    </row>
    <row r="52" spans="1:17" ht="14.25" customHeight="1" x14ac:dyDescent="0.25">
      <c r="A52" s="36" t="s">
        <v>143</v>
      </c>
      <c r="B52" s="36">
        <v>2020</v>
      </c>
      <c r="C52" s="36" t="s">
        <v>142</v>
      </c>
      <c r="D52" s="36" t="s">
        <v>47</v>
      </c>
      <c r="E52" s="17" t="s">
        <v>464</v>
      </c>
      <c r="F52" s="36">
        <f t="shared" si="3"/>
        <v>2</v>
      </c>
      <c r="G52" s="36">
        <f t="shared" si="4"/>
        <v>4</v>
      </c>
      <c r="H52" s="36">
        <f t="shared" si="1"/>
        <v>3</v>
      </c>
      <c r="I52" s="30"/>
    </row>
    <row r="53" spans="1:17" ht="14.25" customHeight="1" x14ac:dyDescent="0.25">
      <c r="A53" s="36" t="s">
        <v>143</v>
      </c>
      <c r="B53" s="36">
        <v>2020</v>
      </c>
      <c r="C53" s="36" t="s">
        <v>142</v>
      </c>
      <c r="D53" s="36" t="s">
        <v>48</v>
      </c>
      <c r="E53" s="17" t="s">
        <v>464</v>
      </c>
      <c r="F53" s="36">
        <f t="shared" si="3"/>
        <v>2</v>
      </c>
      <c r="G53" s="36">
        <f t="shared" si="4"/>
        <v>4</v>
      </c>
      <c r="H53" s="36">
        <f t="shared" si="1"/>
        <v>3</v>
      </c>
      <c r="I53" s="30"/>
      <c r="Q53" s="13"/>
    </row>
    <row r="54" spans="1:17" ht="14.25" customHeight="1" x14ac:dyDescent="0.25">
      <c r="A54" s="36" t="s">
        <v>278</v>
      </c>
      <c r="B54" s="36">
        <v>2019</v>
      </c>
      <c r="C54" s="36" t="s">
        <v>146</v>
      </c>
      <c r="D54" s="36" t="s">
        <v>46</v>
      </c>
      <c r="E54" s="17" t="s">
        <v>392</v>
      </c>
      <c r="F54" s="36">
        <f t="shared" si="3"/>
        <v>1</v>
      </c>
      <c r="G54" s="36">
        <f t="shared" si="4"/>
        <v>1</v>
      </c>
      <c r="H54" s="36">
        <f t="shared" si="1"/>
        <v>1</v>
      </c>
      <c r="I54" s="30"/>
    </row>
    <row r="55" spans="1:17" ht="14.25" customHeight="1" x14ac:dyDescent="0.25">
      <c r="A55" s="36" t="s">
        <v>278</v>
      </c>
      <c r="B55" s="36">
        <v>2019</v>
      </c>
      <c r="C55" s="36" t="s">
        <v>146</v>
      </c>
      <c r="D55" s="36" t="s">
        <v>47</v>
      </c>
      <c r="E55" s="17" t="s">
        <v>392</v>
      </c>
      <c r="F55" s="36">
        <f t="shared" si="3"/>
        <v>1</v>
      </c>
      <c r="G55" s="36">
        <f t="shared" si="4"/>
        <v>1</v>
      </c>
      <c r="H55" s="36">
        <f t="shared" si="1"/>
        <v>1</v>
      </c>
      <c r="I55" s="30"/>
    </row>
    <row r="56" spans="1:17" ht="14.25" customHeight="1" x14ac:dyDescent="0.25">
      <c r="A56" s="36" t="s">
        <v>278</v>
      </c>
      <c r="B56" s="36">
        <v>2019</v>
      </c>
      <c r="C56" s="36" t="s">
        <v>146</v>
      </c>
      <c r="D56" s="36" t="s">
        <v>48</v>
      </c>
      <c r="E56" s="17" t="s">
        <v>392</v>
      </c>
      <c r="F56" s="36">
        <f t="shared" si="3"/>
        <v>1</v>
      </c>
      <c r="G56" s="36">
        <f t="shared" si="4"/>
        <v>1</v>
      </c>
      <c r="H56" s="36">
        <f t="shared" si="1"/>
        <v>1</v>
      </c>
      <c r="I56" s="30"/>
    </row>
    <row r="57" spans="1:17" ht="14.25" customHeight="1" x14ac:dyDescent="0.25">
      <c r="A57" s="36" t="s">
        <v>145</v>
      </c>
      <c r="B57" s="36">
        <v>2019</v>
      </c>
      <c r="C57" s="36" t="s">
        <v>146</v>
      </c>
      <c r="D57" s="36" t="s">
        <v>46</v>
      </c>
      <c r="E57" s="17" t="s">
        <v>392</v>
      </c>
      <c r="F57" s="36">
        <f t="shared" si="3"/>
        <v>1</v>
      </c>
      <c r="G57" s="36">
        <f t="shared" si="4"/>
        <v>1</v>
      </c>
      <c r="H57" s="36">
        <f t="shared" si="1"/>
        <v>1</v>
      </c>
      <c r="I57" s="30"/>
    </row>
    <row r="58" spans="1:17" ht="14.25" customHeight="1" x14ac:dyDescent="0.25">
      <c r="A58" s="36" t="s">
        <v>145</v>
      </c>
      <c r="B58" s="36">
        <v>2019</v>
      </c>
      <c r="C58" s="36" t="s">
        <v>146</v>
      </c>
      <c r="D58" s="36" t="s">
        <v>47</v>
      </c>
      <c r="E58" s="17" t="s">
        <v>392</v>
      </c>
      <c r="F58" s="36">
        <f t="shared" si="3"/>
        <v>1</v>
      </c>
      <c r="G58" s="36">
        <f t="shared" si="4"/>
        <v>1</v>
      </c>
      <c r="H58" s="36">
        <f t="shared" si="1"/>
        <v>1</v>
      </c>
      <c r="I58" s="30"/>
    </row>
    <row r="59" spans="1:17" ht="14.25" customHeight="1" x14ac:dyDescent="0.25">
      <c r="A59" s="36" t="s">
        <v>151</v>
      </c>
      <c r="B59" s="36">
        <v>2019</v>
      </c>
      <c r="C59" s="36" t="s">
        <v>75</v>
      </c>
      <c r="D59" s="36" t="s">
        <v>46</v>
      </c>
      <c r="E59" s="17" t="s">
        <v>464</v>
      </c>
      <c r="F59" s="36">
        <f t="shared" si="3"/>
        <v>2</v>
      </c>
      <c r="G59" s="36">
        <f t="shared" si="4"/>
        <v>4</v>
      </c>
      <c r="H59" s="36">
        <f t="shared" si="1"/>
        <v>3</v>
      </c>
      <c r="I59" s="30"/>
    </row>
    <row r="60" spans="1:17" ht="14.25" customHeight="1" x14ac:dyDescent="0.25">
      <c r="A60" s="36" t="s">
        <v>472</v>
      </c>
      <c r="B60" s="36">
        <v>2019</v>
      </c>
      <c r="C60" s="36" t="s">
        <v>75</v>
      </c>
      <c r="D60" s="36" t="s">
        <v>46</v>
      </c>
      <c r="E60" s="17" t="s">
        <v>473</v>
      </c>
      <c r="F60" s="36">
        <f t="shared" si="3"/>
        <v>2</v>
      </c>
      <c r="G60" s="36">
        <f t="shared" si="4"/>
        <v>5</v>
      </c>
      <c r="H60" s="36">
        <f t="shared" si="1"/>
        <v>3.5</v>
      </c>
      <c r="I60" s="30"/>
    </row>
    <row r="61" spans="1:17" ht="14.25" customHeight="1" x14ac:dyDescent="0.25">
      <c r="A61" s="36" t="s">
        <v>408</v>
      </c>
      <c r="B61" s="36">
        <v>2018</v>
      </c>
      <c r="C61" s="36" t="s">
        <v>142</v>
      </c>
      <c r="D61" s="36" t="s">
        <v>46</v>
      </c>
      <c r="E61" s="17" t="s">
        <v>307</v>
      </c>
      <c r="F61" s="36">
        <f t="shared" si="3"/>
        <v>4</v>
      </c>
      <c r="G61" s="36">
        <f t="shared" si="4"/>
        <v>4</v>
      </c>
      <c r="H61" s="36">
        <f t="shared" si="1"/>
        <v>4</v>
      </c>
      <c r="I61" s="30"/>
    </row>
    <row r="62" spans="1:17" ht="14.25" customHeight="1" x14ac:dyDescent="0.25">
      <c r="A62" s="36" t="s">
        <v>408</v>
      </c>
      <c r="B62" s="36">
        <v>2018</v>
      </c>
      <c r="C62" s="36" t="s">
        <v>142</v>
      </c>
      <c r="D62" s="36" t="s">
        <v>48</v>
      </c>
      <c r="E62" s="17" t="s">
        <v>307</v>
      </c>
      <c r="F62" s="36">
        <f t="shared" si="3"/>
        <v>4</v>
      </c>
      <c r="G62" s="36">
        <f t="shared" si="4"/>
        <v>4</v>
      </c>
      <c r="H62" s="36">
        <f t="shared" si="1"/>
        <v>4</v>
      </c>
      <c r="I62" s="30"/>
    </row>
    <row r="63" spans="1:17" ht="14.25" customHeight="1" x14ac:dyDescent="0.25">
      <c r="A63" s="36" t="s">
        <v>152</v>
      </c>
      <c r="B63" s="36">
        <v>2018</v>
      </c>
      <c r="C63" s="36" t="s">
        <v>75</v>
      </c>
      <c r="D63" s="36" t="s">
        <v>46</v>
      </c>
      <c r="E63" s="17" t="s">
        <v>464</v>
      </c>
      <c r="F63" s="36">
        <f t="shared" si="3"/>
        <v>2</v>
      </c>
      <c r="G63" s="36">
        <f t="shared" si="4"/>
        <v>4</v>
      </c>
      <c r="H63" s="36">
        <f t="shared" si="1"/>
        <v>3</v>
      </c>
      <c r="I63" s="30"/>
    </row>
    <row r="64" spans="1:17" ht="14.25" customHeight="1" x14ac:dyDescent="0.25">
      <c r="A64" s="36" t="s">
        <v>291</v>
      </c>
      <c r="B64" s="36">
        <v>2018</v>
      </c>
      <c r="C64" s="36" t="s">
        <v>75</v>
      </c>
      <c r="D64" s="36" t="s">
        <v>46</v>
      </c>
      <c r="E64" s="17" t="s">
        <v>284</v>
      </c>
      <c r="F64" s="36">
        <f t="shared" si="3"/>
        <v>1</v>
      </c>
      <c r="G64" s="36">
        <f t="shared" si="4"/>
        <v>5</v>
      </c>
      <c r="H64" s="36">
        <f t="shared" si="1"/>
        <v>3</v>
      </c>
      <c r="I64" s="30"/>
    </row>
    <row r="65" spans="1:9" ht="14.25" customHeight="1" x14ac:dyDescent="0.25">
      <c r="A65" s="36" t="s">
        <v>291</v>
      </c>
      <c r="B65" s="36">
        <v>2018</v>
      </c>
      <c r="C65" s="36" t="s">
        <v>75</v>
      </c>
      <c r="D65" s="36" t="s">
        <v>48</v>
      </c>
      <c r="E65" s="17" t="s">
        <v>284</v>
      </c>
      <c r="F65" s="36">
        <f t="shared" si="3"/>
        <v>1</v>
      </c>
      <c r="G65" s="36">
        <f t="shared" si="4"/>
        <v>5</v>
      </c>
      <c r="H65" s="36">
        <f t="shared" si="1"/>
        <v>3</v>
      </c>
      <c r="I65" s="30"/>
    </row>
    <row r="66" spans="1:9" ht="14.25" customHeight="1" x14ac:dyDescent="0.25">
      <c r="A66" s="36" t="s">
        <v>133</v>
      </c>
      <c r="B66" s="36">
        <v>2018</v>
      </c>
      <c r="C66" s="36" t="s">
        <v>75</v>
      </c>
      <c r="D66" s="36" t="s">
        <v>46</v>
      </c>
      <c r="E66" s="17" t="s">
        <v>474</v>
      </c>
      <c r="F66" s="36">
        <f t="shared" si="3"/>
        <v>1</v>
      </c>
      <c r="G66" s="36">
        <f t="shared" si="4"/>
        <v>12</v>
      </c>
      <c r="H66" s="36">
        <f t="shared" si="1"/>
        <v>6.5</v>
      </c>
      <c r="I66" s="30"/>
    </row>
    <row r="67" spans="1:9" ht="14.25" customHeight="1" x14ac:dyDescent="0.25">
      <c r="A67" s="36" t="s">
        <v>293</v>
      </c>
      <c r="B67" s="36">
        <v>2017</v>
      </c>
      <c r="C67" s="36" t="s">
        <v>142</v>
      </c>
      <c r="D67" s="36" t="s">
        <v>47</v>
      </c>
      <c r="E67" s="17" t="s">
        <v>307</v>
      </c>
      <c r="F67" s="36">
        <f t="shared" si="3"/>
        <v>4</v>
      </c>
      <c r="G67" s="36">
        <f t="shared" si="4"/>
        <v>4</v>
      </c>
      <c r="H67" s="36">
        <f t="shared" si="1"/>
        <v>4</v>
      </c>
      <c r="I67" s="30"/>
    </row>
    <row r="68" spans="1:9" ht="14.25" customHeight="1" x14ac:dyDescent="0.25">
      <c r="A68" s="36" t="s">
        <v>295</v>
      </c>
      <c r="B68" s="36">
        <v>2017</v>
      </c>
      <c r="C68" s="36" t="s">
        <v>75</v>
      </c>
      <c r="D68" s="36" t="s">
        <v>47</v>
      </c>
      <c r="E68" s="17" t="s">
        <v>464</v>
      </c>
      <c r="F68" s="36">
        <f t="shared" si="3"/>
        <v>2</v>
      </c>
      <c r="G68" s="36">
        <f t="shared" si="4"/>
        <v>4</v>
      </c>
      <c r="H68" s="36">
        <f t="shared" si="1"/>
        <v>3</v>
      </c>
      <c r="I68" s="30"/>
    </row>
    <row r="69" spans="1:9" ht="14.25" customHeight="1" x14ac:dyDescent="0.25">
      <c r="A69" s="36" t="s">
        <v>298</v>
      </c>
      <c r="B69" s="36">
        <v>2017</v>
      </c>
      <c r="C69" s="36" t="s">
        <v>75</v>
      </c>
      <c r="D69" s="36" t="s">
        <v>47</v>
      </c>
      <c r="E69" s="17" t="s">
        <v>464</v>
      </c>
      <c r="F69" s="36">
        <f t="shared" si="3"/>
        <v>2</v>
      </c>
      <c r="G69" s="36">
        <f t="shared" si="4"/>
        <v>4</v>
      </c>
      <c r="H69" s="36">
        <f t="shared" si="1"/>
        <v>3</v>
      </c>
      <c r="I69" s="30"/>
    </row>
    <row r="70" spans="1:9" ht="14.25" customHeight="1" x14ac:dyDescent="0.25">
      <c r="A70" s="3"/>
      <c r="B70" s="3"/>
      <c r="C70" s="3"/>
      <c r="D70" s="3"/>
      <c r="E70" s="4"/>
      <c r="F70" s="3"/>
      <c r="G70" s="3"/>
      <c r="H70" s="3"/>
      <c r="I70" s="1"/>
    </row>
    <row r="71" spans="1:9" ht="14.25" customHeight="1" x14ac:dyDescent="0.25">
      <c r="A71" s="3"/>
      <c r="B71" s="3"/>
      <c r="C71" s="3"/>
      <c r="D71" s="3"/>
      <c r="E71" s="4"/>
      <c r="F71" s="3"/>
      <c r="G71" s="3"/>
      <c r="H71" s="3"/>
      <c r="I71" s="1"/>
    </row>
    <row r="72" spans="1:9" ht="14.25" customHeight="1" x14ac:dyDescent="0.25">
      <c r="A72" s="3"/>
      <c r="B72" s="3"/>
      <c r="C72" s="3"/>
      <c r="D72" s="3"/>
      <c r="E72" s="4"/>
      <c r="F72" s="3"/>
      <c r="G72" s="3"/>
      <c r="H72" s="3"/>
      <c r="I72" s="1"/>
    </row>
    <row r="73" spans="1:9" ht="14.25" customHeight="1" x14ac:dyDescent="0.25">
      <c r="A73" s="3"/>
      <c r="B73" s="3"/>
      <c r="C73" s="3"/>
      <c r="D73" s="3"/>
      <c r="E73" s="4"/>
      <c r="F73" s="3"/>
      <c r="G73" s="3"/>
      <c r="H73" s="3"/>
      <c r="I73" s="1"/>
    </row>
    <row r="74" spans="1:9" ht="14.25" customHeight="1" x14ac:dyDescent="0.25">
      <c r="A74" s="3"/>
      <c r="B74" s="3"/>
      <c r="C74" s="3"/>
      <c r="D74" s="3"/>
      <c r="E74" s="4"/>
      <c r="F74" s="3"/>
      <c r="G74" s="3"/>
      <c r="H74" s="3"/>
      <c r="I74" s="1"/>
    </row>
    <row r="75" spans="1:9" ht="14.25" customHeight="1" x14ac:dyDescent="0.25">
      <c r="A75" s="3"/>
      <c r="B75" s="3"/>
      <c r="C75" s="3"/>
      <c r="D75" s="3"/>
      <c r="E75" s="4"/>
      <c r="F75" s="3"/>
      <c r="G75" s="3"/>
      <c r="H75" s="3"/>
      <c r="I75" s="1"/>
    </row>
    <row r="76" spans="1:9" ht="14.25" customHeight="1" x14ac:dyDescent="0.25">
      <c r="A76" s="3"/>
      <c r="B76" s="3"/>
      <c r="C76" s="3"/>
      <c r="D76" s="3"/>
      <c r="E76" s="4"/>
      <c r="F76" s="3"/>
      <c r="G76" s="3"/>
      <c r="H76" s="3"/>
      <c r="I76" s="1"/>
    </row>
    <row r="77" spans="1:9" ht="14.25" customHeight="1" x14ac:dyDescent="0.25">
      <c r="A77" s="3"/>
      <c r="B77" s="3"/>
      <c r="C77" s="3"/>
      <c r="D77" s="3"/>
      <c r="E77" s="4"/>
      <c r="F77" s="3"/>
      <c r="G77" s="3"/>
      <c r="H77" s="3"/>
      <c r="I77" s="1"/>
    </row>
    <row r="78" spans="1:9" ht="14.25" customHeight="1" x14ac:dyDescent="0.25">
      <c r="A78" s="3"/>
      <c r="B78" s="3"/>
      <c r="C78" s="3"/>
      <c r="D78" s="3"/>
      <c r="E78" s="4"/>
      <c r="F78" s="3"/>
      <c r="G78" s="3"/>
      <c r="H78" s="3"/>
      <c r="I78" s="1"/>
    </row>
    <row r="79" spans="1:9" ht="14.25" customHeight="1" x14ac:dyDescent="0.25">
      <c r="A79" s="3"/>
      <c r="B79" s="3"/>
      <c r="C79" s="3"/>
      <c r="D79" s="3"/>
      <c r="E79" s="4"/>
      <c r="F79" s="3"/>
      <c r="G79" s="3"/>
      <c r="H79" s="3"/>
      <c r="I79" s="1"/>
    </row>
    <row r="80" spans="1:9" ht="14.25" customHeight="1" x14ac:dyDescent="0.25">
      <c r="A80" s="3"/>
      <c r="B80" s="3"/>
      <c r="C80" s="3"/>
      <c r="D80" s="3"/>
      <c r="E80" s="4"/>
      <c r="F80" s="3"/>
      <c r="G80" s="3"/>
      <c r="H80" s="3"/>
      <c r="I80" s="1"/>
    </row>
    <row r="81" spans="1:9" ht="14.25" customHeight="1" x14ac:dyDescent="0.25">
      <c r="A81" s="3"/>
      <c r="B81" s="3"/>
      <c r="C81" s="3"/>
      <c r="D81" s="3"/>
      <c r="E81" s="4"/>
      <c r="F81" s="3"/>
      <c r="G81" s="3"/>
      <c r="H81" s="3"/>
      <c r="I81" s="1"/>
    </row>
    <row r="82" spans="1:9" ht="14.25" customHeight="1" x14ac:dyDescent="0.25">
      <c r="A82" s="3"/>
      <c r="B82" s="3"/>
      <c r="C82" s="3"/>
      <c r="D82" s="3"/>
      <c r="E82" s="4"/>
      <c r="F82" s="3"/>
      <c r="G82" s="3"/>
      <c r="H82" s="3"/>
      <c r="I82" s="1"/>
    </row>
    <row r="83" spans="1:9" ht="14.25" customHeight="1" x14ac:dyDescent="0.25">
      <c r="A83" s="3"/>
      <c r="B83" s="3"/>
      <c r="C83" s="3"/>
      <c r="D83" s="3"/>
      <c r="E83" s="4"/>
      <c r="F83" s="3"/>
      <c r="G83" s="3"/>
      <c r="H83" s="3"/>
      <c r="I83" s="1"/>
    </row>
    <row r="84" spans="1:9" ht="14.25" customHeight="1" x14ac:dyDescent="0.25">
      <c r="A84" s="3"/>
      <c r="B84" s="3"/>
      <c r="C84" s="3"/>
      <c r="D84" s="3"/>
      <c r="E84" s="4"/>
      <c r="F84" s="3"/>
      <c r="G84" s="3"/>
      <c r="H84" s="3"/>
      <c r="I84" s="1"/>
    </row>
    <row r="85" spans="1:9" ht="14.25" customHeight="1" x14ac:dyDescent="0.25">
      <c r="A85" s="3"/>
      <c r="B85" s="3"/>
      <c r="C85" s="3"/>
      <c r="D85" s="3"/>
      <c r="E85" s="4"/>
      <c r="F85" s="3"/>
      <c r="G85" s="3"/>
      <c r="H85" s="3"/>
      <c r="I85" s="1"/>
    </row>
    <row r="86" spans="1:9" ht="14.25" customHeight="1" x14ac:dyDescent="0.25">
      <c r="A86" s="3"/>
      <c r="B86" s="3"/>
      <c r="C86" s="3"/>
      <c r="D86" s="3"/>
      <c r="E86" s="4"/>
      <c r="F86" s="3"/>
      <c r="G86" s="3"/>
      <c r="H86" s="3"/>
      <c r="I86" s="1"/>
    </row>
    <row r="87" spans="1:9" ht="14.25" customHeight="1" x14ac:dyDescent="0.25">
      <c r="A87" s="3"/>
      <c r="B87" s="3"/>
      <c r="C87" s="3"/>
      <c r="D87" s="3"/>
      <c r="E87" s="4"/>
      <c r="F87" s="3"/>
      <c r="G87" s="3"/>
      <c r="H87" s="3"/>
      <c r="I87" s="1"/>
    </row>
    <row r="88" spans="1:9" ht="14.25" customHeight="1" x14ac:dyDescent="0.25">
      <c r="A88" s="3"/>
      <c r="B88" s="3"/>
      <c r="C88" s="3"/>
      <c r="D88" s="3"/>
      <c r="E88" s="4"/>
      <c r="F88" s="3"/>
      <c r="G88" s="3"/>
      <c r="H88" s="3"/>
      <c r="I88" s="1"/>
    </row>
    <row r="89" spans="1:9" ht="14.25" customHeight="1" x14ac:dyDescent="0.25">
      <c r="A89" s="3"/>
      <c r="B89" s="3"/>
      <c r="C89" s="3"/>
      <c r="D89" s="3"/>
      <c r="E89" s="4"/>
      <c r="F89" s="3"/>
      <c r="G89" s="3"/>
      <c r="H89" s="3"/>
      <c r="I89" s="1"/>
    </row>
    <row r="90" spans="1:9" ht="14.25" customHeight="1" x14ac:dyDescent="0.25">
      <c r="A90" s="3"/>
      <c r="B90" s="3"/>
      <c r="C90" s="3"/>
      <c r="D90" s="3"/>
      <c r="E90" s="4"/>
      <c r="F90" s="3"/>
      <c r="G90" s="3"/>
      <c r="H90" s="3"/>
      <c r="I90" s="1"/>
    </row>
    <row r="91" spans="1:9" ht="14.25" customHeight="1" x14ac:dyDescent="0.25">
      <c r="A91" s="3"/>
      <c r="B91" s="3"/>
      <c r="C91" s="3"/>
      <c r="D91" s="3"/>
      <c r="E91" s="4"/>
      <c r="F91" s="3"/>
      <c r="G91" s="3"/>
      <c r="H91" s="3"/>
      <c r="I91" s="1"/>
    </row>
    <row r="92" spans="1:9" ht="14.25" customHeight="1" x14ac:dyDescent="0.25">
      <c r="A92" s="3"/>
      <c r="B92" s="3"/>
      <c r="C92" s="3"/>
      <c r="D92" s="3"/>
      <c r="E92" s="4"/>
      <c r="F92" s="3"/>
      <c r="G92" s="3"/>
      <c r="H92" s="3"/>
      <c r="I92" s="1"/>
    </row>
    <row r="93" spans="1:9" ht="14.25" customHeight="1" x14ac:dyDescent="0.25">
      <c r="A93" s="3"/>
      <c r="B93" s="3"/>
      <c r="C93" s="3"/>
      <c r="D93" s="3"/>
      <c r="E93" s="4"/>
      <c r="F93" s="3"/>
      <c r="G93" s="3"/>
      <c r="H93" s="3"/>
      <c r="I93" s="1"/>
    </row>
    <row r="94" spans="1:9" ht="14.25" customHeight="1" x14ac:dyDescent="0.25">
      <c r="A94" s="3"/>
      <c r="B94" s="3"/>
      <c r="C94" s="3"/>
      <c r="D94" s="3"/>
      <c r="E94" s="4"/>
      <c r="F94" s="3"/>
      <c r="G94" s="3"/>
      <c r="H94" s="3"/>
      <c r="I94" s="1"/>
    </row>
    <row r="95" spans="1:9" ht="14.25" customHeight="1" x14ac:dyDescent="0.25">
      <c r="A95" s="3"/>
      <c r="B95" s="3"/>
      <c r="C95" s="3"/>
      <c r="D95" s="3"/>
      <c r="E95" s="4"/>
      <c r="F95" s="3"/>
      <c r="G95" s="3"/>
      <c r="H95" s="3"/>
      <c r="I95" s="1"/>
    </row>
    <row r="96" spans="1:9" ht="14.25" customHeight="1" x14ac:dyDescent="0.25">
      <c r="A96" s="3"/>
      <c r="B96" s="3"/>
      <c r="C96" s="3"/>
      <c r="D96" s="3"/>
      <c r="E96" s="4"/>
      <c r="F96" s="3"/>
      <c r="G96" s="3"/>
      <c r="H96" s="3"/>
      <c r="I96" s="1"/>
    </row>
    <row r="97" spans="1:9" ht="14.25" customHeight="1" x14ac:dyDescent="0.25">
      <c r="A97" s="3"/>
      <c r="B97" s="3"/>
      <c r="C97" s="3"/>
      <c r="D97" s="3"/>
      <c r="E97" s="4"/>
      <c r="F97" s="3"/>
      <c r="G97" s="3"/>
      <c r="H97" s="3"/>
      <c r="I97" s="1"/>
    </row>
    <row r="98" spans="1:9" ht="14.25" customHeight="1" x14ac:dyDescent="0.25">
      <c r="A98" s="3"/>
      <c r="B98" s="3"/>
      <c r="C98" s="3"/>
      <c r="D98" s="3"/>
      <c r="E98" s="4"/>
      <c r="F98" s="3"/>
      <c r="G98" s="3"/>
      <c r="H98" s="3"/>
      <c r="I98" s="1"/>
    </row>
    <row r="99" spans="1:9" ht="14.25" customHeight="1" x14ac:dyDescent="0.25">
      <c r="A99" s="3"/>
      <c r="B99" s="3"/>
      <c r="C99" s="3"/>
      <c r="D99" s="3"/>
      <c r="E99" s="4"/>
      <c r="F99" s="3"/>
      <c r="G99" s="3"/>
      <c r="H99" s="3"/>
      <c r="I99" s="1"/>
    </row>
    <row r="100" spans="1:9" ht="14.25" customHeight="1" x14ac:dyDescent="0.25">
      <c r="A100" s="3"/>
      <c r="B100" s="3"/>
      <c r="C100" s="3"/>
      <c r="D100" s="3"/>
      <c r="E100" s="4"/>
      <c r="F100" s="3"/>
      <c r="G100" s="3"/>
      <c r="H100" s="3"/>
      <c r="I100" s="1"/>
    </row>
    <row r="101" spans="1:9" ht="14.25" customHeight="1" x14ac:dyDescent="0.25">
      <c r="A101" s="3"/>
      <c r="B101" s="3"/>
      <c r="C101" s="3"/>
      <c r="D101" s="3"/>
      <c r="E101" s="4"/>
      <c r="F101" s="3"/>
      <c r="G101" s="3"/>
      <c r="H101" s="3"/>
      <c r="I101" s="1"/>
    </row>
    <row r="102" spans="1:9" ht="14.25" customHeight="1" x14ac:dyDescent="0.25">
      <c r="A102" s="3"/>
      <c r="B102" s="3"/>
      <c r="C102" s="3"/>
      <c r="D102" s="3"/>
      <c r="E102" s="4"/>
      <c r="F102" s="3"/>
      <c r="G102" s="3"/>
      <c r="H102" s="3"/>
      <c r="I102" s="1"/>
    </row>
    <row r="103" spans="1:9" ht="14.25" customHeight="1" x14ac:dyDescent="0.25">
      <c r="A103" s="3"/>
      <c r="B103" s="3"/>
      <c r="C103" s="3"/>
      <c r="D103" s="3"/>
      <c r="E103" s="4"/>
      <c r="F103" s="3"/>
      <c r="G103" s="3"/>
      <c r="H103" s="3"/>
      <c r="I103" s="1"/>
    </row>
    <row r="104" spans="1:9" ht="14.25" customHeight="1" x14ac:dyDescent="0.25">
      <c r="A104" s="3"/>
      <c r="B104" s="3"/>
      <c r="C104" s="3"/>
      <c r="D104" s="3"/>
      <c r="E104" s="4"/>
      <c r="F104" s="3"/>
      <c r="G104" s="3"/>
      <c r="H104" s="3"/>
      <c r="I104" s="1"/>
    </row>
    <row r="105" spans="1:9" ht="14.25" customHeight="1" x14ac:dyDescent="0.25">
      <c r="A105" s="3"/>
      <c r="B105" s="3"/>
      <c r="C105" s="3"/>
      <c r="D105" s="3"/>
      <c r="E105" s="4"/>
      <c r="F105" s="3"/>
      <c r="G105" s="3"/>
      <c r="H105" s="3"/>
      <c r="I105" s="1"/>
    </row>
    <row r="106" spans="1:9" ht="14.25" customHeight="1" x14ac:dyDescent="0.25">
      <c r="A106" s="3"/>
      <c r="B106" s="3"/>
      <c r="C106" s="3"/>
      <c r="D106" s="3"/>
      <c r="E106" s="4"/>
      <c r="F106" s="3"/>
      <c r="G106" s="3"/>
      <c r="H106" s="3"/>
      <c r="I106" s="1"/>
    </row>
    <row r="107" spans="1:9" ht="14.25" customHeight="1" x14ac:dyDescent="0.25">
      <c r="A107" s="3"/>
      <c r="B107" s="3"/>
      <c r="C107" s="3"/>
      <c r="D107" s="3"/>
      <c r="E107" s="4"/>
      <c r="F107" s="3"/>
      <c r="G107" s="3"/>
      <c r="H107" s="3"/>
      <c r="I107" s="1"/>
    </row>
    <row r="108" spans="1:9" ht="14.25" customHeight="1" x14ac:dyDescent="0.25">
      <c r="A108" s="3"/>
      <c r="B108" s="3"/>
      <c r="C108" s="3"/>
      <c r="D108" s="3"/>
      <c r="E108" s="4"/>
      <c r="F108" s="3"/>
      <c r="G108" s="3"/>
      <c r="H108" s="3"/>
      <c r="I108" s="1"/>
    </row>
    <row r="109" spans="1:9" ht="14.25" customHeight="1" x14ac:dyDescent="0.25">
      <c r="A109" s="3"/>
      <c r="B109" s="3"/>
      <c r="C109" s="3"/>
      <c r="D109" s="3"/>
      <c r="E109" s="4"/>
      <c r="F109" s="3"/>
      <c r="G109" s="3"/>
      <c r="H109" s="3"/>
      <c r="I109" s="1"/>
    </row>
    <row r="110" spans="1:9" ht="14.25" customHeight="1" x14ac:dyDescent="0.25">
      <c r="A110" s="3"/>
      <c r="B110" s="3"/>
      <c r="C110" s="3"/>
      <c r="D110" s="3"/>
      <c r="E110" s="4"/>
      <c r="F110" s="3"/>
      <c r="G110" s="3"/>
      <c r="H110" s="3"/>
      <c r="I110" s="1"/>
    </row>
    <row r="111" spans="1:9" ht="14.25" customHeight="1" x14ac:dyDescent="0.25">
      <c r="A111" s="3"/>
      <c r="B111" s="3"/>
      <c r="C111" s="3"/>
      <c r="D111" s="3"/>
      <c r="E111" s="4"/>
      <c r="F111" s="3"/>
      <c r="G111" s="3"/>
      <c r="H111" s="3"/>
      <c r="I111" s="1"/>
    </row>
    <row r="112" spans="1:9" ht="14.25" customHeight="1" x14ac:dyDescent="0.25">
      <c r="A112" s="3"/>
      <c r="B112" s="3"/>
      <c r="C112" s="3"/>
      <c r="D112" s="3"/>
      <c r="E112" s="4"/>
      <c r="F112" s="3"/>
      <c r="G112" s="3"/>
      <c r="H112" s="3"/>
      <c r="I112" s="1"/>
    </row>
    <row r="113" spans="1:9" ht="14.25" customHeight="1" x14ac:dyDescent="0.25">
      <c r="A113" s="3"/>
      <c r="B113" s="3"/>
      <c r="C113" s="3"/>
      <c r="D113" s="3"/>
      <c r="E113" s="4"/>
      <c r="F113" s="3"/>
      <c r="G113" s="3"/>
      <c r="H113" s="3"/>
      <c r="I113" s="1"/>
    </row>
    <row r="114" spans="1:9" ht="14.25" customHeight="1" x14ac:dyDescent="0.25">
      <c r="A114" s="3"/>
      <c r="B114" s="3"/>
      <c r="C114" s="3"/>
      <c r="D114" s="3"/>
      <c r="E114" s="4"/>
      <c r="F114" s="3"/>
      <c r="G114" s="3"/>
      <c r="H114" s="3"/>
      <c r="I114" s="1"/>
    </row>
    <row r="115" spans="1:9" ht="14.25" customHeight="1" x14ac:dyDescent="0.25">
      <c r="A115" s="3"/>
      <c r="B115" s="3"/>
      <c r="C115" s="3"/>
      <c r="D115" s="3"/>
      <c r="E115" s="4"/>
      <c r="F115" s="3"/>
      <c r="G115" s="3"/>
      <c r="H115" s="3"/>
      <c r="I115" s="1"/>
    </row>
    <row r="116" spans="1:9" ht="14.25" customHeight="1" x14ac:dyDescent="0.25">
      <c r="A116" s="3"/>
      <c r="B116" s="3"/>
      <c r="C116" s="3"/>
      <c r="D116" s="3"/>
      <c r="E116" s="4"/>
      <c r="F116" s="3"/>
      <c r="G116" s="3"/>
      <c r="H116" s="3"/>
      <c r="I116" s="1"/>
    </row>
    <row r="117" spans="1:9" ht="14.25" customHeight="1" x14ac:dyDescent="0.25">
      <c r="A117" s="3"/>
      <c r="B117" s="3"/>
      <c r="C117" s="3"/>
      <c r="D117" s="3"/>
      <c r="E117" s="4"/>
      <c r="F117" s="3"/>
      <c r="G117" s="3"/>
      <c r="H117" s="3"/>
      <c r="I117" s="1"/>
    </row>
    <row r="118" spans="1:9" ht="14.25" customHeight="1" x14ac:dyDescent="0.25">
      <c r="A118" s="3"/>
      <c r="B118" s="3"/>
      <c r="C118" s="3"/>
      <c r="D118" s="3"/>
      <c r="E118" s="4"/>
      <c r="F118" s="3"/>
      <c r="G118" s="3"/>
      <c r="H118" s="3"/>
      <c r="I118" s="1"/>
    </row>
    <row r="119" spans="1:9" ht="14.25" customHeight="1" x14ac:dyDescent="0.25">
      <c r="A119" s="3"/>
      <c r="B119" s="3"/>
      <c r="C119" s="3"/>
      <c r="D119" s="3"/>
      <c r="E119" s="4"/>
      <c r="F119" s="3"/>
      <c r="G119" s="3"/>
      <c r="H119" s="3"/>
      <c r="I119" s="1"/>
    </row>
    <row r="120" spans="1:9" ht="14.25" customHeight="1" x14ac:dyDescent="0.25">
      <c r="A120" s="3"/>
      <c r="B120" s="3"/>
      <c r="C120" s="3"/>
      <c r="D120" s="3"/>
      <c r="E120" s="4"/>
      <c r="F120" s="3"/>
      <c r="G120" s="3"/>
      <c r="H120" s="3"/>
      <c r="I120" s="1"/>
    </row>
    <row r="121" spans="1:9" ht="14.25" customHeight="1" x14ac:dyDescent="0.25">
      <c r="A121" s="3"/>
      <c r="B121" s="3"/>
      <c r="C121" s="3"/>
      <c r="D121" s="3"/>
      <c r="E121" s="4"/>
      <c r="F121" s="3"/>
      <c r="G121" s="3"/>
      <c r="H121" s="3"/>
      <c r="I121" s="1"/>
    </row>
    <row r="122" spans="1:9" ht="14.25" customHeight="1" x14ac:dyDescent="0.25">
      <c r="A122" s="3"/>
      <c r="B122" s="3"/>
      <c r="C122" s="3"/>
      <c r="D122" s="3"/>
      <c r="E122" s="4"/>
      <c r="F122" s="3"/>
      <c r="G122" s="3"/>
      <c r="H122" s="3"/>
      <c r="I122" s="1"/>
    </row>
    <row r="123" spans="1:9" ht="14.25" customHeight="1" x14ac:dyDescent="0.25">
      <c r="A123" s="3"/>
      <c r="B123" s="3"/>
      <c r="C123" s="3"/>
      <c r="D123" s="3"/>
      <c r="E123" s="4"/>
      <c r="F123" s="3"/>
      <c r="G123" s="3"/>
      <c r="H123" s="3"/>
      <c r="I123" s="1"/>
    </row>
    <row r="124" spans="1:9" ht="14.25" customHeight="1" x14ac:dyDescent="0.25">
      <c r="A124" s="3"/>
      <c r="B124" s="3"/>
      <c r="C124" s="3"/>
      <c r="D124" s="3"/>
      <c r="E124" s="4"/>
      <c r="F124" s="3"/>
      <c r="G124" s="3"/>
      <c r="H124" s="3"/>
      <c r="I124" s="1"/>
    </row>
    <row r="125" spans="1:9" ht="14.25" customHeight="1" x14ac:dyDescent="0.25">
      <c r="A125" s="3"/>
      <c r="B125" s="3"/>
      <c r="C125" s="3"/>
      <c r="D125" s="3"/>
      <c r="E125" s="4"/>
      <c r="F125" s="3"/>
      <c r="G125" s="3"/>
      <c r="H125" s="3"/>
      <c r="I125" s="1"/>
    </row>
    <row r="126" spans="1:9" ht="14.25" customHeight="1" x14ac:dyDescent="0.25">
      <c r="A126" s="3"/>
      <c r="B126" s="3"/>
      <c r="C126" s="3"/>
      <c r="D126" s="3"/>
      <c r="E126" s="4"/>
      <c r="F126" s="3"/>
      <c r="G126" s="3"/>
      <c r="H126" s="3"/>
      <c r="I126" s="1"/>
    </row>
    <row r="127" spans="1:9" ht="14.25" customHeight="1" x14ac:dyDescent="0.25">
      <c r="A127" s="3"/>
      <c r="B127" s="3"/>
      <c r="C127" s="3"/>
      <c r="D127" s="3"/>
      <c r="E127" s="4"/>
      <c r="F127" s="3"/>
      <c r="G127" s="3"/>
      <c r="H127" s="3"/>
      <c r="I127" s="1"/>
    </row>
    <row r="128" spans="1:9" ht="14.25" customHeight="1" x14ac:dyDescent="0.25">
      <c r="A128" s="3"/>
      <c r="B128" s="3"/>
      <c r="C128" s="3"/>
      <c r="D128" s="3"/>
      <c r="E128" s="4"/>
      <c r="F128" s="3"/>
      <c r="G128" s="3"/>
      <c r="H128" s="3"/>
      <c r="I128" s="1"/>
    </row>
    <row r="129" spans="1:9" ht="14.25" customHeight="1" x14ac:dyDescent="0.25">
      <c r="A129" s="3"/>
      <c r="B129" s="3"/>
      <c r="C129" s="3"/>
      <c r="D129" s="3"/>
      <c r="E129" s="4"/>
      <c r="F129" s="3"/>
      <c r="G129" s="3"/>
      <c r="H129" s="3"/>
      <c r="I129" s="1"/>
    </row>
    <row r="130" spans="1:9" ht="14.25" customHeight="1" x14ac:dyDescent="0.25">
      <c r="A130" s="3"/>
      <c r="B130" s="3"/>
      <c r="C130" s="3"/>
      <c r="D130" s="3"/>
      <c r="E130" s="4"/>
      <c r="F130" s="3"/>
      <c r="G130" s="3"/>
      <c r="H130" s="3"/>
      <c r="I130" s="1"/>
    </row>
    <row r="131" spans="1:9" ht="14.25" customHeight="1" x14ac:dyDescent="0.25">
      <c r="A131" s="3"/>
      <c r="B131" s="3"/>
      <c r="C131" s="3"/>
      <c r="D131" s="3"/>
      <c r="E131" s="4"/>
      <c r="F131" s="3"/>
      <c r="G131" s="3"/>
      <c r="H131" s="3"/>
      <c r="I131" s="1"/>
    </row>
    <row r="132" spans="1:9" ht="14.25" customHeight="1" x14ac:dyDescent="0.25">
      <c r="A132" s="3"/>
      <c r="B132" s="3"/>
      <c r="C132" s="3"/>
      <c r="D132" s="3"/>
      <c r="E132" s="4"/>
      <c r="F132" s="3"/>
      <c r="G132" s="3"/>
      <c r="H132" s="3"/>
      <c r="I132" s="1"/>
    </row>
    <row r="133" spans="1:9" ht="14.25" customHeight="1" x14ac:dyDescent="0.25">
      <c r="A133" s="3"/>
      <c r="B133" s="3"/>
      <c r="C133" s="3"/>
      <c r="D133" s="3"/>
      <c r="E133" s="4"/>
      <c r="F133" s="3"/>
      <c r="G133" s="3"/>
      <c r="H133" s="3"/>
      <c r="I133" s="1"/>
    </row>
    <row r="134" spans="1:9" ht="14.25" customHeight="1" x14ac:dyDescent="0.25">
      <c r="A134" s="3"/>
      <c r="B134" s="3"/>
      <c r="C134" s="3"/>
      <c r="D134" s="3"/>
      <c r="E134" s="4"/>
      <c r="F134" s="3"/>
      <c r="G134" s="3"/>
      <c r="H134" s="3"/>
      <c r="I134" s="1"/>
    </row>
    <row r="135" spans="1:9" ht="14.25" customHeight="1" x14ac:dyDescent="0.25">
      <c r="A135" s="3"/>
      <c r="B135" s="3"/>
      <c r="C135" s="3"/>
      <c r="D135" s="3"/>
      <c r="E135" s="4"/>
      <c r="F135" s="3"/>
      <c r="G135" s="3"/>
      <c r="H135" s="3"/>
      <c r="I135" s="1"/>
    </row>
    <row r="136" spans="1:9" ht="14.25" customHeight="1" x14ac:dyDescent="0.25">
      <c r="A136" s="3"/>
      <c r="B136" s="3"/>
      <c r="C136" s="3"/>
      <c r="D136" s="3"/>
      <c r="E136" s="4"/>
      <c r="F136" s="3"/>
      <c r="G136" s="3"/>
      <c r="H136" s="3"/>
      <c r="I136" s="1"/>
    </row>
    <row r="137" spans="1:9" ht="14.25" customHeight="1" x14ac:dyDescent="0.25">
      <c r="A137" s="3"/>
      <c r="B137" s="3"/>
      <c r="C137" s="3"/>
      <c r="D137" s="3"/>
      <c r="E137" s="4"/>
      <c r="F137" s="3"/>
      <c r="G137" s="3"/>
      <c r="H137" s="3"/>
      <c r="I137" s="1"/>
    </row>
    <row r="138" spans="1:9" ht="14.25" customHeight="1" x14ac:dyDescent="0.25">
      <c r="A138" s="3"/>
      <c r="B138" s="3"/>
      <c r="C138" s="3"/>
      <c r="D138" s="3"/>
      <c r="E138" s="4"/>
      <c r="F138" s="3"/>
      <c r="G138" s="3"/>
      <c r="H138" s="3"/>
      <c r="I138" s="1"/>
    </row>
    <row r="139" spans="1:9" ht="14.25" customHeight="1" x14ac:dyDescent="0.25">
      <c r="A139" s="3"/>
      <c r="B139" s="3"/>
      <c r="C139" s="3"/>
      <c r="D139" s="3"/>
      <c r="E139" s="4"/>
      <c r="F139" s="3"/>
      <c r="G139" s="3"/>
      <c r="H139" s="3"/>
      <c r="I139" s="1"/>
    </row>
    <row r="140" spans="1:9" ht="14.25" customHeight="1" x14ac:dyDescent="0.25">
      <c r="A140" s="3"/>
      <c r="B140" s="3"/>
      <c r="C140" s="3"/>
      <c r="D140" s="3"/>
      <c r="E140" s="4"/>
      <c r="F140" s="3"/>
      <c r="G140" s="3"/>
      <c r="H140" s="3"/>
      <c r="I140" s="1"/>
    </row>
    <row r="141" spans="1:9" ht="14.25" customHeight="1" x14ac:dyDescent="0.25">
      <c r="A141" s="3"/>
      <c r="B141" s="3"/>
      <c r="C141" s="3"/>
      <c r="D141" s="3"/>
      <c r="E141" s="4"/>
      <c r="F141" s="3"/>
      <c r="G141" s="3"/>
      <c r="H141" s="3"/>
      <c r="I141" s="1"/>
    </row>
    <row r="142" spans="1:9" ht="14.25" customHeight="1" x14ac:dyDescent="0.25">
      <c r="A142" s="3"/>
      <c r="B142" s="3"/>
      <c r="C142" s="3"/>
      <c r="D142" s="3"/>
      <c r="E142" s="4"/>
      <c r="F142" s="3"/>
      <c r="G142" s="3"/>
      <c r="H142" s="3"/>
      <c r="I142" s="1"/>
    </row>
    <row r="143" spans="1:9" ht="14.25" customHeight="1" x14ac:dyDescent="0.25">
      <c r="A143" s="3"/>
      <c r="B143" s="3"/>
      <c r="C143" s="3"/>
      <c r="D143" s="3"/>
      <c r="E143" s="4"/>
      <c r="F143" s="3"/>
      <c r="G143" s="3"/>
      <c r="H143" s="3"/>
      <c r="I143" s="1"/>
    </row>
    <row r="144" spans="1:9" ht="14.25" customHeight="1" x14ac:dyDescent="0.25">
      <c r="A144" s="3"/>
      <c r="B144" s="3"/>
      <c r="C144" s="3"/>
      <c r="D144" s="3"/>
      <c r="E144" s="4"/>
      <c r="F144" s="3"/>
      <c r="G144" s="3"/>
      <c r="H144" s="3"/>
      <c r="I144" s="1"/>
    </row>
    <row r="145" spans="1:9" ht="14.25" customHeight="1" x14ac:dyDescent="0.25">
      <c r="A145" s="3"/>
      <c r="B145" s="3"/>
      <c r="C145" s="3"/>
      <c r="D145" s="3"/>
      <c r="E145" s="4"/>
      <c r="F145" s="3"/>
      <c r="G145" s="3"/>
      <c r="H145" s="3"/>
      <c r="I145" s="1"/>
    </row>
    <row r="146" spans="1:9" ht="14.25" customHeight="1" x14ac:dyDescent="0.25">
      <c r="A146" s="3"/>
      <c r="B146" s="3"/>
      <c r="C146" s="3"/>
      <c r="D146" s="3"/>
      <c r="E146" s="4"/>
      <c r="F146" s="3"/>
      <c r="G146" s="3"/>
      <c r="H146" s="3"/>
      <c r="I146" s="1"/>
    </row>
    <row r="147" spans="1:9" ht="14.25" customHeight="1" x14ac:dyDescent="0.25">
      <c r="A147" s="3"/>
      <c r="B147" s="3"/>
      <c r="C147" s="3"/>
      <c r="D147" s="3"/>
      <c r="E147" s="4"/>
      <c r="F147" s="3"/>
      <c r="G147" s="3"/>
      <c r="H147" s="3"/>
      <c r="I147" s="1"/>
    </row>
    <row r="148" spans="1:9" ht="14.25" customHeight="1" x14ac:dyDescent="0.25">
      <c r="A148" s="3"/>
      <c r="B148" s="3"/>
      <c r="C148" s="3"/>
      <c r="D148" s="3"/>
      <c r="E148" s="4"/>
      <c r="F148" s="3"/>
      <c r="G148" s="3"/>
      <c r="H148" s="3"/>
      <c r="I148" s="1"/>
    </row>
    <row r="149" spans="1:9" ht="14.25" customHeight="1" x14ac:dyDescent="0.25">
      <c r="A149" s="3"/>
      <c r="B149" s="3"/>
      <c r="C149" s="3"/>
      <c r="D149" s="3"/>
      <c r="E149" s="4"/>
      <c r="F149" s="3"/>
      <c r="G149" s="3"/>
      <c r="H149" s="3"/>
      <c r="I149" s="1"/>
    </row>
    <row r="150" spans="1:9" ht="14.25" customHeight="1" x14ac:dyDescent="0.25">
      <c r="A150" s="3"/>
      <c r="B150" s="3"/>
      <c r="C150" s="3"/>
      <c r="D150" s="3"/>
      <c r="E150" s="4"/>
      <c r="F150" s="3"/>
      <c r="G150" s="3"/>
      <c r="H150" s="3"/>
      <c r="I150" s="1"/>
    </row>
    <row r="151" spans="1:9" ht="14.25" customHeight="1" x14ac:dyDescent="0.25">
      <c r="A151" s="3"/>
      <c r="B151" s="3"/>
      <c r="C151" s="3"/>
      <c r="D151" s="3"/>
      <c r="E151" s="4"/>
      <c r="F151" s="3"/>
      <c r="G151" s="3"/>
      <c r="H151" s="3"/>
      <c r="I151" s="1"/>
    </row>
    <row r="152" spans="1:9" ht="14.25" customHeight="1" x14ac:dyDescent="0.25">
      <c r="A152" s="3"/>
      <c r="B152" s="3"/>
      <c r="C152" s="3"/>
      <c r="D152" s="3"/>
      <c r="E152" s="4"/>
      <c r="F152" s="3"/>
      <c r="G152" s="3"/>
      <c r="H152" s="3"/>
      <c r="I152" s="1"/>
    </row>
    <row r="153" spans="1:9" ht="14.25" customHeight="1" x14ac:dyDescent="0.25">
      <c r="A153" s="3"/>
      <c r="B153" s="3"/>
      <c r="C153" s="3"/>
      <c r="D153" s="3"/>
      <c r="E153" s="4"/>
      <c r="F153" s="3"/>
      <c r="G153" s="3"/>
      <c r="H153" s="3"/>
      <c r="I153" s="1"/>
    </row>
    <row r="154" spans="1:9" ht="14.25" customHeight="1" x14ac:dyDescent="0.25">
      <c r="A154" s="3"/>
      <c r="B154" s="3"/>
      <c r="C154" s="3"/>
      <c r="D154" s="3"/>
      <c r="E154" s="4"/>
      <c r="F154" s="3"/>
      <c r="G154" s="3"/>
      <c r="H154" s="3"/>
      <c r="I154" s="1"/>
    </row>
    <row r="155" spans="1:9" ht="14.25" customHeight="1" x14ac:dyDescent="0.25">
      <c r="A155" s="3"/>
      <c r="B155" s="3"/>
      <c r="C155" s="3"/>
      <c r="D155" s="3"/>
      <c r="E155" s="4"/>
      <c r="F155" s="3"/>
      <c r="G155" s="3"/>
      <c r="H155" s="3"/>
      <c r="I155" s="1"/>
    </row>
    <row r="156" spans="1:9" ht="14.25" customHeight="1" x14ac:dyDescent="0.25">
      <c r="A156" s="3"/>
      <c r="B156" s="3"/>
      <c r="C156" s="3"/>
      <c r="D156" s="3"/>
      <c r="E156" s="4"/>
      <c r="F156" s="3"/>
      <c r="G156" s="3"/>
      <c r="H156" s="3"/>
      <c r="I156" s="1"/>
    </row>
    <row r="157" spans="1:9" ht="14.25" customHeight="1" x14ac:dyDescent="0.25">
      <c r="A157" s="3"/>
      <c r="B157" s="3"/>
      <c r="C157" s="3"/>
      <c r="D157" s="3"/>
      <c r="E157" s="4"/>
      <c r="F157" s="3"/>
      <c r="G157" s="3"/>
      <c r="H157" s="3"/>
      <c r="I157" s="1"/>
    </row>
    <row r="158" spans="1:9" ht="14.25" customHeight="1" x14ac:dyDescent="0.25">
      <c r="A158" s="3"/>
      <c r="B158" s="3"/>
      <c r="C158" s="3"/>
      <c r="D158" s="3"/>
      <c r="E158" s="4"/>
      <c r="F158" s="3"/>
      <c r="G158" s="3"/>
      <c r="H158" s="3"/>
      <c r="I158" s="1"/>
    </row>
    <row r="159" spans="1:9" ht="14.25" customHeight="1" x14ac:dyDescent="0.25">
      <c r="A159" s="3"/>
      <c r="B159" s="3"/>
      <c r="C159" s="3"/>
      <c r="D159" s="3"/>
      <c r="E159" s="4"/>
      <c r="F159" s="3"/>
      <c r="G159" s="3"/>
      <c r="H159" s="3"/>
      <c r="I159" s="1"/>
    </row>
    <row r="160" spans="1:9" ht="14.25" customHeight="1" x14ac:dyDescent="0.25">
      <c r="A160" s="3"/>
      <c r="B160" s="3"/>
      <c r="C160" s="3"/>
      <c r="D160" s="3"/>
      <c r="E160" s="4"/>
      <c r="F160" s="3"/>
      <c r="G160" s="3"/>
      <c r="H160" s="3"/>
      <c r="I160" s="1"/>
    </row>
    <row r="161" spans="1:9" ht="14.25" customHeight="1" x14ac:dyDescent="0.25">
      <c r="A161" s="3"/>
      <c r="B161" s="3"/>
      <c r="C161" s="3"/>
      <c r="D161" s="3"/>
      <c r="E161" s="4"/>
      <c r="F161" s="3"/>
      <c r="G161" s="3"/>
      <c r="H161" s="3"/>
      <c r="I161" s="1"/>
    </row>
    <row r="162" spans="1:9" ht="14.25" customHeight="1" x14ac:dyDescent="0.25">
      <c r="A162" s="3"/>
      <c r="B162" s="3"/>
      <c r="C162" s="3"/>
      <c r="D162" s="3"/>
      <c r="E162" s="4"/>
      <c r="F162" s="3"/>
      <c r="G162" s="3"/>
      <c r="H162" s="3"/>
      <c r="I162" s="1"/>
    </row>
    <row r="163" spans="1:9" ht="14.25" customHeight="1" x14ac:dyDescent="0.25">
      <c r="A163" s="3"/>
      <c r="B163" s="3"/>
      <c r="C163" s="3"/>
      <c r="D163" s="3"/>
      <c r="E163" s="4"/>
      <c r="F163" s="3"/>
      <c r="G163" s="3"/>
      <c r="H163" s="3"/>
      <c r="I163" s="1"/>
    </row>
    <row r="164" spans="1:9" ht="14.25" customHeight="1" x14ac:dyDescent="0.25">
      <c r="A164" s="3"/>
      <c r="B164" s="3"/>
      <c r="C164" s="3"/>
      <c r="D164" s="3"/>
      <c r="E164" s="4"/>
      <c r="F164" s="3"/>
      <c r="G164" s="3"/>
      <c r="H164" s="3"/>
      <c r="I164" s="1"/>
    </row>
    <row r="165" spans="1:9" ht="14.25" customHeight="1" x14ac:dyDescent="0.25">
      <c r="A165" s="3"/>
      <c r="B165" s="3"/>
      <c r="C165" s="3"/>
      <c r="D165" s="3"/>
      <c r="E165" s="4"/>
      <c r="F165" s="3"/>
      <c r="G165" s="3"/>
      <c r="H165" s="3"/>
      <c r="I165" s="1"/>
    </row>
    <row r="166" spans="1:9" ht="14.25" customHeight="1" x14ac:dyDescent="0.25">
      <c r="A166" s="3"/>
      <c r="B166" s="3"/>
      <c r="C166" s="3"/>
      <c r="D166" s="3"/>
      <c r="E166" s="4"/>
      <c r="F166" s="3"/>
      <c r="G166" s="3"/>
      <c r="H166" s="3"/>
      <c r="I166" s="1"/>
    </row>
    <row r="167" spans="1:9" ht="14.25" customHeight="1" x14ac:dyDescent="0.25">
      <c r="A167" s="3"/>
      <c r="B167" s="3"/>
      <c r="C167" s="3"/>
      <c r="D167" s="3"/>
      <c r="E167" s="4"/>
      <c r="F167" s="3"/>
      <c r="G167" s="3"/>
      <c r="H167" s="3"/>
      <c r="I167" s="1"/>
    </row>
    <row r="168" spans="1:9" ht="14.25" customHeight="1" x14ac:dyDescent="0.25">
      <c r="A168" s="3"/>
      <c r="B168" s="3"/>
      <c r="C168" s="3"/>
      <c r="D168" s="3"/>
      <c r="E168" s="4"/>
      <c r="F168" s="3"/>
      <c r="G168" s="3"/>
      <c r="H168" s="3"/>
      <c r="I168" s="1"/>
    </row>
    <row r="169" spans="1:9" ht="14.25" customHeight="1" x14ac:dyDescent="0.25">
      <c r="A169" s="3"/>
      <c r="B169" s="3"/>
      <c r="C169" s="3"/>
      <c r="D169" s="3"/>
      <c r="E169" s="4"/>
      <c r="F169" s="3"/>
      <c r="G169" s="3"/>
      <c r="H169" s="3"/>
      <c r="I169" s="1"/>
    </row>
    <row r="170" spans="1:9" ht="14.25" customHeight="1" x14ac:dyDescent="0.25">
      <c r="A170" s="3"/>
      <c r="B170" s="3"/>
      <c r="C170" s="3"/>
      <c r="D170" s="3"/>
      <c r="E170" s="4"/>
      <c r="F170" s="3"/>
      <c r="G170" s="3"/>
      <c r="H170" s="3"/>
      <c r="I170" s="1"/>
    </row>
    <row r="171" spans="1:9" ht="14.25" customHeight="1" x14ac:dyDescent="0.25">
      <c r="A171" s="3"/>
      <c r="B171" s="3"/>
      <c r="C171" s="3"/>
      <c r="D171" s="3"/>
      <c r="E171" s="4"/>
      <c r="F171" s="3"/>
      <c r="G171" s="3"/>
      <c r="H171" s="3"/>
      <c r="I171" s="1"/>
    </row>
    <row r="172" spans="1:9" ht="14.25" customHeight="1" x14ac:dyDescent="0.25">
      <c r="A172" s="3"/>
      <c r="B172" s="3"/>
      <c r="C172" s="3"/>
      <c r="D172" s="3"/>
      <c r="E172" s="4"/>
      <c r="F172" s="3"/>
      <c r="G172" s="3"/>
      <c r="H172" s="3"/>
      <c r="I172" s="1"/>
    </row>
    <row r="173" spans="1:9" ht="14.25" customHeight="1" x14ac:dyDescent="0.25">
      <c r="A173" s="3"/>
      <c r="B173" s="3"/>
      <c r="C173" s="3"/>
      <c r="D173" s="3"/>
      <c r="E173" s="4"/>
      <c r="F173" s="3"/>
      <c r="G173" s="3"/>
      <c r="H173" s="3"/>
      <c r="I173" s="1"/>
    </row>
    <row r="174" spans="1:9" ht="14.25" customHeight="1" x14ac:dyDescent="0.25">
      <c r="A174" s="3"/>
      <c r="B174" s="3"/>
      <c r="C174" s="3"/>
      <c r="D174" s="3"/>
      <c r="E174" s="4"/>
      <c r="F174" s="3"/>
      <c r="G174" s="3"/>
      <c r="H174" s="3"/>
      <c r="I174" s="1"/>
    </row>
    <row r="175" spans="1:9" ht="14.25" customHeight="1" x14ac:dyDescent="0.25">
      <c r="A175" s="3"/>
      <c r="B175" s="3"/>
      <c r="C175" s="3"/>
      <c r="D175" s="3"/>
      <c r="E175" s="4"/>
      <c r="F175" s="3"/>
      <c r="G175" s="3"/>
      <c r="H175" s="3"/>
      <c r="I175" s="1"/>
    </row>
    <row r="176" spans="1:9" ht="14.25" customHeight="1" x14ac:dyDescent="0.25">
      <c r="A176" s="3"/>
      <c r="B176" s="3"/>
      <c r="C176" s="3"/>
      <c r="D176" s="3"/>
      <c r="E176" s="4"/>
      <c r="F176" s="3"/>
      <c r="G176" s="3"/>
      <c r="H176" s="3"/>
      <c r="I176" s="1"/>
    </row>
    <row r="177" spans="1:9" ht="14.25" customHeight="1" x14ac:dyDescent="0.25">
      <c r="A177" s="3"/>
      <c r="B177" s="3"/>
      <c r="C177" s="3"/>
      <c r="D177" s="3"/>
      <c r="E177" s="4"/>
      <c r="F177" s="3"/>
      <c r="G177" s="3"/>
      <c r="H177" s="3"/>
      <c r="I177" s="1"/>
    </row>
    <row r="178" spans="1:9" ht="14.25" customHeight="1" x14ac:dyDescent="0.25">
      <c r="A178" s="3"/>
      <c r="B178" s="3"/>
      <c r="C178" s="3"/>
      <c r="D178" s="3"/>
      <c r="E178" s="4"/>
      <c r="F178" s="3"/>
      <c r="G178" s="3"/>
      <c r="H178" s="3"/>
      <c r="I178" s="1"/>
    </row>
    <row r="179" spans="1:9" ht="14.25" customHeight="1" x14ac:dyDescent="0.25">
      <c r="A179" s="3"/>
      <c r="B179" s="3"/>
      <c r="C179" s="3"/>
      <c r="D179" s="3"/>
      <c r="E179" s="4"/>
      <c r="F179" s="3"/>
      <c r="G179" s="3"/>
      <c r="H179" s="3"/>
      <c r="I179" s="1"/>
    </row>
    <row r="180" spans="1:9" ht="14.25" customHeight="1" x14ac:dyDescent="0.25">
      <c r="A180" s="3"/>
      <c r="B180" s="3"/>
      <c r="C180" s="3"/>
      <c r="D180" s="3"/>
      <c r="E180" s="4"/>
      <c r="F180" s="3"/>
      <c r="G180" s="3"/>
      <c r="H180" s="3"/>
      <c r="I180" s="1"/>
    </row>
    <row r="181" spans="1:9" ht="14.25" customHeight="1" x14ac:dyDescent="0.25">
      <c r="A181" s="3"/>
      <c r="B181" s="3"/>
      <c r="C181" s="3"/>
      <c r="D181" s="3"/>
      <c r="E181" s="4"/>
      <c r="F181" s="3"/>
      <c r="G181" s="3"/>
      <c r="H181" s="3"/>
      <c r="I181" s="1"/>
    </row>
    <row r="182" spans="1:9" ht="14.25" customHeight="1" x14ac:dyDescent="0.25">
      <c r="A182" s="3"/>
      <c r="B182" s="3"/>
      <c r="C182" s="3"/>
      <c r="D182" s="3"/>
      <c r="E182" s="4"/>
      <c r="F182" s="3"/>
      <c r="G182" s="3"/>
      <c r="H182" s="3"/>
      <c r="I182" s="1"/>
    </row>
    <row r="183" spans="1:9" ht="14.25" customHeight="1" x14ac:dyDescent="0.25">
      <c r="A183" s="3"/>
      <c r="B183" s="3"/>
      <c r="C183" s="3"/>
      <c r="D183" s="3"/>
      <c r="E183" s="4"/>
      <c r="F183" s="3"/>
      <c r="G183" s="3"/>
      <c r="H183" s="3"/>
      <c r="I183" s="1"/>
    </row>
    <row r="184" spans="1:9" ht="14.25" customHeight="1" x14ac:dyDescent="0.25">
      <c r="A184" s="3"/>
      <c r="B184" s="3"/>
      <c r="C184" s="3"/>
      <c r="D184" s="3"/>
      <c r="E184" s="4"/>
      <c r="F184" s="3"/>
      <c r="G184" s="3"/>
      <c r="H184" s="3"/>
      <c r="I184" s="1"/>
    </row>
    <row r="185" spans="1:9" ht="14.25" customHeight="1" x14ac:dyDescent="0.25">
      <c r="A185" s="3"/>
      <c r="B185" s="3"/>
      <c r="C185" s="3"/>
      <c r="D185" s="3"/>
      <c r="E185" s="4"/>
      <c r="F185" s="3"/>
      <c r="G185" s="3"/>
      <c r="H185" s="3"/>
      <c r="I185" s="1"/>
    </row>
    <row r="186" spans="1:9" ht="14.25" customHeight="1" x14ac:dyDescent="0.25">
      <c r="A186" s="3"/>
      <c r="B186" s="3"/>
      <c r="C186" s="3"/>
      <c r="D186" s="3"/>
      <c r="E186" s="4"/>
      <c r="F186" s="3"/>
      <c r="G186" s="3"/>
      <c r="H186" s="3"/>
      <c r="I186" s="1"/>
    </row>
    <row r="187" spans="1:9" ht="14.25" customHeight="1" x14ac:dyDescent="0.25">
      <c r="A187" s="3"/>
      <c r="B187" s="3"/>
      <c r="C187" s="3"/>
      <c r="D187" s="3"/>
      <c r="E187" s="4"/>
      <c r="F187" s="3"/>
      <c r="G187" s="3"/>
      <c r="H187" s="3"/>
      <c r="I187" s="1"/>
    </row>
    <row r="188" spans="1:9" ht="14.25" customHeight="1" x14ac:dyDescent="0.25">
      <c r="A188" s="3"/>
      <c r="B188" s="3"/>
      <c r="C188" s="3"/>
      <c r="D188" s="3"/>
      <c r="E188" s="4"/>
      <c r="F188" s="3"/>
      <c r="G188" s="3"/>
      <c r="H188" s="3"/>
      <c r="I188" s="1"/>
    </row>
    <row r="189" spans="1:9" ht="14.25" customHeight="1" x14ac:dyDescent="0.25">
      <c r="A189" s="3"/>
      <c r="B189" s="3"/>
      <c r="C189" s="3"/>
      <c r="D189" s="3"/>
      <c r="E189" s="4"/>
      <c r="F189" s="3"/>
      <c r="G189" s="3"/>
      <c r="H189" s="3"/>
      <c r="I189" s="1"/>
    </row>
    <row r="190" spans="1:9" ht="14.25" customHeight="1" x14ac:dyDescent="0.25">
      <c r="A190" s="3"/>
      <c r="B190" s="3"/>
      <c r="C190" s="3"/>
      <c r="D190" s="3"/>
      <c r="E190" s="4"/>
      <c r="F190" s="3"/>
      <c r="G190" s="3"/>
      <c r="H190" s="3"/>
      <c r="I190" s="1"/>
    </row>
    <row r="191" spans="1:9" ht="14.25" customHeight="1" x14ac:dyDescent="0.25">
      <c r="A191" s="3"/>
      <c r="B191" s="3"/>
      <c r="C191" s="3"/>
      <c r="D191" s="3"/>
      <c r="E191" s="4"/>
      <c r="F191" s="3"/>
      <c r="G191" s="3"/>
      <c r="H191" s="3"/>
      <c r="I191" s="1"/>
    </row>
    <row r="192" spans="1:9" ht="14.25" customHeight="1" x14ac:dyDescent="0.25">
      <c r="A192" s="3"/>
      <c r="B192" s="3"/>
      <c r="C192" s="3"/>
      <c r="D192" s="3"/>
      <c r="E192" s="4"/>
      <c r="F192" s="3"/>
      <c r="G192" s="3"/>
      <c r="H192" s="3"/>
      <c r="I192" s="1"/>
    </row>
    <row r="193" spans="1:9" ht="14.25" customHeight="1" x14ac:dyDescent="0.25">
      <c r="A193" s="3"/>
      <c r="B193" s="3"/>
      <c r="C193" s="3"/>
      <c r="D193" s="3"/>
      <c r="E193" s="4"/>
      <c r="F193" s="3"/>
      <c r="G193" s="3"/>
      <c r="H193" s="3"/>
      <c r="I193" s="1"/>
    </row>
    <row r="194" spans="1:9" ht="14.25" customHeight="1" x14ac:dyDescent="0.25">
      <c r="A194" s="3"/>
      <c r="B194" s="3"/>
      <c r="C194" s="3"/>
      <c r="D194" s="3"/>
      <c r="E194" s="4"/>
      <c r="F194" s="3"/>
      <c r="G194" s="3"/>
      <c r="H194" s="3"/>
      <c r="I194" s="1"/>
    </row>
    <row r="195" spans="1:9" ht="14.25" customHeight="1" x14ac:dyDescent="0.25">
      <c r="A195" s="3"/>
      <c r="B195" s="3"/>
      <c r="C195" s="3"/>
      <c r="D195" s="3"/>
      <c r="E195" s="4"/>
      <c r="F195" s="3"/>
      <c r="G195" s="3"/>
      <c r="H195" s="3"/>
      <c r="I195" s="1"/>
    </row>
    <row r="196" spans="1:9" ht="14.25" customHeight="1" x14ac:dyDescent="0.25">
      <c r="A196" s="3"/>
      <c r="B196" s="3"/>
      <c r="C196" s="3"/>
      <c r="D196" s="3"/>
      <c r="E196" s="4"/>
      <c r="F196" s="3"/>
      <c r="G196" s="3"/>
      <c r="H196" s="3"/>
      <c r="I196" s="1"/>
    </row>
    <row r="197" spans="1:9" ht="14.25" customHeight="1" x14ac:dyDescent="0.25">
      <c r="A197" s="3"/>
      <c r="B197" s="3"/>
      <c r="C197" s="3"/>
      <c r="D197" s="3"/>
      <c r="E197" s="4"/>
      <c r="F197" s="3"/>
      <c r="G197" s="3"/>
      <c r="H197" s="3"/>
      <c r="I197" s="1"/>
    </row>
    <row r="198" spans="1:9" ht="14.25" customHeight="1" x14ac:dyDescent="0.25">
      <c r="A198" s="3"/>
      <c r="B198" s="3"/>
      <c r="C198" s="3"/>
      <c r="D198" s="3"/>
      <c r="E198" s="4"/>
      <c r="F198" s="3"/>
      <c r="G198" s="3"/>
      <c r="H198" s="3"/>
      <c r="I198" s="1"/>
    </row>
    <row r="199" spans="1:9" ht="14.25" customHeight="1" x14ac:dyDescent="0.25">
      <c r="A199" s="3"/>
      <c r="B199" s="3"/>
      <c r="C199" s="3"/>
      <c r="D199" s="3"/>
      <c r="E199" s="4"/>
      <c r="F199" s="3"/>
      <c r="G199" s="3"/>
      <c r="H199" s="3"/>
      <c r="I199" s="1"/>
    </row>
    <row r="200" spans="1:9" ht="14.25" customHeight="1" x14ac:dyDescent="0.25">
      <c r="A200" s="3"/>
      <c r="B200" s="3"/>
      <c r="C200" s="3"/>
      <c r="D200" s="3"/>
      <c r="E200" s="4"/>
      <c r="F200" s="3"/>
      <c r="G200" s="3"/>
      <c r="H200" s="3"/>
      <c r="I200" s="1"/>
    </row>
    <row r="201" spans="1:9" ht="14.25" customHeight="1" x14ac:dyDescent="0.25">
      <c r="A201" s="3"/>
      <c r="B201" s="3"/>
      <c r="C201" s="3"/>
      <c r="D201" s="3"/>
      <c r="E201" s="4"/>
      <c r="F201" s="3"/>
      <c r="G201" s="3"/>
      <c r="H201" s="3"/>
      <c r="I201" s="1"/>
    </row>
    <row r="202" spans="1:9" ht="14.25" customHeight="1" x14ac:dyDescent="0.25">
      <c r="A202" s="3"/>
      <c r="B202" s="3"/>
      <c r="C202" s="3"/>
      <c r="D202" s="3"/>
      <c r="E202" s="4"/>
      <c r="F202" s="3"/>
      <c r="G202" s="3"/>
      <c r="H202" s="3"/>
      <c r="I202" s="1"/>
    </row>
    <row r="203" spans="1:9" ht="14.25" customHeight="1" x14ac:dyDescent="0.25">
      <c r="A203" s="3"/>
      <c r="B203" s="3"/>
      <c r="C203" s="3"/>
      <c r="D203" s="3"/>
      <c r="E203" s="4"/>
      <c r="F203" s="3"/>
      <c r="G203" s="3"/>
      <c r="H203" s="3"/>
      <c r="I203" s="1"/>
    </row>
    <row r="204" spans="1:9" ht="14.25" customHeight="1" x14ac:dyDescent="0.25">
      <c r="A204" s="3"/>
      <c r="B204" s="3"/>
      <c r="C204" s="3"/>
      <c r="D204" s="3"/>
      <c r="E204" s="4"/>
      <c r="F204" s="3"/>
      <c r="G204" s="3"/>
      <c r="H204" s="3"/>
      <c r="I204" s="1"/>
    </row>
    <row r="205" spans="1:9" ht="14.25" customHeight="1" x14ac:dyDescent="0.25">
      <c r="A205" s="3"/>
      <c r="B205" s="3"/>
      <c r="C205" s="3"/>
      <c r="D205" s="3"/>
      <c r="E205" s="4"/>
      <c r="F205" s="3"/>
      <c r="G205" s="3"/>
      <c r="H205" s="3"/>
      <c r="I205" s="1"/>
    </row>
    <row r="206" spans="1:9" ht="14.25" customHeight="1" x14ac:dyDescent="0.25">
      <c r="A206" s="3"/>
      <c r="B206" s="3"/>
      <c r="C206" s="3"/>
      <c r="D206" s="3"/>
      <c r="E206" s="4"/>
      <c r="F206" s="3"/>
      <c r="G206" s="3"/>
      <c r="H206" s="3"/>
      <c r="I206" s="1"/>
    </row>
    <row r="207" spans="1:9" ht="14.25" customHeight="1" x14ac:dyDescent="0.25">
      <c r="A207" s="3"/>
      <c r="B207" s="3"/>
      <c r="C207" s="3"/>
      <c r="D207" s="3"/>
      <c r="E207" s="4"/>
      <c r="F207" s="3"/>
      <c r="G207" s="3"/>
      <c r="H207" s="3"/>
      <c r="I207" s="1"/>
    </row>
    <row r="208" spans="1:9" ht="14.25" customHeight="1" x14ac:dyDescent="0.25">
      <c r="A208" s="3"/>
      <c r="B208" s="3"/>
      <c r="C208" s="3"/>
      <c r="D208" s="3"/>
      <c r="E208" s="4"/>
      <c r="F208" s="3"/>
      <c r="G208" s="3"/>
      <c r="H208" s="3"/>
      <c r="I208" s="1"/>
    </row>
    <row r="209" spans="1:9" ht="14.25" customHeight="1" x14ac:dyDescent="0.25">
      <c r="A209" s="3"/>
      <c r="B209" s="3"/>
      <c r="C209" s="3"/>
      <c r="D209" s="3"/>
      <c r="E209" s="4"/>
      <c r="F209" s="3"/>
      <c r="G209" s="3"/>
      <c r="H209" s="3"/>
      <c r="I209" s="1"/>
    </row>
    <row r="210" spans="1:9" ht="14.25" customHeight="1" x14ac:dyDescent="0.25">
      <c r="A210" s="3"/>
      <c r="B210" s="3"/>
      <c r="C210" s="3"/>
      <c r="D210" s="3"/>
      <c r="E210" s="4"/>
      <c r="F210" s="3"/>
      <c r="G210" s="3"/>
      <c r="H210" s="3"/>
      <c r="I210" s="1"/>
    </row>
    <row r="211" spans="1:9" ht="14.25" customHeight="1" x14ac:dyDescent="0.25">
      <c r="A211" s="3"/>
      <c r="B211" s="3"/>
      <c r="C211" s="3"/>
      <c r="D211" s="3"/>
      <c r="E211" s="4"/>
      <c r="F211" s="3"/>
      <c r="G211" s="3"/>
      <c r="H211" s="3"/>
      <c r="I211" s="1"/>
    </row>
    <row r="212" spans="1:9" ht="14.25" customHeight="1" x14ac:dyDescent="0.25">
      <c r="A212" s="3"/>
      <c r="B212" s="3"/>
      <c r="C212" s="3"/>
      <c r="D212" s="3"/>
      <c r="E212" s="4"/>
      <c r="F212" s="3"/>
      <c r="G212" s="3"/>
      <c r="H212" s="3"/>
      <c r="I212" s="1"/>
    </row>
    <row r="213" spans="1:9" ht="14.25" customHeight="1" x14ac:dyDescent="0.25">
      <c r="A213" s="3"/>
      <c r="B213" s="3"/>
      <c r="C213" s="3"/>
      <c r="D213" s="3"/>
      <c r="E213" s="4"/>
      <c r="F213" s="3"/>
      <c r="G213" s="3"/>
      <c r="H213" s="3"/>
      <c r="I213" s="1"/>
    </row>
    <row r="214" spans="1:9" ht="14.25" customHeight="1" x14ac:dyDescent="0.25">
      <c r="A214" s="3"/>
      <c r="B214" s="3"/>
      <c r="C214" s="3"/>
      <c r="D214" s="3"/>
      <c r="E214" s="4"/>
      <c r="F214" s="3"/>
      <c r="G214" s="3"/>
      <c r="H214" s="3"/>
      <c r="I214" s="1"/>
    </row>
    <row r="215" spans="1:9" ht="14.25" customHeight="1" x14ac:dyDescent="0.25">
      <c r="A215" s="3"/>
      <c r="B215" s="3"/>
      <c r="C215" s="3"/>
      <c r="D215" s="3"/>
      <c r="E215" s="4"/>
      <c r="F215" s="3"/>
      <c r="G215" s="3"/>
      <c r="H215" s="3"/>
      <c r="I215" s="1"/>
    </row>
    <row r="216" spans="1:9" ht="14.25" customHeight="1" x14ac:dyDescent="0.25">
      <c r="A216" s="3"/>
      <c r="B216" s="3"/>
      <c r="C216" s="3"/>
      <c r="D216" s="3"/>
      <c r="E216" s="4"/>
      <c r="F216" s="3"/>
      <c r="G216" s="3"/>
      <c r="H216" s="3"/>
      <c r="I216" s="1"/>
    </row>
    <row r="217" spans="1:9" ht="14.25" customHeight="1" x14ac:dyDescent="0.25">
      <c r="A217" s="3"/>
      <c r="B217" s="3"/>
      <c r="C217" s="3"/>
      <c r="D217" s="3"/>
      <c r="E217" s="4"/>
      <c r="F217" s="3"/>
      <c r="G217" s="3"/>
      <c r="H217" s="3"/>
      <c r="I217" s="1"/>
    </row>
    <row r="218" spans="1:9" ht="14.25" customHeight="1" x14ac:dyDescent="0.25">
      <c r="A218" s="3"/>
      <c r="B218" s="3"/>
      <c r="C218" s="3"/>
      <c r="D218" s="3"/>
      <c r="E218" s="4"/>
      <c r="F218" s="3"/>
      <c r="G218" s="3"/>
      <c r="H218" s="3"/>
      <c r="I218" s="1"/>
    </row>
    <row r="219" spans="1:9" ht="14.25" customHeight="1" x14ac:dyDescent="0.25">
      <c r="A219" s="3"/>
      <c r="B219" s="3"/>
      <c r="C219" s="3"/>
      <c r="D219" s="3"/>
      <c r="E219" s="4"/>
      <c r="F219" s="3"/>
      <c r="G219" s="3"/>
      <c r="H219" s="3"/>
      <c r="I219" s="1"/>
    </row>
    <row r="220" spans="1:9" ht="14.25" customHeight="1" x14ac:dyDescent="0.25">
      <c r="A220" s="3"/>
      <c r="B220" s="3"/>
      <c r="C220" s="3"/>
      <c r="D220" s="3"/>
      <c r="E220" s="4"/>
      <c r="F220" s="3"/>
      <c r="G220" s="3"/>
      <c r="H220" s="3"/>
      <c r="I220" s="1"/>
    </row>
    <row r="221" spans="1:9" ht="14.25" customHeight="1" x14ac:dyDescent="0.25">
      <c r="A221" s="3"/>
      <c r="B221" s="3"/>
      <c r="C221" s="3"/>
      <c r="D221" s="3"/>
      <c r="E221" s="4"/>
      <c r="F221" s="3"/>
      <c r="G221" s="3"/>
      <c r="H221" s="3"/>
      <c r="I221" s="1"/>
    </row>
    <row r="222" spans="1:9" ht="14.25" customHeight="1" x14ac:dyDescent="0.25">
      <c r="A222" s="3"/>
      <c r="B222" s="3"/>
      <c r="C222" s="3"/>
      <c r="D222" s="3"/>
      <c r="E222" s="4"/>
      <c r="F222" s="3"/>
      <c r="G222" s="3"/>
      <c r="H222" s="3"/>
      <c r="I222" s="1"/>
    </row>
    <row r="223" spans="1:9" ht="14.25" customHeight="1" x14ac:dyDescent="0.25">
      <c r="A223" s="3"/>
      <c r="B223" s="3"/>
      <c r="C223" s="3"/>
      <c r="D223" s="3"/>
      <c r="E223" s="4"/>
      <c r="F223" s="3"/>
      <c r="G223" s="3"/>
      <c r="H223" s="3"/>
      <c r="I223" s="1"/>
    </row>
    <row r="224" spans="1:9" ht="14.25" customHeight="1" x14ac:dyDescent="0.25">
      <c r="A224" s="3"/>
      <c r="B224" s="3"/>
      <c r="C224" s="3"/>
      <c r="D224" s="3"/>
      <c r="E224" s="4"/>
      <c r="F224" s="3"/>
      <c r="G224" s="3"/>
      <c r="H224" s="3"/>
      <c r="I224" s="1"/>
    </row>
    <row r="225" spans="1:9" ht="14.25" customHeight="1" x14ac:dyDescent="0.25">
      <c r="A225" s="3"/>
      <c r="B225" s="3"/>
      <c r="C225" s="3"/>
      <c r="D225" s="3"/>
      <c r="E225" s="4"/>
      <c r="F225" s="3"/>
      <c r="G225" s="3"/>
      <c r="H225" s="3"/>
      <c r="I225" s="1"/>
    </row>
    <row r="226" spans="1:9" ht="14.25" customHeight="1" x14ac:dyDescent="0.25">
      <c r="A226" s="3"/>
      <c r="B226" s="3"/>
      <c r="C226" s="3"/>
      <c r="D226" s="3"/>
      <c r="E226" s="4"/>
      <c r="F226" s="3"/>
      <c r="G226" s="3"/>
      <c r="H226" s="3"/>
      <c r="I226" s="1"/>
    </row>
    <row r="227" spans="1:9" ht="14.25" customHeight="1" x14ac:dyDescent="0.25">
      <c r="A227" s="3"/>
      <c r="B227" s="3"/>
      <c r="C227" s="3"/>
      <c r="D227" s="3"/>
      <c r="E227" s="4"/>
      <c r="F227" s="3"/>
      <c r="G227" s="3"/>
      <c r="H227" s="3"/>
      <c r="I227" s="1"/>
    </row>
    <row r="228" spans="1:9" ht="14.25" customHeight="1" x14ac:dyDescent="0.25">
      <c r="A228" s="3"/>
      <c r="B228" s="3"/>
      <c r="C228" s="3"/>
      <c r="D228" s="3"/>
      <c r="E228" s="4"/>
      <c r="F228" s="3"/>
      <c r="G228" s="3"/>
      <c r="H228" s="3"/>
      <c r="I228" s="1"/>
    </row>
    <row r="229" spans="1:9" ht="14.25" customHeight="1" x14ac:dyDescent="0.25">
      <c r="A229" s="3"/>
      <c r="B229" s="3"/>
      <c r="C229" s="3"/>
      <c r="D229" s="3"/>
      <c r="E229" s="4"/>
      <c r="F229" s="3"/>
      <c r="G229" s="3"/>
      <c r="H229" s="3"/>
      <c r="I229" s="1"/>
    </row>
    <row r="230" spans="1:9" ht="14.25" customHeight="1" x14ac:dyDescent="0.25">
      <c r="A230" s="3"/>
      <c r="B230" s="3"/>
      <c r="C230" s="3"/>
      <c r="D230" s="3"/>
      <c r="E230" s="4"/>
      <c r="F230" s="3"/>
      <c r="G230" s="3"/>
      <c r="H230" s="3"/>
      <c r="I230" s="1"/>
    </row>
    <row r="231" spans="1:9" ht="14.25" customHeight="1" x14ac:dyDescent="0.25">
      <c r="A231" s="3"/>
      <c r="B231" s="3"/>
      <c r="C231" s="3"/>
      <c r="D231" s="3"/>
      <c r="E231" s="4"/>
      <c r="F231" s="3"/>
      <c r="G231" s="3"/>
      <c r="H231" s="3"/>
      <c r="I231" s="1"/>
    </row>
    <row r="232" spans="1:9" ht="14.25" customHeight="1" x14ac:dyDescent="0.25">
      <c r="A232" s="3"/>
      <c r="B232" s="3"/>
      <c r="C232" s="3"/>
      <c r="D232" s="3"/>
      <c r="E232" s="4"/>
      <c r="F232" s="3"/>
      <c r="G232" s="3"/>
      <c r="H232" s="3"/>
      <c r="I232" s="1"/>
    </row>
    <row r="233" spans="1:9" ht="14.25" customHeight="1" x14ac:dyDescent="0.25">
      <c r="A233" s="3"/>
      <c r="B233" s="3"/>
      <c r="C233" s="3"/>
      <c r="D233" s="3"/>
      <c r="E233" s="4"/>
      <c r="F233" s="3"/>
      <c r="G233" s="3"/>
      <c r="H233" s="3"/>
      <c r="I233" s="1"/>
    </row>
    <row r="234" spans="1:9" ht="14.25" customHeight="1" x14ac:dyDescent="0.25">
      <c r="A234" s="3"/>
      <c r="B234" s="3"/>
      <c r="C234" s="3"/>
      <c r="D234" s="3"/>
      <c r="E234" s="4"/>
      <c r="F234" s="3"/>
      <c r="G234" s="3"/>
      <c r="H234" s="3"/>
      <c r="I234" s="1"/>
    </row>
    <row r="235" spans="1:9" ht="14.25" customHeight="1" x14ac:dyDescent="0.25">
      <c r="A235" s="3"/>
      <c r="B235" s="3"/>
      <c r="C235" s="3"/>
      <c r="D235" s="3"/>
      <c r="E235" s="4"/>
      <c r="F235" s="3"/>
      <c r="G235" s="3"/>
      <c r="H235" s="3"/>
      <c r="I235" s="1"/>
    </row>
    <row r="236" spans="1:9" ht="14.25" customHeight="1" x14ac:dyDescent="0.25">
      <c r="A236" s="3"/>
      <c r="B236" s="3"/>
      <c r="C236" s="3"/>
      <c r="D236" s="3"/>
      <c r="E236" s="4"/>
      <c r="F236" s="3"/>
      <c r="G236" s="3"/>
      <c r="H236" s="3"/>
      <c r="I236" s="1"/>
    </row>
    <row r="237" spans="1:9" ht="14.25" customHeight="1" x14ac:dyDescent="0.25">
      <c r="A237" s="3"/>
      <c r="B237" s="3"/>
      <c r="C237" s="3"/>
      <c r="D237" s="3"/>
      <c r="E237" s="4"/>
      <c r="F237" s="3"/>
      <c r="G237" s="3"/>
      <c r="H237" s="3"/>
      <c r="I237" s="1"/>
    </row>
    <row r="238" spans="1:9" ht="14.25" customHeight="1" x14ac:dyDescent="0.25">
      <c r="A238" s="3"/>
      <c r="B238" s="3"/>
      <c r="C238" s="3"/>
      <c r="D238" s="3"/>
      <c r="E238" s="4"/>
      <c r="F238" s="3"/>
      <c r="G238" s="3"/>
      <c r="H238" s="3"/>
      <c r="I238" s="1"/>
    </row>
    <row r="239" spans="1:9" ht="14.25" customHeight="1" x14ac:dyDescent="0.25">
      <c r="A239" s="3"/>
      <c r="B239" s="3"/>
      <c r="C239" s="3"/>
      <c r="D239" s="3"/>
      <c r="E239" s="4"/>
      <c r="F239" s="3"/>
      <c r="G239" s="3"/>
      <c r="H239" s="3"/>
      <c r="I239" s="1"/>
    </row>
    <row r="240" spans="1:9" ht="14.25" customHeight="1" x14ac:dyDescent="0.25">
      <c r="A240" s="3"/>
      <c r="B240" s="3"/>
      <c r="C240" s="3"/>
      <c r="D240" s="3"/>
      <c r="E240" s="4"/>
      <c r="F240" s="3"/>
      <c r="G240" s="3"/>
      <c r="H240" s="3"/>
      <c r="I240" s="1"/>
    </row>
    <row r="241" spans="1:9" ht="14.25" customHeight="1" x14ac:dyDescent="0.25">
      <c r="A241" s="3"/>
      <c r="B241" s="3"/>
      <c r="C241" s="3"/>
      <c r="D241" s="3"/>
      <c r="E241" s="4"/>
      <c r="F241" s="3"/>
      <c r="G241" s="3"/>
      <c r="H241" s="3"/>
      <c r="I241" s="1"/>
    </row>
    <row r="242" spans="1:9" ht="14.25" customHeight="1" x14ac:dyDescent="0.25">
      <c r="A242" s="3"/>
      <c r="B242" s="3"/>
      <c r="C242" s="3"/>
      <c r="D242" s="3"/>
      <c r="E242" s="4"/>
      <c r="F242" s="3"/>
      <c r="G242" s="3"/>
      <c r="H242" s="3"/>
      <c r="I242" s="1"/>
    </row>
    <row r="243" spans="1:9" ht="14.25" customHeight="1" x14ac:dyDescent="0.25">
      <c r="A243" s="3"/>
      <c r="B243" s="3"/>
      <c r="C243" s="3"/>
      <c r="D243" s="3"/>
      <c r="E243" s="4"/>
      <c r="F243" s="3"/>
      <c r="G243" s="3"/>
      <c r="H243" s="3"/>
      <c r="I243" s="1"/>
    </row>
    <row r="244" spans="1:9" ht="14.25" customHeight="1" x14ac:dyDescent="0.25">
      <c r="A244" s="3"/>
      <c r="B244" s="3"/>
      <c r="C244" s="3"/>
      <c r="D244" s="3"/>
      <c r="E244" s="4"/>
      <c r="F244" s="3"/>
      <c r="G244" s="3"/>
      <c r="H244" s="3"/>
      <c r="I244" s="1"/>
    </row>
    <row r="245" spans="1:9" ht="14.25" customHeight="1" x14ac:dyDescent="0.25">
      <c r="A245" s="3"/>
      <c r="B245" s="3"/>
      <c r="C245" s="3"/>
      <c r="D245" s="3"/>
      <c r="E245" s="4"/>
      <c r="F245" s="3"/>
      <c r="G245" s="3"/>
      <c r="H245" s="3"/>
      <c r="I245" s="1"/>
    </row>
    <row r="246" spans="1:9" ht="14.25" customHeight="1" x14ac:dyDescent="0.25">
      <c r="A246" s="3"/>
      <c r="B246" s="3"/>
      <c r="C246" s="3"/>
      <c r="D246" s="3"/>
      <c r="E246" s="4"/>
      <c r="F246" s="3"/>
      <c r="G246" s="3"/>
      <c r="H246" s="3"/>
      <c r="I246" s="1"/>
    </row>
    <row r="247" spans="1:9" ht="14.25" customHeight="1" x14ac:dyDescent="0.25">
      <c r="A247" s="3"/>
      <c r="B247" s="3"/>
      <c r="C247" s="3"/>
      <c r="D247" s="3"/>
      <c r="E247" s="4"/>
      <c r="F247" s="3"/>
      <c r="G247" s="3"/>
      <c r="H247" s="3"/>
      <c r="I247" s="1"/>
    </row>
    <row r="248" spans="1:9" ht="14.25" customHeight="1" x14ac:dyDescent="0.25">
      <c r="A248" s="3"/>
      <c r="B248" s="3"/>
      <c r="C248" s="3"/>
      <c r="D248" s="3"/>
      <c r="E248" s="4"/>
      <c r="F248" s="3"/>
      <c r="G248" s="3"/>
      <c r="H248" s="3"/>
      <c r="I248" s="1"/>
    </row>
    <row r="249" spans="1:9" ht="14.25" customHeight="1" x14ac:dyDescent="0.25">
      <c r="A249" s="3"/>
      <c r="B249" s="3"/>
      <c r="C249" s="3"/>
      <c r="D249" s="3"/>
      <c r="E249" s="4"/>
      <c r="F249" s="3"/>
      <c r="G249" s="3"/>
      <c r="H249" s="3"/>
      <c r="I249" s="1"/>
    </row>
    <row r="250" spans="1:9" ht="14.25" customHeight="1" x14ac:dyDescent="0.25">
      <c r="A250" s="3"/>
      <c r="B250" s="3"/>
      <c r="C250" s="3"/>
      <c r="D250" s="3"/>
      <c r="E250" s="4"/>
      <c r="F250" s="3"/>
      <c r="G250" s="3"/>
      <c r="H250" s="3"/>
      <c r="I250" s="1"/>
    </row>
    <row r="251" spans="1:9" ht="14.25" customHeight="1" x14ac:dyDescent="0.25">
      <c r="A251" s="3"/>
      <c r="B251" s="3"/>
      <c r="C251" s="3"/>
      <c r="D251" s="3"/>
      <c r="E251" s="4"/>
      <c r="F251" s="3"/>
      <c r="G251" s="3"/>
      <c r="H251" s="3"/>
      <c r="I251" s="1"/>
    </row>
    <row r="252" spans="1:9" ht="14.25" customHeight="1" x14ac:dyDescent="0.25">
      <c r="A252" s="3"/>
      <c r="B252" s="3"/>
      <c r="C252" s="3"/>
      <c r="D252" s="3"/>
      <c r="E252" s="4"/>
      <c r="F252" s="3"/>
      <c r="G252" s="3"/>
      <c r="H252" s="3"/>
      <c r="I252" s="1"/>
    </row>
    <row r="253" spans="1:9" ht="14.25" customHeight="1" x14ac:dyDescent="0.25">
      <c r="A253" s="3"/>
      <c r="B253" s="3"/>
      <c r="C253" s="3"/>
      <c r="D253" s="3"/>
      <c r="E253" s="4"/>
      <c r="F253" s="3"/>
      <c r="G253" s="3"/>
      <c r="H253" s="3"/>
      <c r="I253" s="1"/>
    </row>
    <row r="254" spans="1:9" ht="14.25" customHeight="1" x14ac:dyDescent="0.25">
      <c r="A254" s="3"/>
      <c r="B254" s="3"/>
      <c r="C254" s="3"/>
      <c r="D254" s="3"/>
      <c r="E254" s="4"/>
      <c r="F254" s="3"/>
      <c r="G254" s="3"/>
      <c r="H254" s="3"/>
      <c r="I254" s="1"/>
    </row>
    <row r="255" spans="1:9" ht="14.25" customHeight="1" x14ac:dyDescent="0.25">
      <c r="A255" s="3"/>
      <c r="B255" s="3"/>
      <c r="C255" s="3"/>
      <c r="D255" s="3"/>
      <c r="E255" s="4"/>
      <c r="F255" s="3"/>
      <c r="G255" s="3"/>
      <c r="H255" s="3"/>
      <c r="I255" s="1"/>
    </row>
    <row r="256" spans="1:9" ht="14.25" customHeight="1" x14ac:dyDescent="0.25">
      <c r="A256" s="3"/>
      <c r="B256" s="3"/>
      <c r="C256" s="3"/>
      <c r="D256" s="3"/>
      <c r="E256" s="4"/>
      <c r="F256" s="3"/>
      <c r="G256" s="3"/>
      <c r="H256" s="3"/>
      <c r="I256" s="1"/>
    </row>
    <row r="257" spans="1:9" ht="14.25" customHeight="1" x14ac:dyDescent="0.25">
      <c r="A257" s="3"/>
      <c r="B257" s="3"/>
      <c r="C257" s="3"/>
      <c r="D257" s="3"/>
      <c r="E257" s="4"/>
      <c r="F257" s="3"/>
      <c r="G257" s="3"/>
      <c r="H257" s="3"/>
      <c r="I257" s="1"/>
    </row>
    <row r="258" spans="1:9" ht="14.25" customHeight="1" x14ac:dyDescent="0.25">
      <c r="A258" s="3"/>
      <c r="B258" s="3"/>
      <c r="C258" s="3"/>
      <c r="D258" s="3"/>
      <c r="E258" s="4"/>
      <c r="F258" s="3"/>
      <c r="G258" s="3"/>
      <c r="H258" s="3"/>
      <c r="I258" s="1"/>
    </row>
    <row r="259" spans="1:9" ht="14.25" customHeight="1" x14ac:dyDescent="0.25">
      <c r="A259" s="3"/>
      <c r="B259" s="3"/>
      <c r="C259" s="3"/>
      <c r="D259" s="3"/>
      <c r="E259" s="4"/>
      <c r="F259" s="3"/>
      <c r="G259" s="3"/>
      <c r="H259" s="3"/>
      <c r="I259" s="1"/>
    </row>
    <row r="260" spans="1:9" ht="14.25" customHeight="1" x14ac:dyDescent="0.25">
      <c r="A260" s="3"/>
      <c r="B260" s="3"/>
      <c r="C260" s="3"/>
      <c r="D260" s="3"/>
      <c r="E260" s="4"/>
      <c r="F260" s="3"/>
      <c r="G260" s="3"/>
      <c r="H260" s="3"/>
      <c r="I260" s="1"/>
    </row>
    <row r="261" spans="1:9" ht="14.25" customHeight="1" x14ac:dyDescent="0.25">
      <c r="A261" s="3"/>
      <c r="B261" s="3"/>
      <c r="C261" s="3"/>
      <c r="D261" s="3"/>
      <c r="E261" s="4"/>
      <c r="F261" s="3"/>
      <c r="G261" s="3"/>
      <c r="H261" s="3"/>
      <c r="I261" s="1"/>
    </row>
    <row r="262" spans="1:9" ht="14.25" customHeight="1" x14ac:dyDescent="0.25">
      <c r="A262" s="3"/>
      <c r="B262" s="3"/>
      <c r="C262" s="3"/>
      <c r="D262" s="3"/>
      <c r="E262" s="4"/>
      <c r="F262" s="3"/>
      <c r="G262" s="3"/>
      <c r="H262" s="3"/>
      <c r="I262" s="1"/>
    </row>
    <row r="263" spans="1:9" ht="14.25" customHeight="1" x14ac:dyDescent="0.25">
      <c r="A263" s="3"/>
      <c r="B263" s="3"/>
      <c r="C263" s="3"/>
      <c r="D263" s="3"/>
      <c r="E263" s="4"/>
      <c r="F263" s="3"/>
      <c r="G263" s="3"/>
      <c r="H263" s="3"/>
      <c r="I263" s="1"/>
    </row>
    <row r="264" spans="1:9" ht="14.25" customHeight="1" x14ac:dyDescent="0.25">
      <c r="A264" s="3"/>
      <c r="B264" s="3"/>
      <c r="C264" s="3"/>
      <c r="D264" s="3"/>
      <c r="E264" s="4"/>
      <c r="F264" s="3"/>
      <c r="G264" s="3"/>
      <c r="H264" s="3"/>
      <c r="I264" s="1"/>
    </row>
    <row r="265" spans="1:9" ht="14.25" customHeight="1" x14ac:dyDescent="0.25">
      <c r="A265" s="3"/>
      <c r="B265" s="3"/>
      <c r="C265" s="3"/>
      <c r="D265" s="3"/>
      <c r="E265" s="4"/>
      <c r="F265" s="3"/>
      <c r="G265" s="3"/>
      <c r="H265" s="3"/>
      <c r="I265" s="1"/>
    </row>
    <row r="266" spans="1:9" ht="14.25" customHeight="1" x14ac:dyDescent="0.25">
      <c r="A266" s="3"/>
      <c r="B266" s="3"/>
      <c r="C266" s="3"/>
      <c r="D266" s="3"/>
      <c r="E266" s="4"/>
      <c r="F266" s="3"/>
      <c r="G266" s="3"/>
      <c r="H266" s="3"/>
      <c r="I266" s="1"/>
    </row>
    <row r="267" spans="1:9" ht="14.25" customHeight="1" x14ac:dyDescent="0.25">
      <c r="A267" s="3"/>
      <c r="B267" s="3"/>
      <c r="C267" s="3"/>
      <c r="D267" s="3"/>
      <c r="E267" s="4"/>
      <c r="F267" s="3"/>
      <c r="G267" s="3"/>
      <c r="H267" s="3"/>
      <c r="I267" s="1"/>
    </row>
    <row r="268" spans="1:9" ht="14.25" customHeight="1" x14ac:dyDescent="0.25">
      <c r="A268" s="3"/>
      <c r="B268" s="3"/>
      <c r="C268" s="3"/>
      <c r="D268" s="3"/>
      <c r="E268" s="4"/>
      <c r="F268" s="3"/>
      <c r="G268" s="3"/>
      <c r="H268" s="3"/>
      <c r="I268" s="1"/>
    </row>
    <row r="269" spans="1:9" ht="14.25" customHeight="1" x14ac:dyDescent="0.25">
      <c r="A269" s="3"/>
      <c r="B269" s="3"/>
      <c r="C269" s="3"/>
      <c r="D269" s="3"/>
      <c r="E269" s="4"/>
      <c r="F269" s="3"/>
      <c r="G269" s="3"/>
      <c r="H269" s="3"/>
      <c r="I269" s="1"/>
    </row>
    <row r="270" spans="1:9" ht="14.25" customHeight="1" x14ac:dyDescent="0.25">
      <c r="A270" s="3"/>
      <c r="B270" s="3"/>
      <c r="C270" s="3"/>
      <c r="D270" s="3"/>
      <c r="E270" s="4"/>
      <c r="F270" s="3"/>
      <c r="G270" s="3"/>
      <c r="H270" s="3"/>
      <c r="I270" s="1"/>
    </row>
    <row r="271" spans="1:9" ht="14.25" customHeight="1" x14ac:dyDescent="0.25">
      <c r="A271" s="3"/>
      <c r="B271" s="3"/>
      <c r="C271" s="3"/>
      <c r="D271" s="3"/>
      <c r="E271" s="4"/>
      <c r="F271" s="3"/>
      <c r="G271" s="3"/>
      <c r="H271" s="3"/>
      <c r="I271" s="1"/>
    </row>
    <row r="272" spans="1:9" ht="14.25" customHeight="1" x14ac:dyDescent="0.25">
      <c r="A272" s="3"/>
      <c r="B272" s="3"/>
      <c r="C272" s="3"/>
      <c r="D272" s="3"/>
      <c r="E272" s="4"/>
      <c r="F272" s="3"/>
      <c r="G272" s="3"/>
      <c r="H272" s="3"/>
      <c r="I272" s="1"/>
    </row>
    <row r="273" spans="1:9" ht="14.25" customHeight="1" x14ac:dyDescent="0.25">
      <c r="A273" s="3"/>
      <c r="B273" s="3"/>
      <c r="C273" s="3"/>
      <c r="D273" s="3"/>
      <c r="E273" s="4"/>
      <c r="F273" s="3"/>
      <c r="G273" s="3"/>
      <c r="H273" s="3"/>
      <c r="I273" s="1"/>
    </row>
    <row r="274" spans="1:9" ht="14.25" customHeight="1" x14ac:dyDescent="0.25">
      <c r="A274" s="3"/>
      <c r="B274" s="3"/>
      <c r="C274" s="3"/>
      <c r="D274" s="3"/>
      <c r="E274" s="4"/>
      <c r="F274" s="3"/>
      <c r="G274" s="3"/>
      <c r="H274" s="3"/>
      <c r="I274" s="1"/>
    </row>
    <row r="275" spans="1:9" ht="14.25" customHeight="1" x14ac:dyDescent="0.25">
      <c r="A275" s="3"/>
      <c r="B275" s="3"/>
      <c r="C275" s="3"/>
      <c r="D275" s="3"/>
      <c r="E275" s="4"/>
      <c r="F275" s="3"/>
      <c r="G275" s="3"/>
      <c r="H275" s="3"/>
      <c r="I275" s="1"/>
    </row>
    <row r="276" spans="1:9" ht="14.25" customHeight="1" x14ac:dyDescent="0.25">
      <c r="A276" s="3"/>
      <c r="B276" s="3"/>
      <c r="C276" s="3"/>
      <c r="D276" s="3"/>
      <c r="E276" s="4"/>
      <c r="F276" s="3"/>
      <c r="G276" s="3"/>
      <c r="H276" s="3"/>
      <c r="I276" s="1"/>
    </row>
    <row r="277" spans="1:9" ht="14.25" customHeight="1" x14ac:dyDescent="0.25">
      <c r="A277" s="3"/>
      <c r="B277" s="3"/>
      <c r="C277" s="3"/>
      <c r="D277" s="3"/>
      <c r="E277" s="4"/>
      <c r="F277" s="3"/>
      <c r="G277" s="3"/>
      <c r="H277" s="3"/>
      <c r="I277" s="1"/>
    </row>
    <row r="278" spans="1:9" ht="14.25" customHeight="1" x14ac:dyDescent="0.25">
      <c r="A278" s="3"/>
      <c r="B278" s="3"/>
      <c r="C278" s="3"/>
      <c r="D278" s="3"/>
      <c r="E278" s="4"/>
      <c r="F278" s="3"/>
      <c r="G278" s="3"/>
      <c r="H278" s="3"/>
      <c r="I278" s="1"/>
    </row>
    <row r="279" spans="1:9" ht="14.25" customHeight="1" x14ac:dyDescent="0.25">
      <c r="A279" s="3"/>
      <c r="B279" s="3"/>
      <c r="C279" s="3"/>
      <c r="D279" s="3"/>
      <c r="E279" s="4"/>
      <c r="F279" s="3"/>
      <c r="G279" s="3"/>
      <c r="H279" s="3"/>
      <c r="I279" s="1"/>
    </row>
    <row r="280" spans="1:9" ht="14.25" customHeight="1" x14ac:dyDescent="0.25">
      <c r="A280" s="3"/>
      <c r="B280" s="3"/>
      <c r="C280" s="3"/>
      <c r="D280" s="3"/>
      <c r="E280" s="4"/>
      <c r="F280" s="3"/>
      <c r="G280" s="3"/>
      <c r="H280" s="3"/>
      <c r="I280" s="1"/>
    </row>
    <row r="281" spans="1:9" ht="14.25" customHeight="1" x14ac:dyDescent="0.25">
      <c r="A281" s="3"/>
      <c r="B281" s="3"/>
      <c r="C281" s="3"/>
      <c r="D281" s="3"/>
      <c r="E281" s="4"/>
      <c r="F281" s="3"/>
      <c r="G281" s="3"/>
      <c r="H281" s="3"/>
      <c r="I281" s="1"/>
    </row>
    <row r="282" spans="1:9" ht="14.25" customHeight="1" x14ac:dyDescent="0.25">
      <c r="A282" s="3"/>
      <c r="B282" s="3"/>
      <c r="C282" s="3"/>
      <c r="D282" s="3"/>
      <c r="E282" s="4"/>
      <c r="F282" s="3"/>
      <c r="G282" s="3"/>
      <c r="H282" s="3"/>
      <c r="I282" s="1"/>
    </row>
    <row r="283" spans="1:9" ht="14.25" customHeight="1" x14ac:dyDescent="0.25">
      <c r="A283" s="3"/>
      <c r="B283" s="3"/>
      <c r="C283" s="3"/>
      <c r="D283" s="3"/>
      <c r="E283" s="4"/>
      <c r="F283" s="3"/>
      <c r="G283" s="3"/>
      <c r="H283" s="3"/>
      <c r="I283" s="1"/>
    </row>
    <row r="284" spans="1:9" ht="14.25" customHeight="1" x14ac:dyDescent="0.25">
      <c r="A284" s="3"/>
      <c r="B284" s="3"/>
      <c r="C284" s="3"/>
      <c r="D284" s="3"/>
      <c r="E284" s="4"/>
      <c r="F284" s="3"/>
      <c r="G284" s="3"/>
      <c r="H284" s="3"/>
      <c r="I284" s="1"/>
    </row>
    <row r="285" spans="1:9" ht="14.25" customHeight="1" x14ac:dyDescent="0.25">
      <c r="A285" s="3"/>
      <c r="B285" s="3"/>
      <c r="C285" s="3"/>
      <c r="D285" s="3"/>
      <c r="E285" s="4"/>
      <c r="F285" s="3"/>
      <c r="G285" s="3"/>
      <c r="H285" s="3"/>
      <c r="I285" s="1"/>
    </row>
    <row r="286" spans="1:9" ht="14.25" customHeight="1" x14ac:dyDescent="0.25">
      <c r="A286" s="3"/>
      <c r="B286" s="3"/>
      <c r="C286" s="3"/>
      <c r="D286" s="3"/>
      <c r="E286" s="4"/>
      <c r="F286" s="3"/>
      <c r="G286" s="3"/>
      <c r="H286" s="3"/>
      <c r="I286" s="1"/>
    </row>
    <row r="287" spans="1:9" ht="14.25" customHeight="1" x14ac:dyDescent="0.25">
      <c r="A287" s="3"/>
      <c r="B287" s="3"/>
      <c r="C287" s="3"/>
      <c r="D287" s="3"/>
      <c r="E287" s="4"/>
      <c r="F287" s="3"/>
      <c r="G287" s="3"/>
      <c r="H287" s="3"/>
      <c r="I287" s="1"/>
    </row>
    <row r="288" spans="1:9" ht="14.25" customHeight="1" x14ac:dyDescent="0.25">
      <c r="A288" s="3"/>
      <c r="B288" s="3"/>
      <c r="C288" s="3"/>
      <c r="D288" s="3"/>
      <c r="E288" s="4"/>
      <c r="F288" s="3"/>
      <c r="G288" s="3"/>
      <c r="H288" s="3"/>
      <c r="I288" s="1"/>
    </row>
    <row r="289" spans="1:9" ht="14.25" customHeight="1" x14ac:dyDescent="0.25">
      <c r="A289" s="3"/>
      <c r="B289" s="3"/>
      <c r="C289" s="3"/>
      <c r="D289" s="3"/>
      <c r="E289" s="4"/>
      <c r="F289" s="3"/>
      <c r="G289" s="3"/>
      <c r="H289" s="3"/>
      <c r="I289" s="1"/>
    </row>
    <row r="290" spans="1:9" ht="14.25" customHeight="1" x14ac:dyDescent="0.25">
      <c r="A290" s="3"/>
      <c r="B290" s="3"/>
      <c r="C290" s="3"/>
      <c r="D290" s="3"/>
      <c r="E290" s="4"/>
      <c r="F290" s="3"/>
      <c r="G290" s="3"/>
      <c r="H290" s="3"/>
      <c r="I290" s="1"/>
    </row>
    <row r="291" spans="1:9" ht="14.25" customHeight="1" x14ac:dyDescent="0.25">
      <c r="A291" s="3"/>
      <c r="B291" s="3"/>
      <c r="C291" s="3"/>
      <c r="D291" s="3"/>
      <c r="E291" s="4"/>
      <c r="F291" s="3"/>
      <c r="G291" s="3"/>
      <c r="H291" s="3"/>
      <c r="I291" s="1"/>
    </row>
    <row r="292" spans="1:9" ht="14.25" customHeight="1" x14ac:dyDescent="0.25">
      <c r="A292" s="3"/>
      <c r="B292" s="3"/>
      <c r="C292" s="3"/>
      <c r="D292" s="3"/>
      <c r="E292" s="4"/>
      <c r="F292" s="3"/>
      <c r="G292" s="3"/>
      <c r="H292" s="3"/>
      <c r="I292" s="1"/>
    </row>
    <row r="293" spans="1:9" ht="14.25" customHeight="1" x14ac:dyDescent="0.25">
      <c r="A293" s="3"/>
      <c r="B293" s="3"/>
      <c r="C293" s="3"/>
      <c r="D293" s="3"/>
      <c r="E293" s="4"/>
      <c r="F293" s="3"/>
      <c r="G293" s="3"/>
      <c r="H293" s="3"/>
      <c r="I293" s="1"/>
    </row>
    <row r="294" spans="1:9" ht="14.25" customHeight="1" x14ac:dyDescent="0.25">
      <c r="A294" s="3"/>
      <c r="B294" s="3"/>
      <c r="C294" s="3"/>
      <c r="D294" s="3"/>
      <c r="E294" s="4"/>
      <c r="F294" s="3"/>
      <c r="G294" s="3"/>
      <c r="H294" s="3"/>
      <c r="I294" s="1"/>
    </row>
    <row r="295" spans="1:9" ht="14.25" customHeight="1" x14ac:dyDescent="0.25">
      <c r="A295" s="3"/>
      <c r="B295" s="3"/>
      <c r="C295" s="3"/>
      <c r="D295" s="3"/>
      <c r="E295" s="4"/>
      <c r="F295" s="3"/>
      <c r="G295" s="3"/>
      <c r="H295" s="3"/>
      <c r="I295" s="1"/>
    </row>
    <row r="296" spans="1:9" ht="14.25" customHeight="1" x14ac:dyDescent="0.25">
      <c r="A296" s="3"/>
      <c r="B296" s="3"/>
      <c r="C296" s="3"/>
      <c r="D296" s="3"/>
      <c r="E296" s="4"/>
      <c r="F296" s="3"/>
      <c r="G296" s="3"/>
      <c r="H296" s="3"/>
      <c r="I296" s="1"/>
    </row>
    <row r="297" spans="1:9" ht="14.25" customHeight="1" x14ac:dyDescent="0.25">
      <c r="A297" s="3"/>
      <c r="B297" s="3"/>
      <c r="C297" s="3"/>
      <c r="D297" s="3"/>
      <c r="E297" s="4"/>
      <c r="F297" s="3"/>
      <c r="G297" s="3"/>
      <c r="H297" s="3"/>
      <c r="I297" s="1"/>
    </row>
    <row r="298" spans="1:9" ht="14.25" customHeight="1" x14ac:dyDescent="0.25">
      <c r="A298" s="3"/>
      <c r="B298" s="3"/>
      <c r="C298" s="3"/>
      <c r="D298" s="3"/>
      <c r="E298" s="4"/>
      <c r="F298" s="3"/>
      <c r="G298" s="3"/>
      <c r="H298" s="3"/>
      <c r="I298" s="1"/>
    </row>
    <row r="299" spans="1:9" ht="14.25" customHeight="1" x14ac:dyDescent="0.25">
      <c r="A299" s="3"/>
      <c r="B299" s="3"/>
      <c r="C299" s="3"/>
      <c r="D299" s="3"/>
      <c r="E299" s="4"/>
      <c r="F299" s="3"/>
      <c r="G299" s="3"/>
      <c r="H299" s="3"/>
      <c r="I299" s="1"/>
    </row>
    <row r="300" spans="1:9" ht="14.25" customHeight="1" x14ac:dyDescent="0.25">
      <c r="A300" s="3"/>
      <c r="B300" s="3"/>
      <c r="C300" s="3"/>
      <c r="D300" s="3"/>
      <c r="E300" s="4"/>
      <c r="F300" s="3"/>
      <c r="G300" s="3"/>
      <c r="H300" s="3"/>
      <c r="I300" s="1"/>
    </row>
    <row r="301" spans="1:9" ht="14.25" customHeight="1" x14ac:dyDescent="0.25">
      <c r="A301" s="3"/>
      <c r="B301" s="3"/>
      <c r="C301" s="3"/>
      <c r="D301" s="3"/>
      <c r="E301" s="4"/>
      <c r="F301" s="3"/>
      <c r="G301" s="3"/>
      <c r="H301" s="3"/>
      <c r="I301" s="1"/>
    </row>
    <row r="302" spans="1:9" ht="14.25" customHeight="1" x14ac:dyDescent="0.25">
      <c r="A302" s="3"/>
      <c r="B302" s="3"/>
      <c r="C302" s="3"/>
      <c r="D302" s="3"/>
      <c r="E302" s="4"/>
      <c r="F302" s="3"/>
      <c r="G302" s="3"/>
      <c r="H302" s="3"/>
      <c r="I302" s="1"/>
    </row>
    <row r="303" spans="1:9" ht="14.25" customHeight="1" x14ac:dyDescent="0.25">
      <c r="A303" s="3"/>
      <c r="B303" s="3"/>
      <c r="C303" s="3"/>
      <c r="D303" s="3"/>
      <c r="E303" s="4"/>
      <c r="F303" s="3"/>
      <c r="G303" s="3"/>
      <c r="H303" s="3"/>
      <c r="I303" s="1"/>
    </row>
    <row r="304" spans="1:9" ht="14.25" customHeight="1" x14ac:dyDescent="0.25">
      <c r="A304" s="3"/>
      <c r="B304" s="3"/>
      <c r="C304" s="3"/>
      <c r="D304" s="3"/>
      <c r="E304" s="4"/>
      <c r="F304" s="3"/>
      <c r="G304" s="3"/>
      <c r="H304" s="3"/>
      <c r="I304" s="1"/>
    </row>
    <row r="305" spans="1:9" ht="14.25" customHeight="1" x14ac:dyDescent="0.25">
      <c r="A305" s="3"/>
      <c r="B305" s="3"/>
      <c r="C305" s="3"/>
      <c r="D305" s="3"/>
      <c r="E305" s="4"/>
      <c r="F305" s="3"/>
      <c r="G305" s="3"/>
      <c r="H305" s="3"/>
      <c r="I305" s="1"/>
    </row>
    <row r="306" spans="1:9" ht="14.25" customHeight="1" x14ac:dyDescent="0.25">
      <c r="A306" s="3"/>
      <c r="B306" s="3"/>
      <c r="C306" s="3"/>
      <c r="D306" s="3"/>
      <c r="E306" s="4"/>
      <c r="F306" s="3"/>
      <c r="G306" s="3"/>
      <c r="H306" s="3"/>
      <c r="I306" s="1"/>
    </row>
    <row r="307" spans="1:9" ht="14.25" customHeight="1" x14ac:dyDescent="0.25">
      <c r="A307" s="3"/>
      <c r="B307" s="3"/>
      <c r="C307" s="3"/>
      <c r="D307" s="3"/>
      <c r="E307" s="4"/>
      <c r="F307" s="3"/>
      <c r="G307" s="3"/>
      <c r="H307" s="3"/>
      <c r="I307" s="1"/>
    </row>
    <row r="308" spans="1:9" ht="14.25" customHeight="1" x14ac:dyDescent="0.25">
      <c r="A308" s="3"/>
      <c r="B308" s="3"/>
      <c r="C308" s="3"/>
      <c r="D308" s="3"/>
      <c r="E308" s="4"/>
      <c r="F308" s="3"/>
      <c r="G308" s="3"/>
      <c r="H308" s="3"/>
      <c r="I308" s="1"/>
    </row>
    <row r="309" spans="1:9" ht="14.25" customHeight="1" x14ac:dyDescent="0.25">
      <c r="A309" s="3"/>
      <c r="B309" s="3"/>
      <c r="C309" s="3"/>
      <c r="D309" s="3"/>
      <c r="E309" s="4"/>
      <c r="F309" s="3"/>
      <c r="G309" s="3"/>
      <c r="H309" s="3"/>
      <c r="I309" s="1"/>
    </row>
    <row r="310" spans="1:9" ht="14.25" customHeight="1" x14ac:dyDescent="0.25">
      <c r="A310" s="3"/>
      <c r="B310" s="3"/>
      <c r="C310" s="3"/>
      <c r="D310" s="3"/>
      <c r="E310" s="4"/>
      <c r="F310" s="3"/>
      <c r="G310" s="3"/>
      <c r="H310" s="3"/>
      <c r="I310" s="1"/>
    </row>
    <row r="311" spans="1:9" ht="14.25" customHeight="1" x14ac:dyDescent="0.25">
      <c r="A311" s="3"/>
      <c r="B311" s="3"/>
      <c r="C311" s="3"/>
      <c r="D311" s="3"/>
      <c r="E311" s="4"/>
      <c r="F311" s="3"/>
      <c r="G311" s="3"/>
      <c r="H311" s="3"/>
      <c r="I311" s="1"/>
    </row>
    <row r="312" spans="1:9" ht="14.25" customHeight="1" x14ac:dyDescent="0.25">
      <c r="A312" s="3"/>
      <c r="B312" s="3"/>
      <c r="C312" s="3"/>
      <c r="D312" s="3"/>
      <c r="E312" s="4"/>
      <c r="F312" s="3"/>
      <c r="G312" s="3"/>
      <c r="H312" s="3"/>
      <c r="I312" s="1"/>
    </row>
    <row r="313" spans="1:9" ht="14.25" customHeight="1" x14ac:dyDescent="0.25">
      <c r="A313" s="3"/>
      <c r="B313" s="3"/>
      <c r="C313" s="3"/>
      <c r="D313" s="3"/>
      <c r="E313" s="4"/>
      <c r="F313" s="3"/>
      <c r="G313" s="3"/>
      <c r="H313" s="3"/>
      <c r="I313" s="1"/>
    </row>
    <row r="314" spans="1:9" ht="14.25" customHeight="1" x14ac:dyDescent="0.25">
      <c r="A314" s="3"/>
      <c r="B314" s="3"/>
      <c r="C314" s="3"/>
      <c r="D314" s="3"/>
      <c r="E314" s="4"/>
      <c r="F314" s="3"/>
      <c r="G314" s="3"/>
      <c r="H314" s="3"/>
      <c r="I314" s="1"/>
    </row>
    <row r="315" spans="1:9" ht="14.25" customHeight="1" x14ac:dyDescent="0.25">
      <c r="A315" s="3"/>
      <c r="B315" s="3"/>
      <c r="C315" s="3"/>
      <c r="D315" s="3"/>
      <c r="E315" s="4"/>
      <c r="F315" s="3"/>
      <c r="G315" s="3"/>
      <c r="H315" s="3"/>
      <c r="I315" s="1"/>
    </row>
    <row r="316" spans="1:9" ht="14.25" customHeight="1" x14ac:dyDescent="0.25">
      <c r="A316" s="3"/>
      <c r="B316" s="3"/>
      <c r="C316" s="3"/>
      <c r="D316" s="3"/>
      <c r="E316" s="4"/>
      <c r="F316" s="3"/>
      <c r="G316" s="3"/>
      <c r="H316" s="3"/>
      <c r="I316" s="1"/>
    </row>
    <row r="317" spans="1:9" ht="14.25" customHeight="1" x14ac:dyDescent="0.25">
      <c r="A317" s="3"/>
      <c r="B317" s="3"/>
      <c r="C317" s="3"/>
      <c r="D317" s="3"/>
      <c r="E317" s="4"/>
      <c r="F317" s="3"/>
      <c r="G317" s="3"/>
      <c r="H317" s="3"/>
      <c r="I317" s="1"/>
    </row>
    <row r="318" spans="1:9" ht="14.25" customHeight="1" x14ac:dyDescent="0.25">
      <c r="A318" s="3"/>
      <c r="B318" s="3"/>
      <c r="C318" s="3"/>
      <c r="D318" s="3"/>
      <c r="E318" s="4"/>
      <c r="F318" s="3"/>
      <c r="G318" s="3"/>
      <c r="H318" s="3"/>
      <c r="I318" s="1"/>
    </row>
    <row r="319" spans="1:9" ht="14.25" customHeight="1" x14ac:dyDescent="0.25">
      <c r="A319" s="3"/>
      <c r="B319" s="3"/>
      <c r="C319" s="3"/>
      <c r="D319" s="3"/>
      <c r="E319" s="4"/>
      <c r="F319" s="3"/>
      <c r="G319" s="3"/>
      <c r="H319" s="3"/>
      <c r="I319" s="1"/>
    </row>
    <row r="320" spans="1:9" ht="14.25" customHeight="1" x14ac:dyDescent="0.25">
      <c r="A320" s="3"/>
      <c r="B320" s="3"/>
      <c r="C320" s="3"/>
      <c r="D320" s="3"/>
      <c r="E320" s="4"/>
      <c r="F320" s="3"/>
      <c r="G320" s="3"/>
      <c r="H320" s="3"/>
      <c r="I320" s="1"/>
    </row>
    <row r="321" spans="1:9" ht="14.25" customHeight="1" x14ac:dyDescent="0.25">
      <c r="A321" s="3"/>
      <c r="B321" s="3"/>
      <c r="C321" s="3"/>
      <c r="D321" s="3"/>
      <c r="E321" s="4"/>
      <c r="F321" s="3"/>
      <c r="G321" s="3"/>
      <c r="H321" s="3"/>
      <c r="I321" s="1"/>
    </row>
    <row r="322" spans="1:9" ht="14.25" customHeight="1" x14ac:dyDescent="0.25">
      <c r="A322" s="3"/>
      <c r="B322" s="3"/>
      <c r="C322" s="3"/>
      <c r="D322" s="3"/>
      <c r="E322" s="4"/>
      <c r="F322" s="3"/>
      <c r="G322" s="3"/>
      <c r="H322" s="3"/>
      <c r="I322" s="1"/>
    </row>
    <row r="323" spans="1:9" ht="14.25" customHeight="1" x14ac:dyDescent="0.25">
      <c r="A323" s="3"/>
      <c r="B323" s="3"/>
      <c r="C323" s="3"/>
      <c r="D323" s="3"/>
      <c r="E323" s="4"/>
      <c r="F323" s="3"/>
      <c r="G323" s="3"/>
      <c r="H323" s="3"/>
      <c r="I323" s="1"/>
    </row>
    <row r="324" spans="1:9" ht="14.25" customHeight="1" x14ac:dyDescent="0.25">
      <c r="A324" s="3"/>
      <c r="B324" s="3"/>
      <c r="C324" s="3"/>
      <c r="D324" s="3"/>
      <c r="E324" s="4"/>
      <c r="F324" s="3"/>
      <c r="G324" s="3"/>
      <c r="H324" s="3"/>
      <c r="I324" s="1"/>
    </row>
    <row r="325" spans="1:9" ht="14.25" customHeight="1" x14ac:dyDescent="0.25">
      <c r="A325" s="3"/>
      <c r="B325" s="3"/>
      <c r="C325" s="3"/>
      <c r="D325" s="3"/>
      <c r="E325" s="4"/>
      <c r="F325" s="3"/>
      <c r="G325" s="3"/>
      <c r="H325" s="3"/>
      <c r="I325" s="1"/>
    </row>
    <row r="326" spans="1:9" ht="14.25" customHeight="1" x14ac:dyDescent="0.25">
      <c r="A326" s="3"/>
      <c r="B326" s="3"/>
      <c r="C326" s="3"/>
      <c r="D326" s="3"/>
      <c r="E326" s="4"/>
      <c r="F326" s="3"/>
      <c r="G326" s="3"/>
      <c r="H326" s="3"/>
      <c r="I326" s="1"/>
    </row>
    <row r="327" spans="1:9" ht="14.25" customHeight="1" x14ac:dyDescent="0.25">
      <c r="A327" s="3"/>
      <c r="B327" s="3"/>
      <c r="C327" s="3"/>
      <c r="D327" s="3"/>
      <c r="E327" s="4"/>
      <c r="F327" s="3"/>
      <c r="G327" s="3"/>
      <c r="H327" s="3"/>
      <c r="I327" s="1"/>
    </row>
    <row r="328" spans="1:9" ht="14.25" customHeight="1" x14ac:dyDescent="0.25">
      <c r="A328" s="3"/>
      <c r="B328" s="3"/>
      <c r="C328" s="3"/>
      <c r="D328" s="3"/>
      <c r="E328" s="4"/>
      <c r="F328" s="3"/>
      <c r="G328" s="3"/>
      <c r="H328" s="3"/>
      <c r="I328" s="1"/>
    </row>
    <row r="329" spans="1:9" ht="14.25" customHeight="1" x14ac:dyDescent="0.25">
      <c r="A329" s="3"/>
      <c r="B329" s="3"/>
      <c r="C329" s="3"/>
      <c r="D329" s="3"/>
      <c r="E329" s="4"/>
      <c r="F329" s="3"/>
      <c r="G329" s="3"/>
      <c r="H329" s="3"/>
      <c r="I329" s="1"/>
    </row>
    <row r="330" spans="1:9" ht="14.25" customHeight="1" x14ac:dyDescent="0.25">
      <c r="A330" s="3"/>
      <c r="B330" s="3"/>
      <c r="C330" s="3"/>
      <c r="D330" s="3"/>
      <c r="E330" s="4"/>
      <c r="F330" s="3"/>
      <c r="G330" s="3"/>
      <c r="H330" s="3"/>
      <c r="I330" s="1"/>
    </row>
    <row r="331" spans="1:9" ht="14.25" customHeight="1" x14ac:dyDescent="0.25">
      <c r="A331" s="3"/>
      <c r="B331" s="3"/>
      <c r="C331" s="3"/>
      <c r="D331" s="3"/>
      <c r="E331" s="4"/>
      <c r="F331" s="3"/>
      <c r="G331" s="3"/>
      <c r="H331" s="3"/>
      <c r="I331" s="1"/>
    </row>
    <row r="332" spans="1:9" ht="14.25" customHeight="1" x14ac:dyDescent="0.25">
      <c r="A332" s="3"/>
      <c r="B332" s="3"/>
      <c r="C332" s="3"/>
      <c r="D332" s="3"/>
      <c r="E332" s="4"/>
      <c r="F332" s="3"/>
      <c r="G332" s="3"/>
      <c r="H332" s="3"/>
      <c r="I332" s="1"/>
    </row>
    <row r="333" spans="1:9" ht="14.25" customHeight="1" x14ac:dyDescent="0.25">
      <c r="A333" s="3"/>
      <c r="B333" s="3"/>
      <c r="C333" s="3"/>
      <c r="D333" s="3"/>
      <c r="E333" s="4"/>
      <c r="F333" s="3"/>
      <c r="G333" s="3"/>
      <c r="H333" s="3"/>
      <c r="I333" s="1"/>
    </row>
    <row r="334" spans="1:9" ht="14.25" customHeight="1" x14ac:dyDescent="0.25">
      <c r="A334" s="3"/>
      <c r="B334" s="3"/>
      <c r="C334" s="3"/>
      <c r="D334" s="3"/>
      <c r="E334" s="4"/>
      <c r="F334" s="3"/>
      <c r="G334" s="3"/>
      <c r="H334" s="3"/>
      <c r="I334" s="1"/>
    </row>
    <row r="335" spans="1:9" ht="14.25" customHeight="1" x14ac:dyDescent="0.25">
      <c r="A335" s="3"/>
      <c r="B335" s="3"/>
      <c r="C335" s="3"/>
      <c r="D335" s="3"/>
      <c r="E335" s="4"/>
      <c r="F335" s="3"/>
      <c r="G335" s="3"/>
      <c r="H335" s="3"/>
      <c r="I335" s="1"/>
    </row>
    <row r="336" spans="1:9" ht="14.25" customHeight="1" x14ac:dyDescent="0.25">
      <c r="A336" s="3"/>
      <c r="B336" s="3"/>
      <c r="C336" s="3"/>
      <c r="D336" s="3"/>
      <c r="E336" s="4"/>
      <c r="F336" s="3"/>
      <c r="G336" s="3"/>
      <c r="H336" s="3"/>
      <c r="I336" s="1"/>
    </row>
    <row r="337" spans="1:9" ht="14.25" customHeight="1" x14ac:dyDescent="0.25">
      <c r="A337" s="3"/>
      <c r="B337" s="3"/>
      <c r="C337" s="3"/>
      <c r="D337" s="3"/>
      <c r="E337" s="4"/>
      <c r="F337" s="3"/>
      <c r="G337" s="3"/>
      <c r="H337" s="3"/>
      <c r="I337" s="1"/>
    </row>
    <row r="338" spans="1:9" ht="14.25" customHeight="1" x14ac:dyDescent="0.25">
      <c r="A338" s="3"/>
      <c r="B338" s="3"/>
      <c r="C338" s="3"/>
      <c r="D338" s="3"/>
      <c r="E338" s="4"/>
      <c r="F338" s="3"/>
      <c r="G338" s="3"/>
      <c r="H338" s="3"/>
      <c r="I338" s="1"/>
    </row>
    <row r="339" spans="1:9" ht="14.25" customHeight="1" x14ac:dyDescent="0.25">
      <c r="A339" s="3"/>
      <c r="B339" s="3"/>
      <c r="C339" s="3"/>
      <c r="D339" s="3"/>
      <c r="E339" s="4"/>
      <c r="F339" s="3"/>
      <c r="G339" s="3"/>
      <c r="H339" s="3"/>
      <c r="I339" s="1"/>
    </row>
    <row r="340" spans="1:9" ht="14.25" customHeight="1" x14ac:dyDescent="0.25">
      <c r="A340" s="3"/>
      <c r="B340" s="3"/>
      <c r="C340" s="3"/>
      <c r="D340" s="3"/>
      <c r="E340" s="4"/>
      <c r="F340" s="3"/>
      <c r="G340" s="3"/>
      <c r="H340" s="3"/>
      <c r="I340" s="1"/>
    </row>
    <row r="341" spans="1:9" ht="14.25" customHeight="1" x14ac:dyDescent="0.25">
      <c r="A341" s="3"/>
      <c r="B341" s="3"/>
      <c r="C341" s="3"/>
      <c r="D341" s="3"/>
      <c r="E341" s="4"/>
      <c r="F341" s="3"/>
      <c r="G341" s="3"/>
      <c r="H341" s="3"/>
      <c r="I341" s="1"/>
    </row>
    <row r="342" spans="1:9" ht="14.25" customHeight="1" x14ac:dyDescent="0.25">
      <c r="A342" s="3"/>
      <c r="B342" s="3"/>
      <c r="C342" s="3"/>
      <c r="D342" s="3"/>
      <c r="E342" s="4"/>
      <c r="F342" s="3"/>
      <c r="G342" s="3"/>
      <c r="H342" s="3"/>
      <c r="I342" s="1"/>
    </row>
    <row r="343" spans="1:9" ht="14.25" customHeight="1" x14ac:dyDescent="0.25">
      <c r="A343" s="3"/>
      <c r="B343" s="3"/>
      <c r="C343" s="3"/>
      <c r="D343" s="3"/>
      <c r="E343" s="4"/>
      <c r="F343" s="3"/>
      <c r="G343" s="3"/>
      <c r="H343" s="3"/>
      <c r="I343" s="1"/>
    </row>
    <row r="344" spans="1:9" ht="14.25" customHeight="1" x14ac:dyDescent="0.25">
      <c r="A344" s="3"/>
      <c r="B344" s="3"/>
      <c r="C344" s="3"/>
      <c r="D344" s="3"/>
      <c r="E344" s="4"/>
      <c r="F344" s="3"/>
      <c r="G344" s="3"/>
      <c r="H344" s="3"/>
      <c r="I344" s="1"/>
    </row>
    <row r="345" spans="1:9" ht="14.25" customHeight="1" x14ac:dyDescent="0.25">
      <c r="A345" s="3"/>
      <c r="B345" s="3"/>
      <c r="C345" s="3"/>
      <c r="D345" s="3"/>
      <c r="E345" s="4"/>
      <c r="F345" s="3"/>
      <c r="G345" s="3"/>
      <c r="H345" s="3"/>
      <c r="I345" s="1"/>
    </row>
    <row r="346" spans="1:9" ht="14.25" customHeight="1" x14ac:dyDescent="0.25">
      <c r="A346" s="3"/>
      <c r="B346" s="3"/>
      <c r="C346" s="3"/>
      <c r="D346" s="3"/>
      <c r="E346" s="4"/>
      <c r="F346" s="3"/>
      <c r="G346" s="3"/>
      <c r="H346" s="3"/>
      <c r="I346" s="1"/>
    </row>
    <row r="347" spans="1:9" ht="14.25" customHeight="1" x14ac:dyDescent="0.25">
      <c r="A347" s="3"/>
      <c r="B347" s="3"/>
      <c r="C347" s="3"/>
      <c r="D347" s="3"/>
      <c r="E347" s="4"/>
      <c r="F347" s="3"/>
      <c r="G347" s="3"/>
      <c r="H347" s="3"/>
      <c r="I347" s="1"/>
    </row>
    <row r="348" spans="1:9" ht="14.25" customHeight="1" x14ac:dyDescent="0.25">
      <c r="A348" s="3"/>
      <c r="B348" s="3"/>
      <c r="C348" s="3"/>
      <c r="D348" s="3"/>
      <c r="E348" s="4"/>
      <c r="F348" s="3"/>
      <c r="G348" s="3"/>
      <c r="H348" s="3"/>
      <c r="I348" s="1"/>
    </row>
    <row r="349" spans="1:9" ht="14.25" customHeight="1" x14ac:dyDescent="0.25">
      <c r="A349" s="3"/>
      <c r="B349" s="3"/>
      <c r="C349" s="3"/>
      <c r="D349" s="3"/>
      <c r="E349" s="4"/>
      <c r="F349" s="3"/>
      <c r="G349" s="3"/>
      <c r="H349" s="3"/>
      <c r="I349" s="1"/>
    </row>
    <row r="350" spans="1:9" ht="14.25" customHeight="1" x14ac:dyDescent="0.25">
      <c r="A350" s="3"/>
      <c r="B350" s="3"/>
      <c r="C350" s="3"/>
      <c r="D350" s="3"/>
      <c r="E350" s="4"/>
      <c r="F350" s="3"/>
      <c r="G350" s="3"/>
      <c r="H350" s="3"/>
      <c r="I350" s="1"/>
    </row>
    <row r="351" spans="1:9" ht="14.25" customHeight="1" x14ac:dyDescent="0.25">
      <c r="A351" s="3"/>
      <c r="B351" s="3"/>
      <c r="C351" s="3"/>
      <c r="D351" s="3"/>
      <c r="E351" s="4"/>
      <c r="F351" s="3"/>
      <c r="G351" s="3"/>
      <c r="H351" s="3"/>
      <c r="I351" s="1"/>
    </row>
    <row r="352" spans="1:9" ht="14.25" customHeight="1" x14ac:dyDescent="0.25">
      <c r="A352" s="3"/>
      <c r="B352" s="3"/>
      <c r="C352" s="3"/>
      <c r="D352" s="3"/>
      <c r="E352" s="4"/>
      <c r="F352" s="3"/>
      <c r="G352" s="3"/>
      <c r="H352" s="3"/>
      <c r="I352" s="1"/>
    </row>
    <row r="353" spans="1:9" ht="14.25" customHeight="1" x14ac:dyDescent="0.25">
      <c r="A353" s="3"/>
      <c r="B353" s="3"/>
      <c r="C353" s="3"/>
      <c r="D353" s="3"/>
      <c r="E353" s="4"/>
      <c r="F353" s="3"/>
      <c r="G353" s="3"/>
      <c r="H353" s="3"/>
      <c r="I353" s="1"/>
    </row>
    <row r="354" spans="1:9" ht="14.25" customHeight="1" x14ac:dyDescent="0.25">
      <c r="A354" s="3"/>
      <c r="B354" s="3"/>
      <c r="C354" s="3"/>
      <c r="D354" s="3"/>
      <c r="E354" s="4"/>
      <c r="F354" s="3"/>
      <c r="G354" s="3"/>
      <c r="H354" s="3"/>
      <c r="I354" s="1"/>
    </row>
    <row r="355" spans="1:9" ht="14.25" customHeight="1" x14ac:dyDescent="0.25">
      <c r="A355" s="3"/>
      <c r="B355" s="3"/>
      <c r="C355" s="3"/>
      <c r="D355" s="3"/>
      <c r="E355" s="4"/>
      <c r="F355" s="3"/>
      <c r="G355" s="3"/>
      <c r="H355" s="3"/>
      <c r="I355" s="1"/>
    </row>
    <row r="356" spans="1:9" ht="14.25" customHeight="1" x14ac:dyDescent="0.25">
      <c r="A356" s="3"/>
      <c r="B356" s="3"/>
      <c r="C356" s="3"/>
      <c r="D356" s="3"/>
      <c r="E356" s="4"/>
      <c r="F356" s="3"/>
      <c r="G356" s="3"/>
      <c r="H356" s="3"/>
      <c r="I356" s="1"/>
    </row>
    <row r="357" spans="1:9" ht="14.25" customHeight="1" x14ac:dyDescent="0.25">
      <c r="A357" s="3"/>
      <c r="B357" s="3"/>
      <c r="C357" s="3"/>
      <c r="D357" s="3"/>
      <c r="E357" s="4"/>
      <c r="F357" s="3"/>
      <c r="G357" s="3"/>
      <c r="H357" s="3"/>
      <c r="I357" s="1"/>
    </row>
    <row r="358" spans="1:9" ht="14.25" customHeight="1" x14ac:dyDescent="0.25">
      <c r="A358" s="3"/>
      <c r="B358" s="3"/>
      <c r="C358" s="3"/>
      <c r="D358" s="3"/>
      <c r="E358" s="4"/>
      <c r="F358" s="3"/>
      <c r="G358" s="3"/>
      <c r="H358" s="3"/>
      <c r="I358" s="1"/>
    </row>
    <row r="359" spans="1:9" ht="14.25" customHeight="1" x14ac:dyDescent="0.25">
      <c r="A359" s="3"/>
      <c r="B359" s="3"/>
      <c r="C359" s="3"/>
      <c r="D359" s="3"/>
      <c r="E359" s="4"/>
      <c r="F359" s="3"/>
      <c r="G359" s="3"/>
      <c r="H359" s="3"/>
      <c r="I359" s="1"/>
    </row>
    <row r="360" spans="1:9" ht="14.25" customHeight="1" x14ac:dyDescent="0.25">
      <c r="A360" s="3"/>
      <c r="B360" s="3"/>
      <c r="C360" s="3"/>
      <c r="D360" s="3"/>
      <c r="E360" s="4"/>
      <c r="F360" s="3"/>
      <c r="G360" s="3"/>
      <c r="H360" s="3"/>
      <c r="I360" s="1"/>
    </row>
    <row r="361" spans="1:9" ht="14.25" customHeight="1" x14ac:dyDescent="0.25">
      <c r="A361" s="3"/>
      <c r="B361" s="3"/>
      <c r="C361" s="3"/>
      <c r="D361" s="3"/>
      <c r="E361" s="4"/>
      <c r="F361" s="3"/>
      <c r="G361" s="3"/>
      <c r="H361" s="3"/>
      <c r="I361" s="1"/>
    </row>
    <row r="362" spans="1:9" ht="14.25" customHeight="1" x14ac:dyDescent="0.25">
      <c r="A362" s="3"/>
      <c r="B362" s="3"/>
      <c r="C362" s="3"/>
      <c r="D362" s="3"/>
      <c r="E362" s="4"/>
      <c r="F362" s="3"/>
      <c r="G362" s="3"/>
      <c r="H362" s="3"/>
      <c r="I362" s="1"/>
    </row>
    <row r="363" spans="1:9" ht="14.25" customHeight="1" x14ac:dyDescent="0.25">
      <c r="A363" s="3"/>
      <c r="B363" s="3"/>
      <c r="C363" s="3"/>
      <c r="D363" s="3"/>
      <c r="E363" s="4"/>
      <c r="F363" s="3"/>
      <c r="G363" s="3"/>
      <c r="H363" s="3"/>
      <c r="I363" s="1"/>
    </row>
    <row r="364" spans="1:9" ht="14.25" customHeight="1" x14ac:dyDescent="0.25">
      <c r="A364" s="3"/>
      <c r="B364" s="3"/>
      <c r="C364" s="3"/>
      <c r="D364" s="3"/>
      <c r="E364" s="4"/>
      <c r="F364" s="3"/>
      <c r="G364" s="3"/>
      <c r="H364" s="3"/>
      <c r="I364" s="1"/>
    </row>
    <row r="365" spans="1:9" ht="14.25" customHeight="1" x14ac:dyDescent="0.25">
      <c r="A365" s="3"/>
      <c r="B365" s="3"/>
      <c r="C365" s="3"/>
      <c r="D365" s="3"/>
      <c r="E365" s="4"/>
      <c r="F365" s="3"/>
      <c r="G365" s="3"/>
      <c r="H365" s="3"/>
      <c r="I365" s="1"/>
    </row>
    <row r="366" spans="1:9" ht="14.25" customHeight="1" x14ac:dyDescent="0.25">
      <c r="A366" s="3"/>
      <c r="B366" s="3"/>
      <c r="C366" s="3"/>
      <c r="D366" s="3"/>
      <c r="E366" s="4"/>
      <c r="F366" s="3"/>
      <c r="G366" s="3"/>
      <c r="H366" s="3"/>
      <c r="I366" s="1"/>
    </row>
    <row r="367" spans="1:9" ht="14.25" customHeight="1" x14ac:dyDescent="0.25">
      <c r="A367" s="3"/>
      <c r="B367" s="3"/>
      <c r="C367" s="3"/>
      <c r="D367" s="3"/>
      <c r="E367" s="4"/>
      <c r="F367" s="3"/>
      <c r="G367" s="3"/>
      <c r="H367" s="3"/>
      <c r="I367" s="1"/>
    </row>
    <row r="368" spans="1:9" ht="14.25" customHeight="1" x14ac:dyDescent="0.25">
      <c r="A368" s="3"/>
      <c r="B368" s="3"/>
      <c r="C368" s="3"/>
      <c r="D368" s="3"/>
      <c r="E368" s="4"/>
      <c r="F368" s="3"/>
      <c r="G368" s="3"/>
      <c r="H368" s="3"/>
      <c r="I368" s="1"/>
    </row>
    <row r="369" spans="1:9" ht="14.25" customHeight="1" x14ac:dyDescent="0.25">
      <c r="A369" s="3"/>
      <c r="B369" s="3"/>
      <c r="C369" s="3"/>
      <c r="D369" s="3"/>
      <c r="E369" s="4"/>
      <c r="F369" s="3"/>
      <c r="G369" s="3"/>
      <c r="H369" s="3"/>
      <c r="I369" s="1"/>
    </row>
    <row r="370" spans="1:9" ht="14.25" customHeight="1" x14ac:dyDescent="0.25">
      <c r="A370" s="3"/>
      <c r="B370" s="3"/>
      <c r="C370" s="3"/>
      <c r="D370" s="3"/>
      <c r="E370" s="4"/>
      <c r="F370" s="3"/>
      <c r="G370" s="3"/>
      <c r="H370" s="3"/>
      <c r="I370" s="1"/>
    </row>
    <row r="371" spans="1:9" ht="14.25" customHeight="1" x14ac:dyDescent="0.25">
      <c r="A371" s="3"/>
      <c r="B371" s="3"/>
      <c r="C371" s="3"/>
      <c r="D371" s="3"/>
      <c r="E371" s="4"/>
      <c r="F371" s="3"/>
      <c r="G371" s="3"/>
      <c r="H371" s="3"/>
      <c r="I371" s="1"/>
    </row>
    <row r="372" spans="1:9" ht="14.25" customHeight="1" x14ac:dyDescent="0.25">
      <c r="A372" s="3"/>
      <c r="B372" s="3"/>
      <c r="C372" s="3"/>
      <c r="D372" s="3"/>
      <c r="E372" s="4"/>
      <c r="F372" s="3"/>
      <c r="G372" s="3"/>
      <c r="H372" s="3"/>
      <c r="I372" s="1"/>
    </row>
    <row r="373" spans="1:9" ht="14.25" customHeight="1" x14ac:dyDescent="0.25">
      <c r="A373" s="3"/>
      <c r="B373" s="3"/>
      <c r="C373" s="3"/>
      <c r="D373" s="3"/>
      <c r="E373" s="4"/>
      <c r="F373" s="3"/>
      <c r="G373" s="3"/>
      <c r="H373" s="3"/>
      <c r="I373" s="1"/>
    </row>
    <row r="374" spans="1:9" ht="14.25" customHeight="1" x14ac:dyDescent="0.25">
      <c r="A374" s="3"/>
      <c r="B374" s="3"/>
      <c r="C374" s="3"/>
      <c r="D374" s="3"/>
      <c r="E374" s="4"/>
      <c r="F374" s="3"/>
      <c r="G374" s="3"/>
      <c r="H374" s="3"/>
      <c r="I374" s="1"/>
    </row>
    <row r="375" spans="1:9" ht="14.25" customHeight="1" x14ac:dyDescent="0.25">
      <c r="A375" s="3"/>
      <c r="B375" s="3"/>
      <c r="C375" s="3"/>
      <c r="D375" s="3"/>
      <c r="E375" s="4"/>
      <c r="F375" s="3"/>
      <c r="G375" s="3"/>
      <c r="H375" s="3"/>
      <c r="I375" s="1"/>
    </row>
    <row r="376" spans="1:9" ht="14.25" customHeight="1" x14ac:dyDescent="0.25">
      <c r="A376" s="3"/>
      <c r="B376" s="3"/>
      <c r="C376" s="3"/>
      <c r="D376" s="3"/>
      <c r="E376" s="4"/>
      <c r="F376" s="3"/>
      <c r="G376" s="3"/>
      <c r="H376" s="3"/>
      <c r="I376" s="1"/>
    </row>
    <row r="377" spans="1:9" ht="14.25" customHeight="1" x14ac:dyDescent="0.25">
      <c r="A377" s="3"/>
      <c r="B377" s="3"/>
      <c r="C377" s="3"/>
      <c r="D377" s="3"/>
      <c r="E377" s="4"/>
      <c r="F377" s="3"/>
      <c r="G377" s="3"/>
      <c r="H377" s="3"/>
      <c r="I377" s="1"/>
    </row>
    <row r="378" spans="1:9" ht="14.25" customHeight="1" x14ac:dyDescent="0.25">
      <c r="A378" s="3"/>
      <c r="B378" s="3"/>
      <c r="C378" s="3"/>
      <c r="D378" s="3"/>
      <c r="E378" s="4"/>
      <c r="F378" s="3"/>
      <c r="G378" s="3"/>
      <c r="H378" s="3"/>
      <c r="I378" s="1"/>
    </row>
    <row r="379" spans="1:9" ht="14.25" customHeight="1" x14ac:dyDescent="0.25">
      <c r="A379" s="3"/>
      <c r="B379" s="3"/>
      <c r="C379" s="3"/>
      <c r="D379" s="3"/>
      <c r="E379" s="4"/>
      <c r="F379" s="3"/>
      <c r="G379" s="3"/>
      <c r="H379" s="3"/>
      <c r="I379" s="1"/>
    </row>
    <row r="380" spans="1:9" ht="14.25" customHeight="1" x14ac:dyDescent="0.25">
      <c r="A380" s="3"/>
      <c r="B380" s="3"/>
      <c r="C380" s="3"/>
      <c r="D380" s="3"/>
      <c r="E380" s="4"/>
      <c r="F380" s="3"/>
      <c r="G380" s="3"/>
      <c r="H380" s="3"/>
      <c r="I380" s="1"/>
    </row>
    <row r="381" spans="1:9" ht="14.25" customHeight="1" x14ac:dyDescent="0.25">
      <c r="A381" s="3"/>
      <c r="B381" s="3"/>
      <c r="C381" s="3"/>
      <c r="D381" s="3"/>
      <c r="E381" s="4"/>
      <c r="F381" s="3"/>
      <c r="G381" s="3"/>
      <c r="H381" s="3"/>
      <c r="I381" s="1"/>
    </row>
    <row r="382" spans="1:9" ht="14.25" customHeight="1" x14ac:dyDescent="0.25">
      <c r="A382" s="3"/>
      <c r="B382" s="3"/>
      <c r="C382" s="3"/>
      <c r="D382" s="3"/>
      <c r="E382" s="4"/>
      <c r="F382" s="3"/>
      <c r="G382" s="3"/>
      <c r="H382" s="3"/>
      <c r="I382" s="1"/>
    </row>
    <row r="383" spans="1:9" ht="14.25" customHeight="1" x14ac:dyDescent="0.25">
      <c r="A383" s="3"/>
      <c r="B383" s="3"/>
      <c r="C383" s="3"/>
      <c r="D383" s="3"/>
      <c r="E383" s="4"/>
      <c r="F383" s="3"/>
      <c r="G383" s="3"/>
      <c r="H383" s="3"/>
      <c r="I383" s="1"/>
    </row>
    <row r="384" spans="1:9" ht="14.25" customHeight="1" x14ac:dyDescent="0.25">
      <c r="A384" s="3"/>
      <c r="B384" s="3"/>
      <c r="C384" s="3"/>
      <c r="D384" s="3"/>
      <c r="E384" s="4"/>
      <c r="F384" s="3"/>
      <c r="G384" s="3"/>
      <c r="H384" s="3"/>
      <c r="I384" s="1"/>
    </row>
    <row r="385" spans="1:9" ht="14.25" customHeight="1" x14ac:dyDescent="0.25">
      <c r="A385" s="3"/>
      <c r="B385" s="3"/>
      <c r="C385" s="3"/>
      <c r="D385" s="3"/>
      <c r="E385" s="4"/>
      <c r="F385" s="3"/>
      <c r="G385" s="3"/>
      <c r="H385" s="3"/>
      <c r="I385" s="1"/>
    </row>
    <row r="386" spans="1:9" ht="14.25" customHeight="1" x14ac:dyDescent="0.25">
      <c r="A386" s="3"/>
      <c r="B386" s="3"/>
      <c r="C386" s="3"/>
      <c r="D386" s="3"/>
      <c r="E386" s="4"/>
      <c r="F386" s="3"/>
      <c r="G386" s="3"/>
      <c r="H386" s="3"/>
      <c r="I386" s="1"/>
    </row>
    <row r="387" spans="1:9" ht="14.25" customHeight="1" x14ac:dyDescent="0.25">
      <c r="A387" s="3"/>
      <c r="B387" s="3"/>
      <c r="C387" s="3"/>
      <c r="D387" s="3"/>
      <c r="E387" s="4"/>
      <c r="F387" s="3"/>
      <c r="G387" s="3"/>
      <c r="H387" s="3"/>
      <c r="I387" s="1"/>
    </row>
    <row r="388" spans="1:9" ht="14.25" customHeight="1" x14ac:dyDescent="0.25">
      <c r="A388" s="3"/>
      <c r="B388" s="3"/>
      <c r="C388" s="3"/>
      <c r="D388" s="3"/>
      <c r="E388" s="4"/>
      <c r="F388" s="3"/>
      <c r="G388" s="3"/>
      <c r="H388" s="3"/>
      <c r="I388" s="1"/>
    </row>
    <row r="389" spans="1:9" ht="14.25" customHeight="1" x14ac:dyDescent="0.25">
      <c r="A389" s="3"/>
      <c r="B389" s="3"/>
      <c r="C389" s="3"/>
      <c r="D389" s="3"/>
      <c r="E389" s="4"/>
      <c r="F389" s="3"/>
      <c r="G389" s="3"/>
      <c r="H389" s="3"/>
      <c r="I389" s="1"/>
    </row>
    <row r="390" spans="1:9" ht="14.25" customHeight="1" x14ac:dyDescent="0.25">
      <c r="A390" s="3"/>
      <c r="B390" s="3"/>
      <c r="C390" s="3"/>
      <c r="D390" s="3"/>
      <c r="E390" s="4"/>
      <c r="F390" s="3"/>
      <c r="G390" s="3"/>
      <c r="H390" s="3"/>
      <c r="I390" s="1"/>
    </row>
    <row r="391" spans="1:9" ht="14.25" customHeight="1" x14ac:dyDescent="0.25">
      <c r="A391" s="3"/>
      <c r="B391" s="3"/>
      <c r="C391" s="3"/>
      <c r="D391" s="3"/>
      <c r="E391" s="4"/>
      <c r="F391" s="3"/>
      <c r="G391" s="3"/>
      <c r="H391" s="3"/>
      <c r="I391" s="1"/>
    </row>
    <row r="392" spans="1:9" ht="14.25" customHeight="1" x14ac:dyDescent="0.25">
      <c r="A392" s="3"/>
      <c r="B392" s="3"/>
      <c r="C392" s="3"/>
      <c r="D392" s="3"/>
      <c r="E392" s="4"/>
      <c r="F392" s="3"/>
      <c r="G392" s="3"/>
      <c r="H392" s="3"/>
      <c r="I392" s="1"/>
    </row>
    <row r="393" spans="1:9" ht="14.25" customHeight="1" x14ac:dyDescent="0.25">
      <c r="A393" s="3"/>
      <c r="B393" s="3"/>
      <c r="C393" s="3"/>
      <c r="D393" s="3"/>
      <c r="E393" s="4"/>
      <c r="F393" s="3"/>
      <c r="G393" s="3"/>
      <c r="H393" s="3"/>
      <c r="I393" s="1"/>
    </row>
    <row r="394" spans="1:9" ht="14.25" customHeight="1" x14ac:dyDescent="0.25">
      <c r="A394" s="3"/>
      <c r="B394" s="3"/>
      <c r="C394" s="3"/>
      <c r="D394" s="3"/>
      <c r="E394" s="4"/>
      <c r="F394" s="3"/>
      <c r="G394" s="3"/>
      <c r="H394" s="3"/>
      <c r="I394" s="1"/>
    </row>
    <row r="395" spans="1:9" ht="14.25" customHeight="1" x14ac:dyDescent="0.25">
      <c r="A395" s="3"/>
      <c r="B395" s="3"/>
      <c r="C395" s="3"/>
      <c r="D395" s="3"/>
      <c r="E395" s="4"/>
      <c r="F395" s="3"/>
      <c r="G395" s="3"/>
      <c r="H395" s="3"/>
      <c r="I395" s="1"/>
    </row>
    <row r="396" spans="1:9" ht="14.25" customHeight="1" x14ac:dyDescent="0.25">
      <c r="A396" s="3"/>
      <c r="B396" s="3"/>
      <c r="C396" s="3"/>
      <c r="D396" s="3"/>
      <c r="E396" s="4"/>
      <c r="F396" s="3"/>
      <c r="G396" s="3"/>
      <c r="H396" s="3"/>
      <c r="I396" s="1"/>
    </row>
    <row r="397" spans="1:9" ht="14.25" customHeight="1" x14ac:dyDescent="0.25">
      <c r="A397" s="3"/>
      <c r="B397" s="3"/>
      <c r="C397" s="3"/>
      <c r="D397" s="3"/>
      <c r="E397" s="4"/>
      <c r="F397" s="3"/>
      <c r="G397" s="3"/>
      <c r="H397" s="3"/>
      <c r="I397" s="1"/>
    </row>
    <row r="398" spans="1:9" ht="14.25" customHeight="1" x14ac:dyDescent="0.25">
      <c r="A398" s="3"/>
      <c r="B398" s="3"/>
      <c r="C398" s="3"/>
      <c r="D398" s="3"/>
      <c r="E398" s="4"/>
      <c r="F398" s="3"/>
      <c r="G398" s="3"/>
      <c r="H398" s="3"/>
      <c r="I398" s="1"/>
    </row>
    <row r="399" spans="1:9" ht="14.25" customHeight="1" x14ac:dyDescent="0.25">
      <c r="A399" s="3"/>
      <c r="B399" s="3"/>
      <c r="C399" s="3"/>
      <c r="D399" s="3"/>
      <c r="E399" s="4"/>
      <c r="F399" s="3"/>
      <c r="G399" s="3"/>
      <c r="H399" s="3"/>
      <c r="I399" s="1"/>
    </row>
    <row r="400" spans="1:9" ht="14.25" customHeight="1" x14ac:dyDescent="0.25">
      <c r="A400" s="3"/>
      <c r="B400" s="3"/>
      <c r="C400" s="3"/>
      <c r="D400" s="3"/>
      <c r="E400" s="4"/>
      <c r="F400" s="3"/>
      <c r="G400" s="3"/>
      <c r="H400" s="3"/>
      <c r="I400" s="1"/>
    </row>
    <row r="401" spans="1:9" ht="14.25" customHeight="1" x14ac:dyDescent="0.25">
      <c r="A401" s="3"/>
      <c r="B401" s="3"/>
      <c r="C401" s="3"/>
      <c r="D401" s="3"/>
      <c r="E401" s="4"/>
      <c r="F401" s="3"/>
      <c r="G401" s="3"/>
      <c r="H401" s="3"/>
      <c r="I401" s="1"/>
    </row>
    <row r="402" spans="1:9" ht="14.25" customHeight="1" x14ac:dyDescent="0.25">
      <c r="A402" s="3"/>
      <c r="B402" s="3"/>
      <c r="C402" s="3"/>
      <c r="D402" s="3"/>
      <c r="E402" s="4"/>
      <c r="F402" s="3"/>
      <c r="G402" s="3"/>
      <c r="H402" s="3"/>
      <c r="I402" s="1"/>
    </row>
    <row r="403" spans="1:9" ht="14.25" customHeight="1" x14ac:dyDescent="0.25">
      <c r="A403" s="3"/>
      <c r="B403" s="3"/>
      <c r="C403" s="3"/>
      <c r="D403" s="3"/>
      <c r="E403" s="4"/>
      <c r="F403" s="3"/>
      <c r="G403" s="3"/>
      <c r="H403" s="3"/>
      <c r="I403" s="1"/>
    </row>
    <row r="404" spans="1:9" ht="14.25" customHeight="1" x14ac:dyDescent="0.25">
      <c r="A404" s="3"/>
      <c r="B404" s="3"/>
      <c r="C404" s="3"/>
      <c r="D404" s="3"/>
      <c r="E404" s="4"/>
      <c r="F404" s="3"/>
      <c r="G404" s="3"/>
      <c r="H404" s="3"/>
      <c r="I404" s="1"/>
    </row>
    <row r="405" spans="1:9" ht="14.25" customHeight="1" x14ac:dyDescent="0.25">
      <c r="A405" s="3"/>
      <c r="B405" s="3"/>
      <c r="C405" s="3"/>
      <c r="D405" s="3"/>
      <c r="E405" s="4"/>
      <c r="F405" s="3"/>
      <c r="G405" s="3"/>
      <c r="H405" s="3"/>
      <c r="I405" s="1"/>
    </row>
    <row r="406" spans="1:9" ht="14.25" customHeight="1" x14ac:dyDescent="0.25">
      <c r="A406" s="3"/>
      <c r="B406" s="3"/>
      <c r="C406" s="3"/>
      <c r="D406" s="3"/>
      <c r="E406" s="4"/>
      <c r="F406" s="3"/>
      <c r="G406" s="3"/>
      <c r="H406" s="3"/>
      <c r="I406" s="1"/>
    </row>
    <row r="407" spans="1:9" ht="14.25" customHeight="1" x14ac:dyDescent="0.25">
      <c r="A407" s="3"/>
      <c r="B407" s="3"/>
      <c r="C407" s="3"/>
      <c r="D407" s="3"/>
      <c r="E407" s="4"/>
      <c r="F407" s="3"/>
      <c r="G407" s="3"/>
      <c r="H407" s="3"/>
      <c r="I407" s="1"/>
    </row>
    <row r="408" spans="1:9" ht="14.25" customHeight="1" x14ac:dyDescent="0.25">
      <c r="A408" s="3"/>
      <c r="B408" s="3"/>
      <c r="C408" s="3"/>
      <c r="D408" s="3"/>
      <c r="E408" s="4"/>
      <c r="F408" s="3"/>
      <c r="G408" s="3"/>
      <c r="H408" s="3"/>
      <c r="I408" s="1"/>
    </row>
    <row r="409" spans="1:9" ht="14.25" customHeight="1" x14ac:dyDescent="0.25">
      <c r="A409" s="3"/>
      <c r="B409" s="3"/>
      <c r="C409" s="3"/>
      <c r="D409" s="3"/>
      <c r="E409" s="4"/>
      <c r="F409" s="3"/>
      <c r="G409" s="3"/>
      <c r="H409" s="3"/>
      <c r="I409" s="1"/>
    </row>
    <row r="410" spans="1:9" ht="14.25" customHeight="1" x14ac:dyDescent="0.25">
      <c r="A410" s="3"/>
      <c r="B410" s="3"/>
      <c r="C410" s="3"/>
      <c r="D410" s="3"/>
      <c r="E410" s="4"/>
      <c r="F410" s="3"/>
      <c r="G410" s="3"/>
      <c r="H410" s="3"/>
      <c r="I410" s="1"/>
    </row>
    <row r="411" spans="1:9" ht="14.25" customHeight="1" x14ac:dyDescent="0.25">
      <c r="A411" s="3"/>
      <c r="B411" s="3"/>
      <c r="C411" s="3"/>
      <c r="D411" s="3"/>
      <c r="E411" s="4"/>
      <c r="F411" s="3"/>
      <c r="G411" s="3"/>
      <c r="H411" s="3"/>
      <c r="I411" s="1"/>
    </row>
    <row r="412" spans="1:9" ht="14.25" customHeight="1" x14ac:dyDescent="0.25">
      <c r="A412" s="3"/>
      <c r="B412" s="3"/>
      <c r="C412" s="3"/>
      <c r="D412" s="3"/>
      <c r="E412" s="4"/>
      <c r="F412" s="3"/>
      <c r="G412" s="3"/>
      <c r="H412" s="3"/>
      <c r="I412" s="1"/>
    </row>
    <row r="413" spans="1:9" ht="14.25" customHeight="1" x14ac:dyDescent="0.25">
      <c r="A413" s="3"/>
      <c r="B413" s="3"/>
      <c r="C413" s="3"/>
      <c r="D413" s="3"/>
      <c r="E413" s="4"/>
      <c r="F413" s="3"/>
      <c r="G413" s="3"/>
      <c r="H413" s="3"/>
      <c r="I413" s="1"/>
    </row>
    <row r="414" spans="1:9" ht="14.25" customHeight="1" x14ac:dyDescent="0.25">
      <c r="A414" s="3"/>
      <c r="B414" s="3"/>
      <c r="C414" s="3"/>
      <c r="D414" s="3"/>
      <c r="E414" s="4"/>
      <c r="F414" s="3"/>
      <c r="G414" s="3"/>
      <c r="H414" s="3"/>
      <c r="I414" s="1"/>
    </row>
    <row r="415" spans="1:9" ht="14.25" customHeight="1" x14ac:dyDescent="0.25">
      <c r="A415" s="3"/>
      <c r="B415" s="3"/>
      <c r="C415" s="3"/>
      <c r="D415" s="3"/>
      <c r="E415" s="4"/>
      <c r="F415" s="3"/>
      <c r="G415" s="3"/>
      <c r="H415" s="3"/>
      <c r="I415" s="1"/>
    </row>
    <row r="416" spans="1:9" ht="14.25" customHeight="1" x14ac:dyDescent="0.25">
      <c r="A416" s="3"/>
      <c r="B416" s="3"/>
      <c r="C416" s="3"/>
      <c r="D416" s="3"/>
      <c r="E416" s="4"/>
      <c r="F416" s="3"/>
      <c r="G416" s="3"/>
      <c r="H416" s="3"/>
      <c r="I416" s="1"/>
    </row>
    <row r="417" spans="1:9" ht="14.25" customHeight="1" x14ac:dyDescent="0.25">
      <c r="A417" s="3"/>
      <c r="B417" s="3"/>
      <c r="C417" s="3"/>
      <c r="D417" s="3"/>
      <c r="E417" s="4"/>
      <c r="F417" s="3"/>
      <c r="G417" s="3"/>
      <c r="H417" s="3"/>
      <c r="I417" s="1"/>
    </row>
    <row r="418" spans="1:9" ht="14.25" customHeight="1" x14ac:dyDescent="0.25">
      <c r="A418" s="3"/>
      <c r="B418" s="3"/>
      <c r="C418" s="3"/>
      <c r="D418" s="3"/>
      <c r="E418" s="4"/>
      <c r="F418" s="3"/>
      <c r="G418" s="3"/>
      <c r="H418" s="3"/>
      <c r="I418" s="1"/>
    </row>
    <row r="419" spans="1:9" ht="14.25" customHeight="1" x14ac:dyDescent="0.25">
      <c r="A419" s="3"/>
      <c r="B419" s="3"/>
      <c r="C419" s="3"/>
      <c r="D419" s="3"/>
      <c r="E419" s="4"/>
      <c r="F419" s="3"/>
      <c r="G419" s="3"/>
      <c r="H419" s="3"/>
      <c r="I419" s="1"/>
    </row>
    <row r="420" spans="1:9" ht="14.25" customHeight="1" x14ac:dyDescent="0.25">
      <c r="A420" s="3"/>
      <c r="B420" s="3"/>
      <c r="C420" s="3"/>
      <c r="D420" s="3"/>
      <c r="E420" s="4"/>
      <c r="F420" s="3"/>
      <c r="G420" s="3"/>
      <c r="H420" s="3"/>
      <c r="I420" s="1"/>
    </row>
    <row r="421" spans="1:9" ht="14.25" customHeight="1" x14ac:dyDescent="0.25">
      <c r="A421" s="3"/>
      <c r="B421" s="3"/>
      <c r="C421" s="3"/>
      <c r="D421" s="3"/>
      <c r="E421" s="4"/>
      <c r="F421" s="3"/>
      <c r="G421" s="3"/>
      <c r="H421" s="3"/>
      <c r="I421" s="1"/>
    </row>
    <row r="422" spans="1:9" ht="14.25" customHeight="1" x14ac:dyDescent="0.25">
      <c r="A422" s="3"/>
      <c r="B422" s="3"/>
      <c r="C422" s="3"/>
      <c r="D422" s="3"/>
      <c r="E422" s="4"/>
      <c r="F422" s="3"/>
      <c r="G422" s="3"/>
      <c r="H422" s="3"/>
      <c r="I422" s="1"/>
    </row>
    <row r="423" spans="1:9" ht="14.25" customHeight="1" x14ac:dyDescent="0.25">
      <c r="A423" s="3"/>
      <c r="B423" s="3"/>
      <c r="C423" s="3"/>
      <c r="D423" s="3"/>
      <c r="E423" s="4"/>
      <c r="F423" s="3"/>
      <c r="G423" s="3"/>
      <c r="H423" s="3"/>
      <c r="I423" s="1"/>
    </row>
    <row r="424" spans="1:9" ht="14.25" customHeight="1" x14ac:dyDescent="0.25">
      <c r="A424" s="3"/>
      <c r="B424" s="3"/>
      <c r="C424" s="3"/>
      <c r="D424" s="3"/>
      <c r="E424" s="4"/>
      <c r="F424" s="3"/>
      <c r="G424" s="3"/>
      <c r="H424" s="3"/>
      <c r="I424" s="1"/>
    </row>
    <row r="425" spans="1:9" ht="14.25" customHeight="1" x14ac:dyDescent="0.25">
      <c r="A425" s="3"/>
      <c r="B425" s="3"/>
      <c r="C425" s="3"/>
      <c r="D425" s="3"/>
      <c r="E425" s="4"/>
      <c r="F425" s="3"/>
      <c r="G425" s="3"/>
      <c r="H425" s="3"/>
      <c r="I425" s="1"/>
    </row>
    <row r="426" spans="1:9" ht="14.25" customHeight="1" x14ac:dyDescent="0.25">
      <c r="A426" s="3"/>
      <c r="B426" s="3"/>
      <c r="C426" s="3"/>
      <c r="D426" s="3"/>
      <c r="E426" s="4"/>
      <c r="F426" s="3"/>
      <c r="G426" s="3"/>
      <c r="H426" s="3"/>
      <c r="I426" s="1"/>
    </row>
    <row r="427" spans="1:9" ht="14.25" customHeight="1" x14ac:dyDescent="0.25">
      <c r="A427" s="3"/>
      <c r="B427" s="3"/>
      <c r="C427" s="3"/>
      <c r="D427" s="3"/>
      <c r="E427" s="4"/>
      <c r="F427" s="3"/>
      <c r="G427" s="3"/>
      <c r="H427" s="3"/>
      <c r="I427" s="1"/>
    </row>
    <row r="428" spans="1:9" ht="14.25" customHeight="1" x14ac:dyDescent="0.25">
      <c r="A428" s="3"/>
      <c r="B428" s="3"/>
      <c r="C428" s="3"/>
      <c r="D428" s="3"/>
      <c r="E428" s="4"/>
      <c r="F428" s="3"/>
      <c r="G428" s="3"/>
      <c r="H428" s="3"/>
      <c r="I428" s="1"/>
    </row>
    <row r="429" spans="1:9" ht="14.25" customHeight="1" x14ac:dyDescent="0.25">
      <c r="A429" s="3"/>
      <c r="B429" s="3"/>
      <c r="C429" s="3"/>
      <c r="D429" s="3"/>
      <c r="E429" s="4"/>
      <c r="F429" s="3"/>
      <c r="G429" s="3"/>
      <c r="H429" s="3"/>
      <c r="I429" s="1"/>
    </row>
    <row r="430" spans="1:9" ht="14.25" customHeight="1" x14ac:dyDescent="0.25">
      <c r="A430" s="3"/>
      <c r="B430" s="3"/>
      <c r="C430" s="3"/>
      <c r="D430" s="3"/>
      <c r="E430" s="4"/>
      <c r="F430" s="3"/>
      <c r="G430" s="3"/>
      <c r="H430" s="3"/>
      <c r="I430" s="1"/>
    </row>
    <row r="431" spans="1:9" ht="14.25" customHeight="1" x14ac:dyDescent="0.25">
      <c r="A431" s="3"/>
      <c r="B431" s="3"/>
      <c r="C431" s="3"/>
      <c r="D431" s="3"/>
      <c r="E431" s="4"/>
      <c r="F431" s="3"/>
      <c r="G431" s="3"/>
      <c r="H431" s="3"/>
      <c r="I431" s="1"/>
    </row>
    <row r="432" spans="1:9" ht="14.25" customHeight="1" x14ac:dyDescent="0.25">
      <c r="A432" s="3"/>
      <c r="B432" s="3"/>
      <c r="C432" s="3"/>
      <c r="D432" s="3"/>
      <c r="E432" s="4"/>
      <c r="F432" s="3"/>
      <c r="G432" s="3"/>
      <c r="H432" s="3"/>
      <c r="I432" s="1"/>
    </row>
    <row r="433" spans="1:9" ht="14.25" customHeight="1" x14ac:dyDescent="0.25">
      <c r="A433" s="3"/>
      <c r="B433" s="3"/>
      <c r="C433" s="3"/>
      <c r="D433" s="3"/>
      <c r="E433" s="4"/>
      <c r="F433" s="3"/>
      <c r="G433" s="3"/>
      <c r="H433" s="3"/>
      <c r="I433" s="1"/>
    </row>
    <row r="434" spans="1:9" ht="14.25" customHeight="1" x14ac:dyDescent="0.25">
      <c r="A434" s="3"/>
      <c r="B434" s="3"/>
      <c r="C434" s="3"/>
      <c r="D434" s="3"/>
      <c r="E434" s="4"/>
      <c r="F434" s="3"/>
      <c r="G434" s="3"/>
      <c r="H434" s="3"/>
      <c r="I434" s="1"/>
    </row>
    <row r="435" spans="1:9" ht="14.25" customHeight="1" x14ac:dyDescent="0.25">
      <c r="A435" s="3"/>
      <c r="B435" s="3"/>
      <c r="C435" s="3"/>
      <c r="D435" s="3"/>
      <c r="E435" s="4"/>
      <c r="F435" s="3"/>
      <c r="G435" s="3"/>
      <c r="H435" s="3"/>
      <c r="I435" s="1"/>
    </row>
    <row r="436" spans="1:9" ht="14.25" customHeight="1" x14ac:dyDescent="0.25">
      <c r="A436" s="3"/>
      <c r="B436" s="3"/>
      <c r="C436" s="3"/>
      <c r="D436" s="3"/>
      <c r="E436" s="4"/>
      <c r="F436" s="3"/>
      <c r="G436" s="3"/>
      <c r="H436" s="3"/>
      <c r="I436" s="1"/>
    </row>
    <row r="437" spans="1:9" ht="14.25" customHeight="1" x14ac:dyDescent="0.25">
      <c r="A437" s="3"/>
      <c r="B437" s="3"/>
      <c r="C437" s="3"/>
      <c r="D437" s="3"/>
      <c r="E437" s="4"/>
      <c r="F437" s="3"/>
      <c r="G437" s="3"/>
      <c r="H437" s="3"/>
      <c r="I437" s="1"/>
    </row>
    <row r="438" spans="1:9" ht="14.25" customHeight="1" x14ac:dyDescent="0.25">
      <c r="A438" s="3"/>
      <c r="B438" s="3"/>
      <c r="C438" s="3"/>
      <c r="D438" s="3"/>
      <c r="E438" s="4"/>
      <c r="F438" s="3"/>
      <c r="G438" s="3"/>
      <c r="H438" s="3"/>
      <c r="I438" s="1"/>
    </row>
    <row r="439" spans="1:9" ht="14.25" customHeight="1" x14ac:dyDescent="0.25">
      <c r="A439" s="3"/>
      <c r="B439" s="3"/>
      <c r="C439" s="3"/>
      <c r="D439" s="3"/>
      <c r="E439" s="4"/>
      <c r="F439" s="3"/>
      <c r="G439" s="3"/>
      <c r="H439" s="3"/>
      <c r="I439" s="1"/>
    </row>
    <row r="440" spans="1:9" ht="14.25" customHeight="1" x14ac:dyDescent="0.25">
      <c r="A440" s="3"/>
      <c r="B440" s="3"/>
      <c r="C440" s="3"/>
      <c r="D440" s="3"/>
      <c r="E440" s="4"/>
      <c r="F440" s="3"/>
      <c r="G440" s="3"/>
      <c r="H440" s="3"/>
      <c r="I440" s="1"/>
    </row>
    <row r="441" spans="1:9" ht="14.25" customHeight="1" x14ac:dyDescent="0.25">
      <c r="A441" s="3"/>
      <c r="B441" s="3"/>
      <c r="C441" s="3"/>
      <c r="D441" s="3"/>
      <c r="E441" s="4"/>
      <c r="F441" s="3"/>
      <c r="G441" s="3"/>
      <c r="H441" s="3"/>
      <c r="I441" s="1"/>
    </row>
    <row r="442" spans="1:9" ht="14.25" customHeight="1" x14ac:dyDescent="0.25">
      <c r="A442" s="3"/>
      <c r="B442" s="3"/>
      <c r="C442" s="3"/>
      <c r="D442" s="3"/>
      <c r="E442" s="4"/>
      <c r="F442" s="3"/>
      <c r="G442" s="3"/>
      <c r="H442" s="3"/>
      <c r="I442" s="1"/>
    </row>
    <row r="443" spans="1:9" ht="14.25" customHeight="1" x14ac:dyDescent="0.25">
      <c r="A443" s="3"/>
      <c r="B443" s="3"/>
      <c r="C443" s="3"/>
      <c r="D443" s="3"/>
      <c r="E443" s="4"/>
      <c r="F443" s="3"/>
      <c r="G443" s="3"/>
      <c r="H443" s="3"/>
      <c r="I443" s="1"/>
    </row>
    <row r="444" spans="1:9" ht="14.25" customHeight="1" x14ac:dyDescent="0.25">
      <c r="A444" s="3"/>
      <c r="B444" s="3"/>
      <c r="C444" s="3"/>
      <c r="D444" s="3"/>
      <c r="E444" s="4"/>
      <c r="F444" s="3"/>
      <c r="G444" s="3"/>
      <c r="H444" s="3"/>
      <c r="I444" s="1"/>
    </row>
    <row r="445" spans="1:9" ht="14.25" customHeight="1" x14ac:dyDescent="0.25">
      <c r="A445" s="3"/>
      <c r="B445" s="3"/>
      <c r="C445" s="3"/>
      <c r="D445" s="3"/>
      <c r="E445" s="4"/>
      <c r="F445" s="3"/>
      <c r="G445" s="3"/>
      <c r="H445" s="3"/>
      <c r="I445" s="1"/>
    </row>
    <row r="446" spans="1:9" ht="14.25" customHeight="1" x14ac:dyDescent="0.25">
      <c r="A446" s="3"/>
      <c r="B446" s="3"/>
      <c r="C446" s="3"/>
      <c r="D446" s="3"/>
      <c r="E446" s="4"/>
      <c r="F446" s="3"/>
      <c r="G446" s="3"/>
      <c r="H446" s="3"/>
      <c r="I446" s="1"/>
    </row>
    <row r="447" spans="1:9" ht="14.25" customHeight="1" x14ac:dyDescent="0.25">
      <c r="A447" s="3"/>
      <c r="B447" s="3"/>
      <c r="C447" s="3"/>
      <c r="D447" s="3"/>
      <c r="E447" s="4"/>
      <c r="F447" s="3"/>
      <c r="G447" s="3"/>
      <c r="H447" s="3"/>
      <c r="I447" s="1"/>
    </row>
    <row r="448" spans="1:9" ht="14.25" customHeight="1" x14ac:dyDescent="0.25">
      <c r="A448" s="3"/>
      <c r="B448" s="3"/>
      <c r="C448" s="3"/>
      <c r="D448" s="3"/>
      <c r="E448" s="4"/>
      <c r="F448" s="3"/>
      <c r="G448" s="3"/>
      <c r="H448" s="3"/>
      <c r="I448" s="1"/>
    </row>
    <row r="449" spans="1:9" ht="14.25" customHeight="1" x14ac:dyDescent="0.25">
      <c r="A449" s="3"/>
      <c r="B449" s="3"/>
      <c r="C449" s="3"/>
      <c r="D449" s="3"/>
      <c r="E449" s="4"/>
      <c r="F449" s="3"/>
      <c r="G449" s="3"/>
      <c r="H449" s="3"/>
      <c r="I449" s="1"/>
    </row>
    <row r="450" spans="1:9" ht="14.25" customHeight="1" x14ac:dyDescent="0.25">
      <c r="A450" s="3"/>
      <c r="B450" s="3"/>
      <c r="C450" s="3"/>
      <c r="D450" s="3"/>
      <c r="E450" s="4"/>
      <c r="F450" s="3"/>
      <c r="G450" s="3"/>
      <c r="H450" s="3"/>
      <c r="I450" s="1"/>
    </row>
    <row r="451" spans="1:9" ht="14.25" customHeight="1" x14ac:dyDescent="0.25">
      <c r="A451" s="3"/>
      <c r="B451" s="3"/>
      <c r="C451" s="3"/>
      <c r="D451" s="3"/>
      <c r="E451" s="4"/>
      <c r="F451" s="3"/>
      <c r="G451" s="3"/>
      <c r="H451" s="3"/>
      <c r="I451" s="1"/>
    </row>
    <row r="452" spans="1:9" ht="14.25" customHeight="1" x14ac:dyDescent="0.25">
      <c r="A452" s="3"/>
      <c r="B452" s="3"/>
      <c r="C452" s="3"/>
      <c r="D452" s="3"/>
      <c r="E452" s="4"/>
      <c r="F452" s="3"/>
      <c r="G452" s="3"/>
      <c r="H452" s="3"/>
      <c r="I452" s="1"/>
    </row>
    <row r="453" spans="1:9" ht="14.25" customHeight="1" x14ac:dyDescent="0.25">
      <c r="A453" s="3"/>
      <c r="B453" s="3"/>
      <c r="C453" s="3"/>
      <c r="D453" s="3"/>
      <c r="E453" s="4"/>
      <c r="F453" s="3"/>
      <c r="G453" s="3"/>
      <c r="H453" s="3"/>
      <c r="I453" s="1"/>
    </row>
    <row r="454" spans="1:9" ht="14.25" customHeight="1" x14ac:dyDescent="0.25">
      <c r="A454" s="3"/>
      <c r="B454" s="3"/>
      <c r="C454" s="3"/>
      <c r="D454" s="3"/>
      <c r="E454" s="4"/>
      <c r="F454" s="3"/>
      <c r="G454" s="3"/>
      <c r="H454" s="3"/>
      <c r="I454" s="1"/>
    </row>
    <row r="455" spans="1:9" ht="14.25" customHeight="1" x14ac:dyDescent="0.25">
      <c r="A455" s="3"/>
      <c r="B455" s="3"/>
      <c r="C455" s="3"/>
      <c r="D455" s="3"/>
      <c r="E455" s="4"/>
      <c r="F455" s="3"/>
      <c r="G455" s="3"/>
      <c r="H455" s="3"/>
      <c r="I455" s="1"/>
    </row>
    <row r="456" spans="1:9" ht="14.25" customHeight="1" x14ac:dyDescent="0.25">
      <c r="A456" s="3"/>
      <c r="B456" s="3"/>
      <c r="C456" s="3"/>
      <c r="D456" s="3"/>
      <c r="E456" s="4"/>
      <c r="F456" s="3"/>
      <c r="G456" s="3"/>
      <c r="H456" s="3"/>
      <c r="I456" s="1"/>
    </row>
    <row r="457" spans="1:9" ht="14.25" customHeight="1" x14ac:dyDescent="0.25">
      <c r="A457" s="3"/>
      <c r="B457" s="3"/>
      <c r="C457" s="3"/>
      <c r="D457" s="3"/>
      <c r="E457" s="4"/>
      <c r="F457" s="3"/>
      <c r="G457" s="3"/>
      <c r="H457" s="3"/>
      <c r="I457" s="1"/>
    </row>
    <row r="458" spans="1:9" ht="14.25" customHeight="1" x14ac:dyDescent="0.25">
      <c r="A458" s="3"/>
      <c r="B458" s="3"/>
      <c r="C458" s="3"/>
      <c r="D458" s="3"/>
      <c r="E458" s="4"/>
      <c r="F458" s="3"/>
      <c r="G458" s="3"/>
      <c r="H458" s="3"/>
      <c r="I458" s="1"/>
    </row>
    <row r="459" spans="1:9" ht="14.25" customHeight="1" x14ac:dyDescent="0.25">
      <c r="A459" s="3"/>
      <c r="B459" s="3"/>
      <c r="C459" s="3"/>
      <c r="D459" s="3"/>
      <c r="E459" s="4"/>
      <c r="F459" s="3"/>
      <c r="G459" s="3"/>
      <c r="H459" s="3"/>
      <c r="I459" s="1"/>
    </row>
    <row r="460" spans="1:9" ht="14.25" customHeight="1" x14ac:dyDescent="0.25">
      <c r="A460" s="3"/>
      <c r="B460" s="3"/>
      <c r="C460" s="3"/>
      <c r="D460" s="3"/>
      <c r="E460" s="4"/>
      <c r="F460" s="3"/>
      <c r="G460" s="3"/>
      <c r="H460" s="3"/>
      <c r="I460" s="1"/>
    </row>
    <row r="461" spans="1:9" ht="14.25" customHeight="1" x14ac:dyDescent="0.25">
      <c r="A461" s="3"/>
      <c r="B461" s="3"/>
      <c r="C461" s="3"/>
      <c r="D461" s="3"/>
      <c r="E461" s="4"/>
      <c r="F461" s="3"/>
      <c r="G461" s="3"/>
      <c r="H461" s="3"/>
      <c r="I461" s="1"/>
    </row>
    <row r="462" spans="1:9" ht="14.25" customHeight="1" x14ac:dyDescent="0.25">
      <c r="A462" s="3"/>
      <c r="B462" s="3"/>
      <c r="C462" s="3"/>
      <c r="D462" s="3"/>
      <c r="E462" s="4"/>
      <c r="F462" s="3"/>
      <c r="G462" s="3"/>
      <c r="H462" s="3"/>
      <c r="I462" s="1"/>
    </row>
    <row r="463" spans="1:9" ht="14.25" customHeight="1" x14ac:dyDescent="0.25">
      <c r="A463" s="3"/>
      <c r="B463" s="3"/>
      <c r="C463" s="3"/>
      <c r="D463" s="3"/>
      <c r="E463" s="4"/>
      <c r="F463" s="3"/>
      <c r="G463" s="3"/>
      <c r="H463" s="3"/>
      <c r="I463" s="1"/>
    </row>
    <row r="464" spans="1:9" ht="14.25" customHeight="1" x14ac:dyDescent="0.25">
      <c r="A464" s="3"/>
      <c r="B464" s="3"/>
      <c r="C464" s="3"/>
      <c r="D464" s="3"/>
      <c r="E464" s="4"/>
      <c r="F464" s="3"/>
      <c r="G464" s="3"/>
      <c r="H464" s="3"/>
      <c r="I464" s="1"/>
    </row>
    <row r="465" spans="1:9" ht="14.25" customHeight="1" x14ac:dyDescent="0.25">
      <c r="A465" s="3"/>
      <c r="B465" s="3"/>
      <c r="C465" s="3"/>
      <c r="D465" s="3"/>
      <c r="E465" s="4"/>
      <c r="F465" s="3"/>
      <c r="G465" s="3"/>
      <c r="H465" s="3"/>
      <c r="I465" s="1"/>
    </row>
    <row r="466" spans="1:9" ht="14.25" customHeight="1" x14ac:dyDescent="0.25">
      <c r="A466" s="3"/>
      <c r="B466" s="3"/>
      <c r="C466" s="3"/>
      <c r="D466" s="3"/>
      <c r="E466" s="4"/>
      <c r="F466" s="3"/>
      <c r="G466" s="3"/>
      <c r="H466" s="3"/>
      <c r="I466" s="1"/>
    </row>
    <row r="467" spans="1:9" ht="14.25" customHeight="1" x14ac:dyDescent="0.25">
      <c r="A467" s="3"/>
      <c r="B467" s="3"/>
      <c r="C467" s="3"/>
      <c r="D467" s="3"/>
      <c r="E467" s="4"/>
      <c r="F467" s="3"/>
      <c r="G467" s="3"/>
      <c r="H467" s="3"/>
      <c r="I467" s="1"/>
    </row>
    <row r="468" spans="1:9" ht="14.25" customHeight="1" x14ac:dyDescent="0.25">
      <c r="A468" s="3"/>
      <c r="B468" s="3"/>
      <c r="C468" s="3"/>
      <c r="D468" s="3"/>
      <c r="E468" s="4"/>
      <c r="F468" s="3"/>
      <c r="G468" s="3"/>
      <c r="H468" s="3"/>
      <c r="I468" s="1"/>
    </row>
    <row r="469" spans="1:9" ht="14.25" customHeight="1" x14ac:dyDescent="0.25">
      <c r="A469" s="3"/>
      <c r="B469" s="3"/>
      <c r="C469" s="3"/>
      <c r="D469" s="3"/>
      <c r="E469" s="4"/>
      <c r="F469" s="3"/>
      <c r="G469" s="3"/>
      <c r="H469" s="3"/>
      <c r="I469" s="1"/>
    </row>
    <row r="470" spans="1:9" ht="14.25" customHeight="1" x14ac:dyDescent="0.25">
      <c r="A470" s="3"/>
      <c r="B470" s="3"/>
      <c r="C470" s="3"/>
      <c r="D470" s="3"/>
      <c r="E470" s="4"/>
      <c r="F470" s="3"/>
      <c r="G470" s="3"/>
      <c r="H470" s="3"/>
      <c r="I470" s="1"/>
    </row>
    <row r="471" spans="1:9" ht="14.25" customHeight="1" x14ac:dyDescent="0.25">
      <c r="A471" s="3"/>
      <c r="B471" s="3"/>
      <c r="C471" s="3"/>
      <c r="D471" s="3"/>
      <c r="E471" s="4"/>
      <c r="F471" s="3"/>
      <c r="G471" s="3"/>
      <c r="H471" s="3"/>
      <c r="I471" s="1"/>
    </row>
    <row r="472" spans="1:9" ht="14.25" customHeight="1" x14ac:dyDescent="0.25">
      <c r="A472" s="3"/>
      <c r="B472" s="3"/>
      <c r="C472" s="3"/>
      <c r="D472" s="3"/>
      <c r="E472" s="4"/>
      <c r="F472" s="3"/>
      <c r="G472" s="3"/>
      <c r="H472" s="3"/>
      <c r="I472" s="1"/>
    </row>
    <row r="473" spans="1:9" ht="14.25" customHeight="1" x14ac:dyDescent="0.25">
      <c r="A473" s="3"/>
      <c r="B473" s="3"/>
      <c r="C473" s="3"/>
      <c r="D473" s="3"/>
      <c r="E473" s="4"/>
      <c r="F473" s="3"/>
      <c r="G473" s="3"/>
      <c r="H473" s="3"/>
      <c r="I473" s="1"/>
    </row>
    <row r="474" spans="1:9" ht="14.25" customHeight="1" x14ac:dyDescent="0.25">
      <c r="A474" s="3"/>
      <c r="B474" s="3"/>
      <c r="C474" s="3"/>
      <c r="D474" s="3"/>
      <c r="E474" s="4"/>
      <c r="F474" s="3"/>
      <c r="G474" s="3"/>
      <c r="H474" s="3"/>
      <c r="I474" s="1"/>
    </row>
    <row r="475" spans="1:9" ht="14.25" customHeight="1" x14ac:dyDescent="0.25">
      <c r="A475" s="3"/>
      <c r="B475" s="3"/>
      <c r="C475" s="3"/>
      <c r="D475" s="3"/>
      <c r="E475" s="4"/>
      <c r="F475" s="3"/>
      <c r="G475" s="3"/>
      <c r="H475" s="3"/>
      <c r="I475" s="1"/>
    </row>
    <row r="476" spans="1:9" ht="14.25" customHeight="1" x14ac:dyDescent="0.25">
      <c r="A476" s="3"/>
      <c r="B476" s="3"/>
      <c r="C476" s="3"/>
      <c r="D476" s="3"/>
      <c r="E476" s="4"/>
      <c r="F476" s="3"/>
      <c r="G476" s="3"/>
      <c r="H476" s="3"/>
      <c r="I476" s="1"/>
    </row>
    <row r="477" spans="1:9" ht="14.25" customHeight="1" x14ac:dyDescent="0.25">
      <c r="A477" s="3"/>
      <c r="B477" s="3"/>
      <c r="C477" s="3"/>
      <c r="D477" s="3"/>
      <c r="E477" s="4"/>
      <c r="F477" s="3"/>
      <c r="G477" s="3"/>
      <c r="H477" s="3"/>
      <c r="I477" s="1"/>
    </row>
    <row r="478" spans="1:9" ht="14.25" customHeight="1" x14ac:dyDescent="0.25">
      <c r="A478" s="3"/>
      <c r="B478" s="3"/>
      <c r="C478" s="3"/>
      <c r="D478" s="3"/>
      <c r="E478" s="4"/>
      <c r="F478" s="3"/>
      <c r="G478" s="3"/>
      <c r="H478" s="3"/>
      <c r="I478" s="1"/>
    </row>
    <row r="479" spans="1:9" ht="14.25" customHeight="1" x14ac:dyDescent="0.25">
      <c r="A479" s="3"/>
      <c r="B479" s="3"/>
      <c r="C479" s="3"/>
      <c r="D479" s="3"/>
      <c r="E479" s="4"/>
      <c r="F479" s="3"/>
      <c r="G479" s="3"/>
      <c r="H479" s="3"/>
      <c r="I479" s="1"/>
    </row>
    <row r="480" spans="1:9" ht="14.25" customHeight="1" x14ac:dyDescent="0.25">
      <c r="A480" s="3"/>
      <c r="B480" s="3"/>
      <c r="C480" s="3"/>
      <c r="D480" s="3"/>
      <c r="E480" s="4"/>
      <c r="F480" s="3"/>
      <c r="G480" s="3"/>
      <c r="H480" s="3"/>
      <c r="I480" s="1"/>
    </row>
    <row r="481" spans="1:9" ht="14.25" customHeight="1" x14ac:dyDescent="0.25">
      <c r="A481" s="3"/>
      <c r="B481" s="3"/>
      <c r="C481" s="3"/>
      <c r="D481" s="3"/>
      <c r="E481" s="4"/>
      <c r="F481" s="3"/>
      <c r="G481" s="3"/>
      <c r="H481" s="3"/>
      <c r="I481" s="1"/>
    </row>
    <row r="482" spans="1:9" ht="14.25" customHeight="1" x14ac:dyDescent="0.25">
      <c r="A482" s="3"/>
      <c r="B482" s="3"/>
      <c r="C482" s="3"/>
      <c r="D482" s="3"/>
      <c r="E482" s="4"/>
      <c r="F482" s="3"/>
      <c r="G482" s="3"/>
      <c r="H482" s="3"/>
      <c r="I482" s="1"/>
    </row>
    <row r="483" spans="1:9" ht="14.25" customHeight="1" x14ac:dyDescent="0.25">
      <c r="A483" s="3"/>
      <c r="B483" s="3"/>
      <c r="C483" s="3"/>
      <c r="D483" s="3"/>
      <c r="E483" s="4"/>
      <c r="F483" s="3"/>
      <c r="G483" s="3"/>
      <c r="H483" s="3"/>
      <c r="I483" s="1"/>
    </row>
    <row r="484" spans="1:9" ht="14.25" customHeight="1" x14ac:dyDescent="0.25">
      <c r="A484" s="3"/>
      <c r="B484" s="3"/>
      <c r="C484" s="3"/>
      <c r="D484" s="3"/>
      <c r="E484" s="4"/>
      <c r="F484" s="3"/>
      <c r="G484" s="3"/>
      <c r="H484" s="3"/>
      <c r="I484" s="1"/>
    </row>
    <row r="485" spans="1:9" ht="14.25" customHeight="1" x14ac:dyDescent="0.25">
      <c r="A485" s="3"/>
      <c r="B485" s="3"/>
      <c r="C485" s="3"/>
      <c r="D485" s="3"/>
      <c r="E485" s="4"/>
      <c r="F485" s="3"/>
      <c r="G485" s="3"/>
      <c r="H485" s="3"/>
      <c r="I485" s="1"/>
    </row>
    <row r="486" spans="1:9" ht="14.25" customHeight="1" x14ac:dyDescent="0.25">
      <c r="A486" s="3"/>
      <c r="B486" s="3"/>
      <c r="C486" s="3"/>
      <c r="D486" s="3"/>
      <c r="E486" s="4"/>
      <c r="F486" s="3"/>
      <c r="G486" s="3"/>
      <c r="H486" s="3"/>
      <c r="I486" s="1"/>
    </row>
    <row r="487" spans="1:9" ht="14.25" customHeight="1" x14ac:dyDescent="0.25">
      <c r="A487" s="3"/>
      <c r="B487" s="3"/>
      <c r="C487" s="3"/>
      <c r="D487" s="3"/>
      <c r="E487" s="4"/>
      <c r="F487" s="3"/>
      <c r="G487" s="3"/>
      <c r="H487" s="3"/>
      <c r="I487" s="1"/>
    </row>
    <row r="488" spans="1:9" ht="14.25" customHeight="1" x14ac:dyDescent="0.25">
      <c r="A488" s="3"/>
      <c r="B488" s="3"/>
      <c r="C488" s="3"/>
      <c r="D488" s="3"/>
      <c r="E488" s="4"/>
      <c r="F488" s="3"/>
      <c r="G488" s="3"/>
      <c r="H488" s="3"/>
      <c r="I488" s="1"/>
    </row>
    <row r="489" spans="1:9" ht="14.25" customHeight="1" x14ac:dyDescent="0.25">
      <c r="A489" s="3"/>
      <c r="B489" s="3"/>
      <c r="C489" s="3"/>
      <c r="D489" s="3"/>
      <c r="E489" s="4"/>
      <c r="F489" s="3"/>
      <c r="G489" s="3"/>
      <c r="H489" s="3"/>
      <c r="I489" s="1"/>
    </row>
    <row r="490" spans="1:9" ht="14.25" customHeight="1" x14ac:dyDescent="0.25">
      <c r="A490" s="3"/>
      <c r="B490" s="3"/>
      <c r="C490" s="3"/>
      <c r="D490" s="3"/>
      <c r="E490" s="4"/>
      <c r="F490" s="3"/>
      <c r="G490" s="3"/>
      <c r="H490" s="3"/>
      <c r="I490" s="1"/>
    </row>
    <row r="491" spans="1:9" ht="14.25" customHeight="1" x14ac:dyDescent="0.25">
      <c r="A491" s="3"/>
      <c r="B491" s="3"/>
      <c r="C491" s="3"/>
      <c r="D491" s="3"/>
      <c r="E491" s="4"/>
      <c r="F491" s="3"/>
      <c r="G491" s="3"/>
      <c r="H491" s="3"/>
      <c r="I491" s="1"/>
    </row>
    <row r="492" spans="1:9" ht="14.25" customHeight="1" x14ac:dyDescent="0.25">
      <c r="A492" s="3"/>
      <c r="B492" s="3"/>
      <c r="C492" s="3"/>
      <c r="D492" s="3"/>
      <c r="E492" s="4"/>
      <c r="F492" s="3"/>
      <c r="G492" s="3"/>
      <c r="H492" s="3"/>
      <c r="I492" s="1"/>
    </row>
    <row r="493" spans="1:9" ht="14.25" customHeight="1" x14ac:dyDescent="0.25">
      <c r="A493" s="3"/>
      <c r="B493" s="3"/>
      <c r="C493" s="3"/>
      <c r="D493" s="3"/>
      <c r="E493" s="4"/>
      <c r="F493" s="3"/>
      <c r="G493" s="3"/>
      <c r="H493" s="3"/>
      <c r="I493" s="1"/>
    </row>
    <row r="494" spans="1:9" ht="14.25" customHeight="1" x14ac:dyDescent="0.25">
      <c r="A494" s="3"/>
      <c r="B494" s="3"/>
      <c r="C494" s="3"/>
      <c r="D494" s="3"/>
      <c r="E494" s="4"/>
      <c r="F494" s="3"/>
      <c r="G494" s="3"/>
      <c r="H494" s="3"/>
      <c r="I494" s="1"/>
    </row>
    <row r="495" spans="1:9" ht="14.25" customHeight="1" x14ac:dyDescent="0.25">
      <c r="A495" s="3"/>
      <c r="B495" s="3"/>
      <c r="C495" s="3"/>
      <c r="D495" s="3"/>
      <c r="E495" s="4"/>
      <c r="F495" s="3"/>
      <c r="G495" s="3"/>
      <c r="H495" s="3"/>
      <c r="I495" s="1"/>
    </row>
    <row r="496" spans="1:9" ht="14.25" customHeight="1" x14ac:dyDescent="0.25">
      <c r="A496" s="3"/>
      <c r="B496" s="3"/>
      <c r="C496" s="3"/>
      <c r="D496" s="3"/>
      <c r="E496" s="4"/>
      <c r="F496" s="3"/>
      <c r="G496" s="3"/>
      <c r="H496" s="3"/>
      <c r="I496" s="1"/>
    </row>
    <row r="497" spans="1:9" ht="14.25" customHeight="1" x14ac:dyDescent="0.25">
      <c r="A497" s="3"/>
      <c r="B497" s="3"/>
      <c r="C497" s="3"/>
      <c r="D497" s="3"/>
      <c r="E497" s="4"/>
      <c r="F497" s="3"/>
      <c r="G497" s="3"/>
      <c r="H497" s="3"/>
      <c r="I497" s="1"/>
    </row>
    <row r="498" spans="1:9" ht="14.25" customHeight="1" x14ac:dyDescent="0.25">
      <c r="A498" s="3"/>
      <c r="B498" s="3"/>
      <c r="C498" s="3"/>
      <c r="D498" s="3"/>
      <c r="E498" s="4"/>
      <c r="F498" s="3"/>
      <c r="G498" s="3"/>
      <c r="H498" s="3"/>
      <c r="I498" s="1"/>
    </row>
    <row r="499" spans="1:9" ht="14.25" customHeight="1" x14ac:dyDescent="0.25">
      <c r="A499" s="3"/>
      <c r="B499" s="3"/>
      <c r="C499" s="3"/>
      <c r="D499" s="3"/>
      <c r="E499" s="4"/>
      <c r="F499" s="3"/>
      <c r="G499" s="3"/>
      <c r="H499" s="3"/>
      <c r="I499" s="1"/>
    </row>
    <row r="500" spans="1:9" ht="14.25" customHeight="1" x14ac:dyDescent="0.25">
      <c r="A500" s="3"/>
      <c r="B500" s="3"/>
      <c r="C500" s="3"/>
      <c r="D500" s="3"/>
      <c r="E500" s="4"/>
      <c r="F500" s="3"/>
      <c r="G500" s="3"/>
      <c r="H500" s="3"/>
      <c r="I500" s="1"/>
    </row>
    <row r="501" spans="1:9" ht="14.25" customHeight="1" x14ac:dyDescent="0.25">
      <c r="A501" s="3"/>
      <c r="B501" s="3"/>
      <c r="C501" s="3"/>
      <c r="D501" s="3"/>
      <c r="E501" s="4"/>
      <c r="F501" s="3"/>
      <c r="G501" s="3"/>
      <c r="H501" s="3"/>
      <c r="I501" s="1"/>
    </row>
    <row r="502" spans="1:9" ht="14.25" customHeight="1" x14ac:dyDescent="0.25">
      <c r="A502" s="3"/>
      <c r="B502" s="3"/>
      <c r="C502" s="3"/>
      <c r="D502" s="3"/>
      <c r="E502" s="4"/>
      <c r="F502" s="3"/>
      <c r="G502" s="3"/>
      <c r="H502" s="3"/>
      <c r="I502" s="1"/>
    </row>
    <row r="503" spans="1:9" ht="14.25" customHeight="1" x14ac:dyDescent="0.25">
      <c r="A503" s="3"/>
      <c r="B503" s="3"/>
      <c r="C503" s="3"/>
      <c r="D503" s="3"/>
      <c r="E503" s="4"/>
      <c r="F503" s="3"/>
      <c r="G503" s="3"/>
      <c r="H503" s="3"/>
      <c r="I503" s="1"/>
    </row>
    <row r="504" spans="1:9" ht="14.25" customHeight="1" x14ac:dyDescent="0.25">
      <c r="A504" s="3"/>
      <c r="B504" s="3"/>
      <c r="C504" s="3"/>
      <c r="D504" s="3"/>
      <c r="E504" s="4"/>
      <c r="F504" s="3"/>
      <c r="G504" s="3"/>
      <c r="H504" s="3"/>
      <c r="I504" s="1"/>
    </row>
    <row r="505" spans="1:9" ht="14.25" customHeight="1" x14ac:dyDescent="0.25">
      <c r="A505" s="3"/>
      <c r="B505" s="3"/>
      <c r="C505" s="3"/>
      <c r="D505" s="3"/>
      <c r="E505" s="4"/>
      <c r="F505" s="3"/>
      <c r="G505" s="3"/>
      <c r="H505" s="3"/>
      <c r="I505" s="1"/>
    </row>
    <row r="506" spans="1:9" ht="14.25" customHeight="1" x14ac:dyDescent="0.25">
      <c r="A506" s="3"/>
      <c r="B506" s="3"/>
      <c r="C506" s="3"/>
      <c r="D506" s="3"/>
      <c r="E506" s="4"/>
      <c r="F506" s="3"/>
      <c r="G506" s="3"/>
      <c r="H506" s="3"/>
      <c r="I506" s="1"/>
    </row>
    <row r="507" spans="1:9" ht="14.25" customHeight="1" x14ac:dyDescent="0.25">
      <c r="A507" s="3"/>
      <c r="B507" s="3"/>
      <c r="C507" s="3"/>
      <c r="D507" s="3"/>
      <c r="E507" s="4"/>
      <c r="F507" s="3"/>
      <c r="G507" s="3"/>
      <c r="H507" s="3"/>
      <c r="I507" s="1"/>
    </row>
    <row r="508" spans="1:9" ht="14.25" customHeight="1" x14ac:dyDescent="0.25">
      <c r="A508" s="3"/>
      <c r="B508" s="3"/>
      <c r="C508" s="3"/>
      <c r="D508" s="3"/>
      <c r="E508" s="4"/>
      <c r="F508" s="3"/>
      <c r="G508" s="3"/>
      <c r="H508" s="3"/>
      <c r="I508" s="1"/>
    </row>
    <row r="509" spans="1:9" ht="14.25" customHeight="1" x14ac:dyDescent="0.25">
      <c r="A509" s="3"/>
      <c r="B509" s="3"/>
      <c r="C509" s="3"/>
      <c r="D509" s="3"/>
      <c r="E509" s="4"/>
      <c r="F509" s="3"/>
      <c r="G509" s="3"/>
      <c r="H509" s="3"/>
      <c r="I509" s="1"/>
    </row>
    <row r="510" spans="1:9" ht="14.25" customHeight="1" x14ac:dyDescent="0.25">
      <c r="A510" s="3"/>
      <c r="B510" s="3"/>
      <c r="C510" s="3"/>
      <c r="D510" s="3"/>
      <c r="E510" s="4"/>
      <c r="F510" s="3"/>
      <c r="G510" s="3"/>
      <c r="H510" s="3"/>
      <c r="I510" s="1"/>
    </row>
    <row r="511" spans="1:9" ht="14.25" customHeight="1" x14ac:dyDescent="0.25">
      <c r="A511" s="3"/>
      <c r="B511" s="3"/>
      <c r="C511" s="3"/>
      <c r="D511" s="3"/>
      <c r="E511" s="4"/>
      <c r="F511" s="3"/>
      <c r="G511" s="3"/>
      <c r="H511" s="3"/>
      <c r="I511" s="1"/>
    </row>
    <row r="512" spans="1:9" ht="14.25" customHeight="1" x14ac:dyDescent="0.25">
      <c r="A512" s="3"/>
      <c r="B512" s="3"/>
      <c r="C512" s="3"/>
      <c r="D512" s="3"/>
      <c r="E512" s="4"/>
      <c r="F512" s="3"/>
      <c r="G512" s="3"/>
      <c r="H512" s="3"/>
      <c r="I512" s="1"/>
    </row>
    <row r="513" spans="1:9" ht="14.25" customHeight="1" x14ac:dyDescent="0.25">
      <c r="A513" s="3"/>
      <c r="B513" s="3"/>
      <c r="C513" s="3"/>
      <c r="D513" s="3"/>
      <c r="E513" s="4"/>
      <c r="F513" s="3"/>
      <c r="G513" s="3"/>
      <c r="H513" s="3"/>
      <c r="I513" s="1"/>
    </row>
    <row r="514" spans="1:9" ht="14.25" customHeight="1" x14ac:dyDescent="0.25">
      <c r="A514" s="3"/>
      <c r="B514" s="3"/>
      <c r="C514" s="3"/>
      <c r="D514" s="3"/>
      <c r="E514" s="4"/>
      <c r="F514" s="3"/>
      <c r="G514" s="3"/>
      <c r="H514" s="3"/>
      <c r="I514" s="1"/>
    </row>
    <row r="515" spans="1:9" ht="14.25" customHeight="1" x14ac:dyDescent="0.25">
      <c r="A515" s="3"/>
      <c r="B515" s="3"/>
      <c r="C515" s="3"/>
      <c r="D515" s="3"/>
      <c r="E515" s="4"/>
      <c r="F515" s="3"/>
      <c r="G515" s="3"/>
      <c r="H515" s="3"/>
      <c r="I515" s="1"/>
    </row>
    <row r="516" spans="1:9" ht="14.25" customHeight="1" x14ac:dyDescent="0.25">
      <c r="A516" s="3"/>
      <c r="B516" s="3"/>
      <c r="C516" s="3"/>
      <c r="D516" s="3"/>
      <c r="E516" s="4"/>
      <c r="F516" s="3"/>
      <c r="G516" s="3"/>
      <c r="H516" s="3"/>
      <c r="I516" s="1"/>
    </row>
    <row r="517" spans="1:9" ht="14.25" customHeight="1" x14ac:dyDescent="0.25">
      <c r="A517" s="3"/>
      <c r="B517" s="3"/>
      <c r="C517" s="3"/>
      <c r="D517" s="3"/>
      <c r="E517" s="4"/>
      <c r="F517" s="3"/>
      <c r="G517" s="3"/>
      <c r="H517" s="3"/>
      <c r="I517" s="1"/>
    </row>
    <row r="518" spans="1:9" ht="14.25" customHeight="1" x14ac:dyDescent="0.25">
      <c r="A518" s="3"/>
      <c r="B518" s="3"/>
      <c r="C518" s="3"/>
      <c r="D518" s="3"/>
      <c r="E518" s="4"/>
      <c r="F518" s="3"/>
      <c r="G518" s="3"/>
      <c r="H518" s="3"/>
      <c r="I518" s="1"/>
    </row>
    <row r="519" spans="1:9" ht="14.25" customHeight="1" x14ac:dyDescent="0.25">
      <c r="A519" s="3"/>
      <c r="B519" s="3"/>
      <c r="C519" s="3"/>
      <c r="D519" s="3"/>
      <c r="E519" s="4"/>
      <c r="F519" s="3"/>
      <c r="G519" s="3"/>
      <c r="H519" s="3"/>
      <c r="I519" s="1"/>
    </row>
    <row r="520" spans="1:9" ht="14.25" customHeight="1" x14ac:dyDescent="0.25">
      <c r="A520" s="3"/>
      <c r="B520" s="3"/>
      <c r="C520" s="3"/>
      <c r="D520" s="3"/>
      <c r="E520" s="4"/>
      <c r="F520" s="3"/>
      <c r="G520" s="3"/>
      <c r="H520" s="3"/>
      <c r="I520" s="1"/>
    </row>
    <row r="521" spans="1:9" ht="14.25" customHeight="1" x14ac:dyDescent="0.25">
      <c r="A521" s="3"/>
      <c r="B521" s="3"/>
      <c r="C521" s="3"/>
      <c r="D521" s="3"/>
      <c r="E521" s="4"/>
      <c r="F521" s="3"/>
      <c r="G521" s="3"/>
      <c r="H521" s="3"/>
      <c r="I521" s="1"/>
    </row>
    <row r="522" spans="1:9" ht="14.25" customHeight="1" x14ac:dyDescent="0.25">
      <c r="A522" s="3"/>
      <c r="B522" s="3"/>
      <c r="C522" s="3"/>
      <c r="D522" s="3"/>
      <c r="E522" s="4"/>
      <c r="F522" s="3"/>
      <c r="G522" s="3"/>
      <c r="H522" s="3"/>
      <c r="I522" s="1"/>
    </row>
    <row r="523" spans="1:9" ht="14.25" customHeight="1" x14ac:dyDescent="0.25">
      <c r="A523" s="3"/>
      <c r="B523" s="3"/>
      <c r="C523" s="3"/>
      <c r="D523" s="3"/>
      <c r="E523" s="4"/>
      <c r="F523" s="3"/>
      <c r="G523" s="3"/>
      <c r="H523" s="3"/>
      <c r="I523" s="1"/>
    </row>
    <row r="524" spans="1:9" ht="14.25" customHeight="1" x14ac:dyDescent="0.25">
      <c r="A524" s="3"/>
      <c r="B524" s="3"/>
      <c r="C524" s="3"/>
      <c r="D524" s="3"/>
      <c r="E524" s="4"/>
      <c r="F524" s="3"/>
      <c r="G524" s="3"/>
      <c r="H524" s="3"/>
      <c r="I524" s="1"/>
    </row>
    <row r="525" spans="1:9" ht="14.25" customHeight="1" x14ac:dyDescent="0.25">
      <c r="A525" s="3"/>
      <c r="B525" s="3"/>
      <c r="C525" s="3"/>
      <c r="D525" s="3"/>
      <c r="E525" s="4"/>
      <c r="F525" s="3"/>
      <c r="G525" s="3"/>
      <c r="H525" s="3"/>
      <c r="I525" s="1"/>
    </row>
    <row r="526" spans="1:9" ht="14.25" customHeight="1" x14ac:dyDescent="0.25">
      <c r="A526" s="3"/>
      <c r="B526" s="3"/>
      <c r="C526" s="3"/>
      <c r="D526" s="3"/>
      <c r="E526" s="4"/>
      <c r="F526" s="3"/>
      <c r="G526" s="3"/>
      <c r="H526" s="3"/>
      <c r="I526" s="1"/>
    </row>
    <row r="527" spans="1:9" ht="14.25" customHeight="1" x14ac:dyDescent="0.25">
      <c r="A527" s="3"/>
      <c r="B527" s="3"/>
      <c r="C527" s="3"/>
      <c r="D527" s="3"/>
      <c r="E527" s="4"/>
      <c r="F527" s="3"/>
      <c r="G527" s="3"/>
      <c r="H527" s="3"/>
      <c r="I527" s="1"/>
    </row>
    <row r="528" spans="1:9" ht="14.25" customHeight="1" x14ac:dyDescent="0.25">
      <c r="A528" s="3"/>
      <c r="B528" s="3"/>
      <c r="C528" s="3"/>
      <c r="D528" s="3"/>
      <c r="E528" s="4"/>
      <c r="F528" s="3"/>
      <c r="G528" s="3"/>
      <c r="H528" s="3"/>
      <c r="I528" s="1"/>
    </row>
    <row r="529" spans="1:9" ht="14.25" customHeight="1" x14ac:dyDescent="0.25">
      <c r="A529" s="3"/>
      <c r="B529" s="3"/>
      <c r="C529" s="3"/>
      <c r="D529" s="3"/>
      <c r="E529" s="4"/>
      <c r="F529" s="3"/>
      <c r="G529" s="3"/>
      <c r="H529" s="3"/>
      <c r="I529" s="1"/>
    </row>
    <row r="530" spans="1:9" ht="14.25" customHeight="1" x14ac:dyDescent="0.25">
      <c r="A530" s="3"/>
      <c r="B530" s="3"/>
      <c r="C530" s="3"/>
      <c r="D530" s="3"/>
      <c r="E530" s="4"/>
      <c r="F530" s="3"/>
      <c r="G530" s="3"/>
      <c r="H530" s="3"/>
      <c r="I530" s="1"/>
    </row>
    <row r="531" spans="1:9" ht="14.25" customHeight="1" x14ac:dyDescent="0.25">
      <c r="A531" s="3"/>
      <c r="B531" s="3"/>
      <c r="C531" s="3"/>
      <c r="D531" s="3"/>
      <c r="E531" s="4"/>
      <c r="F531" s="3"/>
      <c r="G531" s="3"/>
      <c r="H531" s="3"/>
      <c r="I531" s="1"/>
    </row>
    <row r="532" spans="1:9" ht="14.25" customHeight="1" x14ac:dyDescent="0.25">
      <c r="A532" s="3"/>
      <c r="B532" s="3"/>
      <c r="C532" s="3"/>
      <c r="D532" s="3"/>
      <c r="E532" s="4"/>
      <c r="F532" s="3"/>
      <c r="G532" s="3"/>
      <c r="H532" s="3"/>
      <c r="I532" s="1"/>
    </row>
    <row r="533" spans="1:9" ht="14.25" customHeight="1" x14ac:dyDescent="0.25">
      <c r="A533" s="3"/>
      <c r="B533" s="3"/>
      <c r="C533" s="3"/>
      <c r="D533" s="3"/>
      <c r="E533" s="4"/>
      <c r="F533" s="3"/>
      <c r="G533" s="3"/>
      <c r="H533" s="3"/>
      <c r="I533" s="1"/>
    </row>
    <row r="534" spans="1:9" ht="14.25" customHeight="1" x14ac:dyDescent="0.25">
      <c r="A534" s="3"/>
      <c r="B534" s="3"/>
      <c r="C534" s="3"/>
      <c r="D534" s="3"/>
      <c r="E534" s="4"/>
      <c r="F534" s="3"/>
      <c r="G534" s="3"/>
      <c r="H534" s="3"/>
      <c r="I534" s="1"/>
    </row>
    <row r="535" spans="1:9" ht="14.25" customHeight="1" x14ac:dyDescent="0.25">
      <c r="A535" s="3"/>
      <c r="B535" s="3"/>
      <c r="C535" s="3"/>
      <c r="D535" s="3"/>
      <c r="E535" s="4"/>
      <c r="F535" s="3"/>
      <c r="G535" s="3"/>
      <c r="H535" s="3"/>
      <c r="I535" s="1"/>
    </row>
    <row r="536" spans="1:9" ht="14.25" customHeight="1" x14ac:dyDescent="0.25">
      <c r="A536" s="3"/>
      <c r="B536" s="3"/>
      <c r="C536" s="3"/>
      <c r="D536" s="3"/>
      <c r="E536" s="4"/>
      <c r="F536" s="3"/>
      <c r="G536" s="3"/>
      <c r="H536" s="3"/>
      <c r="I536" s="1"/>
    </row>
    <row r="537" spans="1:9" ht="14.25" customHeight="1" x14ac:dyDescent="0.25">
      <c r="A537" s="3"/>
      <c r="B537" s="3"/>
      <c r="C537" s="3"/>
      <c r="D537" s="3"/>
      <c r="E537" s="4"/>
      <c r="F537" s="3"/>
      <c r="G537" s="3"/>
      <c r="H537" s="3"/>
      <c r="I537" s="1"/>
    </row>
    <row r="538" spans="1:9" ht="14.25" customHeight="1" x14ac:dyDescent="0.25">
      <c r="A538" s="3"/>
      <c r="B538" s="3"/>
      <c r="C538" s="3"/>
      <c r="D538" s="3"/>
      <c r="E538" s="4"/>
      <c r="F538" s="3"/>
      <c r="G538" s="3"/>
      <c r="H538" s="3"/>
      <c r="I538" s="1"/>
    </row>
    <row r="539" spans="1:9" ht="14.25" customHeight="1" x14ac:dyDescent="0.25">
      <c r="A539" s="3"/>
      <c r="B539" s="3"/>
      <c r="C539" s="3"/>
      <c r="D539" s="3"/>
      <c r="E539" s="4"/>
      <c r="F539" s="3"/>
      <c r="G539" s="3"/>
      <c r="H539" s="3"/>
      <c r="I539" s="1"/>
    </row>
    <row r="540" spans="1:9" ht="14.25" customHeight="1" x14ac:dyDescent="0.25">
      <c r="A540" s="3"/>
      <c r="B540" s="3"/>
      <c r="C540" s="3"/>
      <c r="D540" s="3"/>
      <c r="E540" s="4"/>
      <c r="F540" s="3"/>
      <c r="G540" s="3"/>
      <c r="H540" s="3"/>
      <c r="I540" s="1"/>
    </row>
    <row r="541" spans="1:9" ht="14.25" customHeight="1" x14ac:dyDescent="0.25">
      <c r="A541" s="3"/>
      <c r="B541" s="3"/>
      <c r="C541" s="3"/>
      <c r="D541" s="3"/>
      <c r="E541" s="4"/>
      <c r="F541" s="3"/>
      <c r="G541" s="3"/>
      <c r="H541" s="3"/>
      <c r="I541" s="1"/>
    </row>
    <row r="542" spans="1:9" ht="14.25" customHeight="1" x14ac:dyDescent="0.25">
      <c r="A542" s="3"/>
      <c r="B542" s="3"/>
      <c r="C542" s="3"/>
      <c r="D542" s="3"/>
      <c r="E542" s="4"/>
      <c r="F542" s="3"/>
      <c r="G542" s="3"/>
      <c r="H542" s="3"/>
      <c r="I542" s="1"/>
    </row>
    <row r="543" spans="1:9" ht="14.25" customHeight="1" x14ac:dyDescent="0.25">
      <c r="A543" s="3"/>
      <c r="B543" s="3"/>
      <c r="C543" s="3"/>
      <c r="D543" s="3"/>
      <c r="E543" s="4"/>
      <c r="F543" s="3"/>
      <c r="G543" s="3"/>
      <c r="H543" s="3"/>
      <c r="I543" s="1"/>
    </row>
    <row r="544" spans="1:9" ht="14.25" customHeight="1" x14ac:dyDescent="0.25">
      <c r="A544" s="3"/>
      <c r="B544" s="3"/>
      <c r="C544" s="3"/>
      <c r="D544" s="3"/>
      <c r="E544" s="4"/>
      <c r="F544" s="3"/>
      <c r="G544" s="3"/>
      <c r="H544" s="3"/>
      <c r="I544" s="1"/>
    </row>
    <row r="545" spans="1:9" ht="14.25" customHeight="1" x14ac:dyDescent="0.25">
      <c r="A545" s="3"/>
      <c r="B545" s="3"/>
      <c r="C545" s="3"/>
      <c r="D545" s="3"/>
      <c r="E545" s="4"/>
      <c r="F545" s="3"/>
      <c r="G545" s="3"/>
      <c r="H545" s="3"/>
      <c r="I545" s="1"/>
    </row>
    <row r="546" spans="1:9" ht="14.25" customHeight="1" x14ac:dyDescent="0.25">
      <c r="A546" s="3"/>
      <c r="B546" s="3"/>
      <c r="C546" s="3"/>
      <c r="D546" s="3"/>
      <c r="E546" s="4"/>
      <c r="F546" s="3"/>
      <c r="G546" s="3"/>
      <c r="H546" s="3"/>
      <c r="I546" s="1"/>
    </row>
    <row r="547" spans="1:9" ht="14.25" customHeight="1" x14ac:dyDescent="0.25">
      <c r="A547" s="3"/>
      <c r="B547" s="3"/>
      <c r="C547" s="3"/>
      <c r="D547" s="3"/>
      <c r="E547" s="4"/>
      <c r="F547" s="3"/>
      <c r="G547" s="3"/>
      <c r="H547" s="3"/>
      <c r="I547" s="1"/>
    </row>
    <row r="548" spans="1:9" ht="14.25" customHeight="1" x14ac:dyDescent="0.25">
      <c r="A548" s="3"/>
      <c r="B548" s="3"/>
      <c r="C548" s="3"/>
      <c r="D548" s="3"/>
      <c r="E548" s="4"/>
      <c r="F548" s="3"/>
      <c r="G548" s="3"/>
      <c r="H548" s="3"/>
      <c r="I548" s="1"/>
    </row>
    <row r="549" spans="1:9" ht="14.25" customHeight="1" x14ac:dyDescent="0.25">
      <c r="A549" s="3"/>
      <c r="B549" s="3"/>
      <c r="C549" s="3"/>
      <c r="D549" s="3"/>
      <c r="E549" s="4"/>
      <c r="F549" s="3"/>
      <c r="G549" s="3"/>
      <c r="H549" s="3"/>
      <c r="I549" s="1"/>
    </row>
    <row r="550" spans="1:9" ht="14.25" customHeight="1" x14ac:dyDescent="0.25">
      <c r="A550" s="3"/>
      <c r="B550" s="3"/>
      <c r="C550" s="3"/>
      <c r="D550" s="3"/>
      <c r="E550" s="4"/>
      <c r="F550" s="3"/>
      <c r="G550" s="3"/>
      <c r="H550" s="3"/>
      <c r="I550" s="1"/>
    </row>
    <row r="551" spans="1:9" ht="14.25" customHeight="1" x14ac:dyDescent="0.25">
      <c r="A551" s="3"/>
      <c r="B551" s="3"/>
      <c r="C551" s="3"/>
      <c r="D551" s="3"/>
      <c r="E551" s="4"/>
      <c r="F551" s="3"/>
      <c r="G551" s="3"/>
      <c r="H551" s="3"/>
      <c r="I551" s="1"/>
    </row>
    <row r="552" spans="1:9" ht="14.25" customHeight="1" x14ac:dyDescent="0.25">
      <c r="A552" s="3"/>
      <c r="B552" s="3"/>
      <c r="C552" s="3"/>
      <c r="D552" s="3"/>
      <c r="E552" s="4"/>
      <c r="F552" s="3"/>
      <c r="G552" s="3"/>
      <c r="H552" s="3"/>
      <c r="I552" s="1"/>
    </row>
    <row r="553" spans="1:9" ht="14.25" customHeight="1" x14ac:dyDescent="0.25">
      <c r="A553" s="3"/>
      <c r="B553" s="3"/>
      <c r="C553" s="3"/>
      <c r="D553" s="3"/>
      <c r="E553" s="4"/>
      <c r="F553" s="3"/>
      <c r="G553" s="3"/>
      <c r="H553" s="3"/>
      <c r="I553" s="1"/>
    </row>
    <row r="554" spans="1:9" ht="14.25" customHeight="1" x14ac:dyDescent="0.25">
      <c r="A554" s="3"/>
      <c r="B554" s="3"/>
      <c r="C554" s="3"/>
      <c r="D554" s="3"/>
      <c r="E554" s="4"/>
      <c r="F554" s="3"/>
      <c r="G554" s="3"/>
      <c r="H554" s="3"/>
      <c r="I554" s="1"/>
    </row>
    <row r="555" spans="1:9" ht="14.25" customHeight="1" x14ac:dyDescent="0.25">
      <c r="A555" s="3"/>
      <c r="B555" s="3"/>
      <c r="C555" s="3"/>
      <c r="D555" s="3"/>
      <c r="E555" s="4"/>
      <c r="F555" s="3"/>
      <c r="G555" s="3"/>
      <c r="H555" s="3"/>
      <c r="I555" s="1"/>
    </row>
    <row r="556" spans="1:9" ht="14.25" customHeight="1" x14ac:dyDescent="0.25">
      <c r="A556" s="3"/>
      <c r="B556" s="3"/>
      <c r="C556" s="3"/>
      <c r="D556" s="3"/>
      <c r="E556" s="4"/>
      <c r="F556" s="3"/>
      <c r="G556" s="3"/>
      <c r="H556" s="3"/>
      <c r="I556" s="1"/>
    </row>
    <row r="557" spans="1:9" ht="14.25" customHeight="1" x14ac:dyDescent="0.25">
      <c r="A557" s="3"/>
      <c r="B557" s="3"/>
      <c r="C557" s="3"/>
      <c r="D557" s="3"/>
      <c r="E557" s="4"/>
      <c r="F557" s="3"/>
      <c r="G557" s="3"/>
      <c r="H557" s="3"/>
      <c r="I557" s="1"/>
    </row>
    <row r="558" spans="1:9" ht="14.25" customHeight="1" x14ac:dyDescent="0.25">
      <c r="A558" s="3"/>
      <c r="B558" s="3"/>
      <c r="C558" s="3"/>
      <c r="D558" s="3"/>
      <c r="E558" s="4"/>
      <c r="F558" s="3"/>
      <c r="G558" s="3"/>
      <c r="H558" s="3"/>
      <c r="I558" s="1"/>
    </row>
    <row r="559" spans="1:9" ht="14.25" customHeight="1" x14ac:dyDescent="0.25">
      <c r="A559" s="3"/>
      <c r="B559" s="3"/>
      <c r="C559" s="3"/>
      <c r="D559" s="3"/>
      <c r="E559" s="4"/>
      <c r="F559" s="3"/>
      <c r="G559" s="3"/>
      <c r="H559" s="3"/>
      <c r="I559" s="1"/>
    </row>
    <row r="560" spans="1:9" ht="14.25" customHeight="1" x14ac:dyDescent="0.25">
      <c r="A560" s="3"/>
      <c r="B560" s="3"/>
      <c r="C560" s="3"/>
      <c r="D560" s="3"/>
      <c r="E560" s="4"/>
      <c r="F560" s="3"/>
      <c r="G560" s="3"/>
      <c r="H560" s="3"/>
      <c r="I560" s="1"/>
    </row>
    <row r="561" spans="1:9" ht="14.25" customHeight="1" x14ac:dyDescent="0.25">
      <c r="A561" s="3"/>
      <c r="B561" s="3"/>
      <c r="C561" s="3"/>
      <c r="D561" s="3"/>
      <c r="E561" s="4"/>
      <c r="F561" s="3"/>
      <c r="G561" s="3"/>
      <c r="H561" s="3"/>
      <c r="I561" s="1"/>
    </row>
    <row r="562" spans="1:9" ht="14.25" customHeight="1" x14ac:dyDescent="0.25">
      <c r="A562" s="3"/>
      <c r="B562" s="3"/>
      <c r="C562" s="3"/>
      <c r="D562" s="3"/>
      <c r="E562" s="4"/>
      <c r="F562" s="3"/>
      <c r="G562" s="3"/>
      <c r="H562" s="3"/>
      <c r="I562" s="1"/>
    </row>
    <row r="563" spans="1:9" ht="14.25" customHeight="1" x14ac:dyDescent="0.25">
      <c r="A563" s="3"/>
      <c r="B563" s="3"/>
      <c r="C563" s="3"/>
      <c r="D563" s="3"/>
      <c r="E563" s="4"/>
      <c r="F563" s="3"/>
      <c r="G563" s="3"/>
      <c r="H563" s="3"/>
      <c r="I563" s="1"/>
    </row>
    <row r="564" spans="1:9" ht="14.25" customHeight="1" x14ac:dyDescent="0.25">
      <c r="A564" s="3"/>
      <c r="B564" s="3"/>
      <c r="C564" s="3"/>
      <c r="D564" s="3"/>
      <c r="E564" s="4"/>
      <c r="F564" s="3"/>
      <c r="G564" s="3"/>
      <c r="H564" s="3"/>
      <c r="I564" s="1"/>
    </row>
    <row r="565" spans="1:9" ht="14.25" customHeight="1" x14ac:dyDescent="0.25">
      <c r="A565" s="3"/>
      <c r="B565" s="3"/>
      <c r="C565" s="3"/>
      <c r="D565" s="3"/>
      <c r="E565" s="4"/>
      <c r="F565" s="3"/>
      <c r="G565" s="3"/>
      <c r="H565" s="3"/>
      <c r="I565" s="1"/>
    </row>
    <row r="566" spans="1:9" ht="14.25" customHeight="1" x14ac:dyDescent="0.25">
      <c r="A566" s="3"/>
      <c r="B566" s="3"/>
      <c r="C566" s="3"/>
      <c r="D566" s="3"/>
      <c r="E566" s="4"/>
      <c r="F566" s="3"/>
      <c r="G566" s="3"/>
      <c r="H566" s="3"/>
      <c r="I566" s="1"/>
    </row>
    <row r="567" spans="1:9" ht="14.25" customHeight="1" x14ac:dyDescent="0.25">
      <c r="A567" s="3"/>
      <c r="B567" s="3"/>
      <c r="C567" s="3"/>
      <c r="D567" s="3"/>
      <c r="E567" s="4"/>
      <c r="F567" s="3"/>
      <c r="G567" s="3"/>
      <c r="H567" s="3"/>
      <c r="I567" s="1"/>
    </row>
    <row r="568" spans="1:9" ht="14.25" customHeight="1" x14ac:dyDescent="0.25">
      <c r="A568" s="3"/>
      <c r="B568" s="3"/>
      <c r="C568" s="3"/>
      <c r="D568" s="3"/>
      <c r="E568" s="4"/>
      <c r="F568" s="3"/>
      <c r="G568" s="3"/>
      <c r="H568" s="3"/>
      <c r="I568" s="1"/>
    </row>
    <row r="569" spans="1:9" ht="14.25" customHeight="1" x14ac:dyDescent="0.25">
      <c r="A569" s="3"/>
      <c r="B569" s="3"/>
      <c r="C569" s="3"/>
      <c r="D569" s="3"/>
      <c r="E569" s="4"/>
      <c r="F569" s="3"/>
      <c r="G569" s="3"/>
      <c r="H569" s="3"/>
      <c r="I569" s="1"/>
    </row>
    <row r="570" spans="1:9" ht="14.25" customHeight="1" x14ac:dyDescent="0.25">
      <c r="A570" s="3"/>
      <c r="B570" s="3"/>
      <c r="C570" s="3"/>
      <c r="D570" s="3"/>
      <c r="E570" s="4"/>
      <c r="F570" s="3"/>
      <c r="G570" s="3"/>
      <c r="H570" s="3"/>
      <c r="I570" s="1"/>
    </row>
    <row r="571" spans="1:9" ht="14.25" customHeight="1" x14ac:dyDescent="0.25">
      <c r="A571" s="3"/>
      <c r="B571" s="3"/>
      <c r="C571" s="3"/>
      <c r="D571" s="3"/>
      <c r="E571" s="4"/>
      <c r="F571" s="3"/>
      <c r="G571" s="3"/>
      <c r="H571" s="3"/>
      <c r="I571" s="1"/>
    </row>
    <row r="572" spans="1:9" ht="14.25" customHeight="1" x14ac:dyDescent="0.25">
      <c r="A572" s="3"/>
      <c r="B572" s="3"/>
      <c r="C572" s="3"/>
      <c r="D572" s="3"/>
      <c r="E572" s="4"/>
      <c r="F572" s="3"/>
      <c r="G572" s="3"/>
      <c r="H572" s="3"/>
      <c r="I572" s="1"/>
    </row>
    <row r="573" spans="1:9" ht="14.25" customHeight="1" x14ac:dyDescent="0.25">
      <c r="A573" s="3"/>
      <c r="B573" s="3"/>
      <c r="C573" s="3"/>
      <c r="D573" s="3"/>
      <c r="E573" s="4"/>
      <c r="F573" s="3"/>
      <c r="G573" s="3"/>
      <c r="H573" s="3"/>
      <c r="I573" s="1"/>
    </row>
    <row r="574" spans="1:9" ht="14.25" customHeight="1" x14ac:dyDescent="0.25">
      <c r="A574" s="3"/>
      <c r="B574" s="3"/>
      <c r="C574" s="3"/>
      <c r="D574" s="3"/>
      <c r="E574" s="4"/>
      <c r="F574" s="3"/>
      <c r="G574" s="3"/>
      <c r="H574" s="3"/>
      <c r="I574" s="1"/>
    </row>
    <row r="575" spans="1:9" ht="14.25" customHeight="1" x14ac:dyDescent="0.25">
      <c r="A575" s="3"/>
      <c r="B575" s="3"/>
      <c r="C575" s="3"/>
      <c r="D575" s="3"/>
      <c r="E575" s="4"/>
      <c r="F575" s="3"/>
      <c r="G575" s="3"/>
      <c r="H575" s="3"/>
      <c r="I575" s="1"/>
    </row>
    <row r="576" spans="1:9" ht="14.25" customHeight="1" x14ac:dyDescent="0.25">
      <c r="A576" s="3"/>
      <c r="B576" s="3"/>
      <c r="C576" s="3"/>
      <c r="D576" s="3"/>
      <c r="E576" s="4"/>
      <c r="F576" s="3"/>
      <c r="G576" s="3"/>
      <c r="H576" s="3"/>
      <c r="I576" s="1"/>
    </row>
    <row r="577" spans="1:9" ht="14.25" customHeight="1" x14ac:dyDescent="0.25">
      <c r="A577" s="3"/>
      <c r="B577" s="3"/>
      <c r="C577" s="3"/>
      <c r="D577" s="3"/>
      <c r="E577" s="4"/>
      <c r="F577" s="3"/>
      <c r="G577" s="3"/>
      <c r="H577" s="3"/>
      <c r="I577" s="1"/>
    </row>
    <row r="578" spans="1:9" ht="14.25" customHeight="1" x14ac:dyDescent="0.25">
      <c r="A578" s="3"/>
      <c r="B578" s="3"/>
      <c r="C578" s="3"/>
      <c r="D578" s="3"/>
      <c r="E578" s="4"/>
      <c r="F578" s="3"/>
      <c r="G578" s="3"/>
      <c r="H578" s="3"/>
      <c r="I578" s="1"/>
    </row>
    <row r="579" spans="1:9" ht="14.25" customHeight="1" x14ac:dyDescent="0.25">
      <c r="A579" s="3"/>
      <c r="B579" s="3"/>
      <c r="C579" s="3"/>
      <c r="D579" s="3"/>
      <c r="E579" s="4"/>
      <c r="F579" s="3"/>
      <c r="G579" s="3"/>
      <c r="H579" s="3"/>
      <c r="I579" s="1"/>
    </row>
    <row r="580" spans="1:9" ht="14.25" customHeight="1" x14ac:dyDescent="0.25">
      <c r="A580" s="3"/>
      <c r="B580" s="3"/>
      <c r="C580" s="3"/>
      <c r="D580" s="3"/>
      <c r="E580" s="4"/>
      <c r="F580" s="3"/>
      <c r="G580" s="3"/>
      <c r="H580" s="3"/>
      <c r="I580" s="1"/>
    </row>
    <row r="581" spans="1:9" ht="14.25" customHeight="1" x14ac:dyDescent="0.25">
      <c r="A581" s="3"/>
      <c r="B581" s="3"/>
      <c r="C581" s="3"/>
      <c r="D581" s="3"/>
      <c r="E581" s="4"/>
      <c r="F581" s="3"/>
      <c r="G581" s="3"/>
      <c r="H581" s="3"/>
      <c r="I581" s="1"/>
    </row>
    <row r="582" spans="1:9" ht="14.25" customHeight="1" x14ac:dyDescent="0.25">
      <c r="A582" s="3"/>
      <c r="B582" s="3"/>
      <c r="C582" s="3"/>
      <c r="D582" s="3"/>
      <c r="E582" s="4"/>
      <c r="F582" s="3"/>
      <c r="G582" s="3"/>
      <c r="H582" s="3"/>
      <c r="I582" s="1"/>
    </row>
    <row r="583" spans="1:9" ht="14.25" customHeight="1" x14ac:dyDescent="0.25">
      <c r="A583" s="3"/>
      <c r="B583" s="3"/>
      <c r="C583" s="3"/>
      <c r="D583" s="3"/>
      <c r="E583" s="4"/>
      <c r="F583" s="3"/>
      <c r="G583" s="3"/>
      <c r="H583" s="3"/>
      <c r="I583" s="1"/>
    </row>
    <row r="584" spans="1:9" ht="14.25" customHeight="1" x14ac:dyDescent="0.25">
      <c r="A584" s="3"/>
      <c r="B584" s="3"/>
      <c r="C584" s="3"/>
      <c r="D584" s="3"/>
      <c r="E584" s="4"/>
      <c r="F584" s="3"/>
      <c r="G584" s="3"/>
      <c r="H584" s="3"/>
      <c r="I584" s="1"/>
    </row>
    <row r="585" spans="1:9" ht="14.25" customHeight="1" x14ac:dyDescent="0.25">
      <c r="A585" s="3"/>
      <c r="B585" s="3"/>
      <c r="C585" s="3"/>
      <c r="D585" s="3"/>
      <c r="E585" s="4"/>
      <c r="F585" s="3"/>
      <c r="G585" s="3"/>
      <c r="H585" s="3"/>
      <c r="I585" s="1"/>
    </row>
    <row r="586" spans="1:9" ht="14.25" customHeight="1" x14ac:dyDescent="0.25">
      <c r="A586" s="3"/>
      <c r="B586" s="3"/>
      <c r="C586" s="3"/>
      <c r="D586" s="3"/>
      <c r="E586" s="4"/>
      <c r="F586" s="3"/>
      <c r="G586" s="3"/>
      <c r="H586" s="3"/>
      <c r="I586" s="1"/>
    </row>
    <row r="587" spans="1:9" ht="14.25" customHeight="1" x14ac:dyDescent="0.25">
      <c r="A587" s="3"/>
      <c r="B587" s="3"/>
      <c r="C587" s="3"/>
      <c r="D587" s="3"/>
      <c r="E587" s="4"/>
      <c r="F587" s="3"/>
      <c r="G587" s="3"/>
      <c r="H587" s="3"/>
      <c r="I587" s="1"/>
    </row>
    <row r="588" spans="1:9" ht="14.25" customHeight="1" x14ac:dyDescent="0.25">
      <c r="A588" s="3"/>
      <c r="B588" s="3"/>
      <c r="C588" s="3"/>
      <c r="D588" s="3"/>
      <c r="E588" s="4"/>
      <c r="F588" s="3"/>
      <c r="G588" s="3"/>
      <c r="H588" s="3"/>
      <c r="I588" s="1"/>
    </row>
    <row r="589" spans="1:9" ht="14.25" customHeight="1" x14ac:dyDescent="0.25">
      <c r="A589" s="3"/>
      <c r="B589" s="3"/>
      <c r="C589" s="3"/>
      <c r="D589" s="3"/>
      <c r="E589" s="4"/>
      <c r="F589" s="3"/>
      <c r="G589" s="3"/>
      <c r="H589" s="3"/>
      <c r="I589" s="1"/>
    </row>
    <row r="590" spans="1:9" ht="14.25" customHeight="1" x14ac:dyDescent="0.25">
      <c r="A590" s="3"/>
      <c r="B590" s="3"/>
      <c r="C590" s="3"/>
      <c r="D590" s="3"/>
      <c r="E590" s="4"/>
      <c r="F590" s="3"/>
      <c r="G590" s="3"/>
      <c r="H590" s="3"/>
      <c r="I590" s="1"/>
    </row>
    <row r="591" spans="1:9" ht="14.25" customHeight="1" x14ac:dyDescent="0.25">
      <c r="A591" s="3"/>
      <c r="B591" s="3"/>
      <c r="C591" s="3"/>
      <c r="D591" s="3"/>
      <c r="E591" s="4"/>
      <c r="F591" s="3"/>
      <c r="G591" s="3"/>
      <c r="H591" s="3"/>
      <c r="I591" s="1"/>
    </row>
    <row r="592" spans="1:9" ht="14.25" customHeight="1" x14ac:dyDescent="0.25">
      <c r="A592" s="3"/>
      <c r="B592" s="3"/>
      <c r="C592" s="3"/>
      <c r="D592" s="3"/>
      <c r="E592" s="4"/>
      <c r="F592" s="3"/>
      <c r="G592" s="3"/>
      <c r="H592" s="3"/>
      <c r="I592" s="1"/>
    </row>
    <row r="593" spans="1:9" ht="14.25" customHeight="1" x14ac:dyDescent="0.25">
      <c r="A593" s="3"/>
      <c r="B593" s="3"/>
      <c r="C593" s="3"/>
      <c r="D593" s="3"/>
      <c r="E593" s="4"/>
      <c r="F593" s="3"/>
      <c r="G593" s="3"/>
      <c r="H593" s="3"/>
      <c r="I593" s="1"/>
    </row>
    <row r="594" spans="1:9" ht="14.25" customHeight="1" x14ac:dyDescent="0.25">
      <c r="A594" s="3"/>
      <c r="B594" s="3"/>
      <c r="C594" s="3"/>
      <c r="D594" s="3"/>
      <c r="E594" s="4"/>
      <c r="F594" s="3"/>
      <c r="G594" s="3"/>
      <c r="H594" s="3"/>
      <c r="I594" s="1"/>
    </row>
    <row r="595" spans="1:9" ht="14.25" customHeight="1" x14ac:dyDescent="0.25">
      <c r="A595" s="3"/>
      <c r="B595" s="3"/>
      <c r="C595" s="3"/>
      <c r="D595" s="3"/>
      <c r="E595" s="4"/>
      <c r="F595" s="3"/>
      <c r="G595" s="3"/>
      <c r="H595" s="3"/>
      <c r="I595" s="1"/>
    </row>
    <row r="596" spans="1:9" ht="14.25" customHeight="1" x14ac:dyDescent="0.25">
      <c r="A596" s="3"/>
      <c r="B596" s="3"/>
      <c r="C596" s="3"/>
      <c r="D596" s="3"/>
      <c r="E596" s="4"/>
      <c r="F596" s="3"/>
      <c r="G596" s="3"/>
      <c r="H596" s="3"/>
      <c r="I596" s="1"/>
    </row>
    <row r="597" spans="1:9" ht="14.25" customHeight="1" x14ac:dyDescent="0.25">
      <c r="A597" s="3"/>
      <c r="B597" s="3"/>
      <c r="C597" s="3"/>
      <c r="D597" s="3"/>
      <c r="E597" s="4"/>
      <c r="F597" s="3"/>
      <c r="G597" s="3"/>
      <c r="H597" s="3"/>
      <c r="I597" s="1"/>
    </row>
    <row r="598" spans="1:9" ht="14.25" customHeight="1" x14ac:dyDescent="0.25">
      <c r="A598" s="3"/>
      <c r="B598" s="3"/>
      <c r="C598" s="3"/>
      <c r="D598" s="3"/>
      <c r="E598" s="4"/>
      <c r="F598" s="3"/>
      <c r="G598" s="3"/>
      <c r="H598" s="3"/>
      <c r="I598" s="1"/>
    </row>
    <row r="599" spans="1:9" ht="14.25" customHeight="1" x14ac:dyDescent="0.25">
      <c r="A599" s="3"/>
      <c r="B599" s="3"/>
      <c r="C599" s="3"/>
      <c r="D599" s="3"/>
      <c r="E599" s="4"/>
      <c r="F599" s="3"/>
      <c r="G599" s="3"/>
      <c r="H599" s="3"/>
      <c r="I599" s="1"/>
    </row>
    <row r="600" spans="1:9" ht="14.25" customHeight="1" x14ac:dyDescent="0.25">
      <c r="A600" s="3"/>
      <c r="B600" s="3"/>
      <c r="C600" s="3"/>
      <c r="D600" s="3"/>
      <c r="E600" s="4"/>
      <c r="F600" s="3"/>
      <c r="G600" s="3"/>
      <c r="H600" s="3"/>
      <c r="I600" s="1"/>
    </row>
    <row r="601" spans="1:9" ht="14.25" customHeight="1" x14ac:dyDescent="0.25">
      <c r="A601" s="3"/>
      <c r="B601" s="3"/>
      <c r="C601" s="3"/>
      <c r="D601" s="3"/>
      <c r="E601" s="4"/>
      <c r="F601" s="3"/>
      <c r="G601" s="3"/>
      <c r="H601" s="3"/>
      <c r="I601" s="1"/>
    </row>
    <row r="602" spans="1:9" ht="14.25" customHeight="1" x14ac:dyDescent="0.25">
      <c r="A602" s="3"/>
      <c r="B602" s="3"/>
      <c r="C602" s="3"/>
      <c r="D602" s="3"/>
      <c r="E602" s="4"/>
      <c r="F602" s="3"/>
      <c r="G602" s="3"/>
      <c r="H602" s="3"/>
      <c r="I602" s="1"/>
    </row>
    <row r="603" spans="1:9" ht="14.25" customHeight="1" x14ac:dyDescent="0.25">
      <c r="A603" s="3"/>
      <c r="B603" s="3"/>
      <c r="C603" s="3"/>
      <c r="D603" s="3"/>
      <c r="E603" s="4"/>
      <c r="F603" s="3"/>
      <c r="G603" s="3"/>
      <c r="H603" s="3"/>
      <c r="I603" s="1"/>
    </row>
    <row r="604" spans="1:9" ht="14.25" customHeight="1" x14ac:dyDescent="0.25">
      <c r="A604" s="3"/>
      <c r="B604" s="3"/>
      <c r="C604" s="3"/>
      <c r="D604" s="3"/>
      <c r="E604" s="4"/>
      <c r="F604" s="3"/>
      <c r="G604" s="3"/>
      <c r="H604" s="3"/>
      <c r="I604" s="1"/>
    </row>
    <row r="605" spans="1:9" ht="14.25" customHeight="1" x14ac:dyDescent="0.25">
      <c r="A605" s="3"/>
      <c r="B605" s="3"/>
      <c r="C605" s="3"/>
      <c r="D605" s="3"/>
      <c r="E605" s="4"/>
      <c r="F605" s="3"/>
      <c r="G605" s="3"/>
      <c r="H605" s="3"/>
      <c r="I605" s="1"/>
    </row>
    <row r="606" spans="1:9" ht="14.25" customHeight="1" x14ac:dyDescent="0.25">
      <c r="A606" s="3"/>
      <c r="B606" s="3"/>
      <c r="C606" s="3"/>
      <c r="D606" s="3"/>
      <c r="E606" s="4"/>
      <c r="F606" s="3"/>
      <c r="G606" s="3"/>
      <c r="H606" s="3"/>
      <c r="I606" s="1"/>
    </row>
    <row r="607" spans="1:9" ht="14.25" customHeight="1" x14ac:dyDescent="0.25">
      <c r="A607" s="3"/>
      <c r="B607" s="3"/>
      <c r="C607" s="3"/>
      <c r="D607" s="3"/>
      <c r="E607" s="4"/>
      <c r="F607" s="3"/>
      <c r="G607" s="3"/>
      <c r="H607" s="3"/>
      <c r="I607" s="1"/>
    </row>
    <row r="608" spans="1:9" ht="14.25" customHeight="1" x14ac:dyDescent="0.25">
      <c r="A608" s="3"/>
      <c r="B608" s="3"/>
      <c r="C608" s="3"/>
      <c r="D608" s="3"/>
      <c r="E608" s="4"/>
      <c r="F608" s="3"/>
      <c r="G608" s="3"/>
      <c r="H608" s="3"/>
      <c r="I608" s="1"/>
    </row>
    <row r="609" spans="1:9" ht="14.25" customHeight="1" x14ac:dyDescent="0.25">
      <c r="A609" s="3"/>
      <c r="B609" s="3"/>
      <c r="C609" s="3"/>
      <c r="D609" s="3"/>
      <c r="E609" s="4"/>
      <c r="F609" s="3"/>
      <c r="G609" s="3"/>
      <c r="H609" s="3"/>
      <c r="I609" s="1"/>
    </row>
    <row r="610" spans="1:9" ht="14.25" customHeight="1" x14ac:dyDescent="0.25">
      <c r="A610" s="3"/>
      <c r="B610" s="3"/>
      <c r="C610" s="3"/>
      <c r="D610" s="3"/>
      <c r="E610" s="4"/>
      <c r="F610" s="3"/>
      <c r="G610" s="3"/>
      <c r="H610" s="3"/>
      <c r="I610" s="1"/>
    </row>
    <row r="611" spans="1:9" ht="14.25" customHeight="1" x14ac:dyDescent="0.25">
      <c r="A611" s="3"/>
      <c r="B611" s="3"/>
      <c r="C611" s="3"/>
      <c r="D611" s="3"/>
      <c r="E611" s="4"/>
      <c r="F611" s="3"/>
      <c r="G611" s="3"/>
      <c r="H611" s="3"/>
      <c r="I611" s="1"/>
    </row>
    <row r="612" spans="1:9" ht="14.25" customHeight="1" x14ac:dyDescent="0.25">
      <c r="A612" s="3"/>
      <c r="B612" s="3"/>
      <c r="C612" s="3"/>
      <c r="D612" s="3"/>
      <c r="E612" s="4"/>
      <c r="F612" s="3"/>
      <c r="G612" s="3"/>
      <c r="H612" s="3"/>
      <c r="I612" s="1"/>
    </row>
    <row r="613" spans="1:9" ht="14.25" customHeight="1" x14ac:dyDescent="0.25">
      <c r="A613" s="3"/>
      <c r="B613" s="3"/>
      <c r="C613" s="3"/>
      <c r="D613" s="3"/>
      <c r="E613" s="4"/>
      <c r="F613" s="3"/>
      <c r="G613" s="3"/>
      <c r="H613" s="3"/>
      <c r="I613" s="1"/>
    </row>
    <row r="614" spans="1:9" ht="14.25" customHeight="1" x14ac:dyDescent="0.25">
      <c r="A614" s="3"/>
      <c r="B614" s="3"/>
      <c r="C614" s="3"/>
      <c r="D614" s="3"/>
      <c r="E614" s="4"/>
      <c r="F614" s="3"/>
      <c r="G614" s="3"/>
      <c r="H614" s="3"/>
      <c r="I614" s="1"/>
    </row>
    <row r="615" spans="1:9" ht="14.25" customHeight="1" x14ac:dyDescent="0.25">
      <c r="A615" s="3"/>
      <c r="B615" s="3"/>
      <c r="C615" s="3"/>
      <c r="D615" s="3"/>
      <c r="E615" s="4"/>
      <c r="F615" s="3"/>
      <c r="G615" s="3"/>
      <c r="H615" s="3"/>
      <c r="I615" s="1"/>
    </row>
    <row r="616" spans="1:9" ht="14.25" customHeight="1" x14ac:dyDescent="0.25">
      <c r="A616" s="3"/>
      <c r="B616" s="3"/>
      <c r="C616" s="3"/>
      <c r="D616" s="3"/>
      <c r="E616" s="4"/>
      <c r="F616" s="3"/>
      <c r="G616" s="3"/>
      <c r="H616" s="3"/>
      <c r="I616" s="1"/>
    </row>
    <row r="617" spans="1:9" ht="14.25" customHeight="1" x14ac:dyDescent="0.25">
      <c r="A617" s="3"/>
      <c r="B617" s="3"/>
      <c r="C617" s="3"/>
      <c r="D617" s="3"/>
      <c r="E617" s="4"/>
      <c r="F617" s="3"/>
      <c r="G617" s="3"/>
      <c r="H617" s="3"/>
      <c r="I617" s="1"/>
    </row>
    <row r="618" spans="1:9" ht="14.25" customHeight="1" x14ac:dyDescent="0.25">
      <c r="A618" s="3"/>
      <c r="B618" s="3"/>
      <c r="C618" s="3"/>
      <c r="D618" s="3"/>
      <c r="E618" s="4"/>
      <c r="F618" s="3"/>
      <c r="G618" s="3"/>
      <c r="H618" s="3"/>
      <c r="I618" s="1"/>
    </row>
    <row r="619" spans="1:9" ht="14.25" customHeight="1" x14ac:dyDescent="0.25">
      <c r="A619" s="3"/>
      <c r="B619" s="3"/>
      <c r="C619" s="3"/>
      <c r="D619" s="3"/>
      <c r="E619" s="4"/>
      <c r="F619" s="3"/>
      <c r="G619" s="3"/>
      <c r="H619" s="3"/>
      <c r="I619" s="1"/>
    </row>
    <row r="620" spans="1:9" ht="14.25" customHeight="1" x14ac:dyDescent="0.25">
      <c r="A620" s="3"/>
      <c r="B620" s="3"/>
      <c r="C620" s="3"/>
      <c r="D620" s="3"/>
      <c r="E620" s="4"/>
      <c r="F620" s="3"/>
      <c r="G620" s="3"/>
      <c r="H620" s="3"/>
      <c r="I620" s="1"/>
    </row>
    <row r="621" spans="1:9" ht="14.25" customHeight="1" x14ac:dyDescent="0.25">
      <c r="A621" s="3"/>
      <c r="B621" s="3"/>
      <c r="C621" s="3"/>
      <c r="D621" s="3"/>
      <c r="E621" s="4"/>
      <c r="F621" s="3"/>
      <c r="G621" s="3"/>
      <c r="H621" s="3"/>
      <c r="I621" s="1"/>
    </row>
    <row r="622" spans="1:9" ht="14.25" customHeight="1" x14ac:dyDescent="0.25">
      <c r="A622" s="3"/>
      <c r="B622" s="3"/>
      <c r="C622" s="3"/>
      <c r="D622" s="3"/>
      <c r="E622" s="4"/>
      <c r="F622" s="3"/>
      <c r="G622" s="3"/>
      <c r="H622" s="3"/>
      <c r="I622" s="1"/>
    </row>
    <row r="623" spans="1:9" ht="14.25" customHeight="1" x14ac:dyDescent="0.25">
      <c r="A623" s="3"/>
      <c r="B623" s="3"/>
      <c r="C623" s="3"/>
      <c r="D623" s="3"/>
      <c r="E623" s="4"/>
      <c r="F623" s="3"/>
      <c r="G623" s="3"/>
      <c r="H623" s="3"/>
      <c r="I623" s="1"/>
    </row>
    <row r="624" spans="1:9" ht="14.25" customHeight="1" x14ac:dyDescent="0.25">
      <c r="A624" s="3"/>
      <c r="B624" s="3"/>
      <c r="C624" s="3"/>
      <c r="D624" s="3"/>
      <c r="E624" s="4"/>
      <c r="F624" s="3"/>
      <c r="G624" s="3"/>
      <c r="H624" s="3"/>
      <c r="I624" s="1"/>
    </row>
    <row r="625" spans="1:9" ht="14.25" customHeight="1" x14ac:dyDescent="0.25">
      <c r="A625" s="3"/>
      <c r="B625" s="3"/>
      <c r="C625" s="3"/>
      <c r="D625" s="3"/>
      <c r="E625" s="4"/>
      <c r="F625" s="3"/>
      <c r="G625" s="3"/>
      <c r="H625" s="3"/>
      <c r="I625" s="1"/>
    </row>
    <row r="626" spans="1:9" ht="14.25" customHeight="1" x14ac:dyDescent="0.25">
      <c r="A626" s="3"/>
      <c r="B626" s="3"/>
      <c r="C626" s="3"/>
      <c r="D626" s="3"/>
      <c r="E626" s="4"/>
      <c r="F626" s="3"/>
      <c r="G626" s="3"/>
      <c r="H626" s="3"/>
      <c r="I626" s="1"/>
    </row>
    <row r="627" spans="1:9" ht="14.25" customHeight="1" x14ac:dyDescent="0.25">
      <c r="A627" s="3"/>
      <c r="B627" s="3"/>
      <c r="C627" s="3"/>
      <c r="D627" s="3"/>
      <c r="E627" s="4"/>
      <c r="F627" s="3"/>
      <c r="G627" s="3"/>
      <c r="H627" s="3"/>
      <c r="I627" s="1"/>
    </row>
    <row r="628" spans="1:9" ht="14.25" customHeight="1" x14ac:dyDescent="0.25">
      <c r="A628" s="3"/>
      <c r="B628" s="3"/>
      <c r="C628" s="3"/>
      <c r="D628" s="3"/>
      <c r="E628" s="4"/>
      <c r="F628" s="3"/>
      <c r="G628" s="3"/>
      <c r="H628" s="3"/>
      <c r="I628" s="1"/>
    </row>
    <row r="629" spans="1:9" ht="14.25" customHeight="1" x14ac:dyDescent="0.25">
      <c r="A629" s="3"/>
      <c r="B629" s="3"/>
      <c r="C629" s="3"/>
      <c r="D629" s="3"/>
      <c r="E629" s="4"/>
      <c r="F629" s="3"/>
      <c r="G629" s="3"/>
      <c r="H629" s="3"/>
      <c r="I629" s="1"/>
    </row>
    <row r="630" spans="1:9" ht="14.25" customHeight="1" x14ac:dyDescent="0.25">
      <c r="A630" s="3"/>
      <c r="B630" s="3"/>
      <c r="C630" s="3"/>
      <c r="D630" s="3"/>
      <c r="E630" s="4"/>
      <c r="F630" s="3"/>
      <c r="G630" s="3"/>
      <c r="H630" s="3"/>
      <c r="I630" s="1"/>
    </row>
    <row r="631" spans="1:9" ht="14.25" customHeight="1" x14ac:dyDescent="0.25">
      <c r="A631" s="3"/>
      <c r="B631" s="3"/>
      <c r="C631" s="3"/>
      <c r="D631" s="3"/>
      <c r="E631" s="4"/>
      <c r="F631" s="3"/>
      <c r="G631" s="3"/>
      <c r="H631" s="3"/>
      <c r="I631" s="1"/>
    </row>
    <row r="632" spans="1:9" ht="14.25" customHeight="1" x14ac:dyDescent="0.25">
      <c r="A632" s="3"/>
      <c r="B632" s="3"/>
      <c r="C632" s="3"/>
      <c r="D632" s="3"/>
      <c r="E632" s="4"/>
      <c r="F632" s="3"/>
      <c r="G632" s="3"/>
      <c r="H632" s="3"/>
      <c r="I632" s="1"/>
    </row>
    <row r="633" spans="1:9" ht="14.25" customHeight="1" x14ac:dyDescent="0.25">
      <c r="A633" s="3"/>
      <c r="B633" s="3"/>
      <c r="C633" s="3"/>
      <c r="D633" s="3"/>
      <c r="E633" s="4"/>
      <c r="F633" s="3"/>
      <c r="G633" s="3"/>
      <c r="H633" s="3"/>
      <c r="I633" s="1"/>
    </row>
    <row r="634" spans="1:9" ht="14.25" customHeight="1" x14ac:dyDescent="0.25">
      <c r="A634" s="3"/>
      <c r="B634" s="3"/>
      <c r="C634" s="3"/>
      <c r="D634" s="3"/>
      <c r="E634" s="4"/>
      <c r="F634" s="3"/>
      <c r="G634" s="3"/>
      <c r="H634" s="3"/>
      <c r="I634" s="1"/>
    </row>
    <row r="635" spans="1:9" ht="14.25" customHeight="1" x14ac:dyDescent="0.25">
      <c r="A635" s="3"/>
      <c r="B635" s="3"/>
      <c r="C635" s="3"/>
      <c r="D635" s="3"/>
      <c r="E635" s="4"/>
      <c r="F635" s="3"/>
      <c r="G635" s="3"/>
      <c r="H635" s="3"/>
      <c r="I635" s="1"/>
    </row>
    <row r="636" spans="1:9" ht="14.25" customHeight="1" x14ac:dyDescent="0.25">
      <c r="A636" s="3"/>
      <c r="B636" s="3"/>
      <c r="C636" s="3"/>
      <c r="D636" s="3"/>
      <c r="E636" s="4"/>
      <c r="F636" s="3"/>
      <c r="G636" s="3"/>
      <c r="H636" s="3"/>
      <c r="I636" s="1"/>
    </row>
    <row r="637" spans="1:9" ht="14.25" customHeight="1" x14ac:dyDescent="0.25">
      <c r="A637" s="3"/>
      <c r="B637" s="3"/>
      <c r="C637" s="3"/>
      <c r="D637" s="3"/>
      <c r="E637" s="4"/>
      <c r="F637" s="3"/>
      <c r="G637" s="3"/>
      <c r="H637" s="3"/>
      <c r="I637" s="1"/>
    </row>
    <row r="638" spans="1:9" ht="14.25" customHeight="1" x14ac:dyDescent="0.25">
      <c r="A638" s="3"/>
      <c r="B638" s="3"/>
      <c r="C638" s="3"/>
      <c r="D638" s="3"/>
      <c r="E638" s="4"/>
      <c r="F638" s="3"/>
      <c r="G638" s="3"/>
      <c r="H638" s="3"/>
      <c r="I638" s="1"/>
    </row>
    <row r="639" spans="1:9" ht="14.25" customHeight="1" x14ac:dyDescent="0.25">
      <c r="A639" s="3"/>
      <c r="B639" s="3"/>
      <c r="C639" s="3"/>
      <c r="D639" s="3"/>
      <c r="E639" s="4"/>
      <c r="F639" s="3"/>
      <c r="G639" s="3"/>
      <c r="H639" s="3"/>
      <c r="I639" s="1"/>
    </row>
    <row r="640" spans="1:9" ht="14.25" customHeight="1" x14ac:dyDescent="0.25">
      <c r="A640" s="3"/>
      <c r="B640" s="3"/>
      <c r="C640" s="3"/>
      <c r="D640" s="3"/>
      <c r="E640" s="4"/>
      <c r="F640" s="3"/>
      <c r="G640" s="3"/>
      <c r="H640" s="3"/>
      <c r="I640" s="1"/>
    </row>
    <row r="641" spans="1:9" ht="14.25" customHeight="1" x14ac:dyDescent="0.25">
      <c r="A641" s="3"/>
      <c r="B641" s="3"/>
      <c r="C641" s="3"/>
      <c r="D641" s="3"/>
      <c r="E641" s="4"/>
      <c r="F641" s="3"/>
      <c r="G641" s="3"/>
      <c r="H641" s="3"/>
      <c r="I641" s="1"/>
    </row>
    <row r="642" spans="1:9" ht="14.25" customHeight="1" x14ac:dyDescent="0.25">
      <c r="A642" s="3"/>
      <c r="B642" s="3"/>
      <c r="C642" s="3"/>
      <c r="D642" s="3"/>
      <c r="E642" s="4"/>
      <c r="F642" s="3"/>
      <c r="G642" s="3"/>
      <c r="H642" s="3"/>
      <c r="I642" s="1"/>
    </row>
    <row r="643" spans="1:9" ht="14.25" customHeight="1" x14ac:dyDescent="0.25">
      <c r="A643" s="3"/>
      <c r="B643" s="3"/>
      <c r="C643" s="3"/>
      <c r="D643" s="3"/>
      <c r="E643" s="4"/>
      <c r="F643" s="3"/>
      <c r="G643" s="3"/>
      <c r="H643" s="3"/>
      <c r="I643" s="1"/>
    </row>
    <row r="644" spans="1:9" ht="14.25" customHeight="1" x14ac:dyDescent="0.25">
      <c r="A644" s="3"/>
      <c r="B644" s="3"/>
      <c r="C644" s="3"/>
      <c r="D644" s="3"/>
      <c r="E644" s="4"/>
      <c r="F644" s="3"/>
      <c r="G644" s="3"/>
      <c r="H644" s="3"/>
      <c r="I644" s="1"/>
    </row>
    <row r="645" spans="1:9" ht="14.25" customHeight="1" x14ac:dyDescent="0.25">
      <c r="A645" s="3"/>
      <c r="B645" s="3"/>
      <c r="C645" s="3"/>
      <c r="D645" s="3"/>
      <c r="E645" s="4"/>
      <c r="F645" s="3"/>
      <c r="G645" s="3"/>
      <c r="H645" s="3"/>
      <c r="I645" s="1"/>
    </row>
    <row r="646" spans="1:9" ht="14.25" customHeight="1" x14ac:dyDescent="0.25">
      <c r="A646" s="3"/>
      <c r="B646" s="3"/>
      <c r="C646" s="3"/>
      <c r="D646" s="3"/>
      <c r="E646" s="4"/>
      <c r="F646" s="3"/>
      <c r="G646" s="3"/>
      <c r="H646" s="3"/>
      <c r="I646" s="1"/>
    </row>
    <row r="647" spans="1:9" ht="14.25" customHeight="1" x14ac:dyDescent="0.25">
      <c r="A647" s="3"/>
      <c r="B647" s="3"/>
      <c r="C647" s="3"/>
      <c r="D647" s="3"/>
      <c r="E647" s="4"/>
      <c r="F647" s="3"/>
      <c r="G647" s="3"/>
      <c r="H647" s="3"/>
      <c r="I647" s="1"/>
    </row>
    <row r="648" spans="1:9" ht="14.25" customHeight="1" x14ac:dyDescent="0.25">
      <c r="A648" s="3"/>
      <c r="B648" s="3"/>
      <c r="C648" s="3"/>
      <c r="D648" s="3"/>
      <c r="E648" s="4"/>
      <c r="F648" s="3"/>
      <c r="G648" s="3"/>
      <c r="H648" s="3"/>
      <c r="I648" s="1"/>
    </row>
    <row r="649" spans="1:9" ht="14.25" customHeight="1" x14ac:dyDescent="0.25">
      <c r="A649" s="3"/>
      <c r="B649" s="3"/>
      <c r="C649" s="3"/>
      <c r="D649" s="3"/>
      <c r="E649" s="4"/>
      <c r="F649" s="3"/>
      <c r="G649" s="3"/>
      <c r="H649" s="3"/>
      <c r="I649" s="1"/>
    </row>
    <row r="650" spans="1:9" ht="14.25" customHeight="1" x14ac:dyDescent="0.25">
      <c r="A650" s="3"/>
      <c r="B650" s="3"/>
      <c r="C650" s="3"/>
      <c r="D650" s="3"/>
      <c r="E650" s="4"/>
      <c r="F650" s="3"/>
      <c r="G650" s="3"/>
      <c r="H650" s="3"/>
      <c r="I650" s="1"/>
    </row>
    <row r="651" spans="1:9" ht="14.25" customHeight="1" x14ac:dyDescent="0.25">
      <c r="A651" s="3"/>
      <c r="B651" s="3"/>
      <c r="C651" s="3"/>
      <c r="D651" s="3"/>
      <c r="E651" s="4"/>
      <c r="F651" s="3"/>
      <c r="G651" s="3"/>
      <c r="H651" s="3"/>
      <c r="I651" s="1"/>
    </row>
    <row r="652" spans="1:9" ht="14.25" customHeight="1" x14ac:dyDescent="0.25">
      <c r="A652" s="3"/>
      <c r="B652" s="3"/>
      <c r="C652" s="3"/>
      <c r="D652" s="3"/>
      <c r="E652" s="4"/>
      <c r="F652" s="3"/>
      <c r="G652" s="3"/>
      <c r="H652" s="3"/>
      <c r="I652" s="1"/>
    </row>
    <row r="653" spans="1:9" ht="14.25" customHeight="1" x14ac:dyDescent="0.25">
      <c r="A653" s="3"/>
      <c r="B653" s="3"/>
      <c r="C653" s="3"/>
      <c r="D653" s="3"/>
      <c r="E653" s="4"/>
      <c r="F653" s="3"/>
      <c r="G653" s="3"/>
      <c r="H653" s="3"/>
      <c r="I653" s="1"/>
    </row>
    <row r="654" spans="1:9" ht="14.25" customHeight="1" x14ac:dyDescent="0.25">
      <c r="A654" s="3"/>
      <c r="B654" s="3"/>
      <c r="C654" s="3"/>
      <c r="D654" s="3"/>
      <c r="E654" s="4"/>
      <c r="F654" s="3"/>
      <c r="G654" s="3"/>
      <c r="H654" s="3"/>
      <c r="I654" s="1"/>
    </row>
    <row r="655" spans="1:9" ht="14.25" customHeight="1" x14ac:dyDescent="0.25">
      <c r="A655" s="3"/>
      <c r="B655" s="3"/>
      <c r="C655" s="3"/>
      <c r="D655" s="3"/>
      <c r="E655" s="4"/>
      <c r="F655" s="3"/>
      <c r="G655" s="3"/>
      <c r="H655" s="3"/>
      <c r="I655" s="1"/>
    </row>
    <row r="656" spans="1:9" ht="14.25" customHeight="1" x14ac:dyDescent="0.25">
      <c r="A656" s="3"/>
      <c r="B656" s="3"/>
      <c r="C656" s="3"/>
      <c r="D656" s="3"/>
      <c r="E656" s="4"/>
      <c r="F656" s="3"/>
      <c r="G656" s="3"/>
      <c r="H656" s="3"/>
      <c r="I656" s="1"/>
    </row>
    <row r="657" spans="1:9" ht="14.25" customHeight="1" x14ac:dyDescent="0.25">
      <c r="A657" s="3"/>
      <c r="B657" s="3"/>
      <c r="C657" s="3"/>
      <c r="D657" s="3"/>
      <c r="E657" s="4"/>
      <c r="F657" s="3"/>
      <c r="G657" s="3"/>
      <c r="H657" s="3"/>
      <c r="I657" s="1"/>
    </row>
    <row r="658" spans="1:9" ht="14.25" customHeight="1" x14ac:dyDescent="0.25">
      <c r="A658" s="3"/>
      <c r="B658" s="3"/>
      <c r="C658" s="3"/>
      <c r="D658" s="3"/>
      <c r="E658" s="4"/>
      <c r="F658" s="3"/>
      <c r="G658" s="3"/>
      <c r="H658" s="3"/>
      <c r="I658" s="1"/>
    </row>
    <row r="659" spans="1:9" ht="14.25" customHeight="1" x14ac:dyDescent="0.25">
      <c r="A659" s="3"/>
      <c r="B659" s="3"/>
      <c r="C659" s="3"/>
      <c r="D659" s="3"/>
      <c r="E659" s="4"/>
      <c r="F659" s="3"/>
      <c r="G659" s="3"/>
      <c r="H659" s="3"/>
      <c r="I659" s="1"/>
    </row>
    <row r="660" spans="1:9" ht="14.25" customHeight="1" x14ac:dyDescent="0.25">
      <c r="A660" s="3"/>
      <c r="B660" s="3"/>
      <c r="C660" s="3"/>
      <c r="D660" s="3"/>
      <c r="E660" s="4"/>
      <c r="F660" s="3"/>
      <c r="G660" s="3"/>
      <c r="H660" s="3"/>
      <c r="I660" s="1"/>
    </row>
    <row r="661" spans="1:9" ht="14.25" customHeight="1" x14ac:dyDescent="0.25">
      <c r="A661" s="3"/>
      <c r="B661" s="3"/>
      <c r="C661" s="3"/>
      <c r="D661" s="3"/>
      <c r="E661" s="4"/>
      <c r="F661" s="3"/>
      <c r="G661" s="3"/>
      <c r="H661" s="3"/>
      <c r="I661" s="1"/>
    </row>
    <row r="662" spans="1:9" ht="14.25" customHeight="1" x14ac:dyDescent="0.25">
      <c r="A662" s="3"/>
      <c r="B662" s="3"/>
      <c r="C662" s="3"/>
      <c r="D662" s="3"/>
      <c r="E662" s="4"/>
      <c r="F662" s="3"/>
      <c r="G662" s="3"/>
      <c r="H662" s="3"/>
      <c r="I662" s="1"/>
    </row>
    <row r="663" spans="1:9" ht="14.25" customHeight="1" x14ac:dyDescent="0.25">
      <c r="A663" s="3"/>
      <c r="B663" s="3"/>
      <c r="C663" s="3"/>
      <c r="D663" s="3"/>
      <c r="E663" s="4"/>
      <c r="F663" s="3"/>
      <c r="G663" s="3"/>
      <c r="H663" s="3"/>
      <c r="I663" s="1"/>
    </row>
    <row r="664" spans="1:9" ht="14.25" customHeight="1" x14ac:dyDescent="0.25">
      <c r="A664" s="3"/>
      <c r="B664" s="3"/>
      <c r="C664" s="3"/>
      <c r="D664" s="3"/>
      <c r="E664" s="4"/>
      <c r="F664" s="3"/>
      <c r="G664" s="3"/>
      <c r="H664" s="3"/>
      <c r="I664" s="1"/>
    </row>
    <row r="665" spans="1:9" ht="14.25" customHeight="1" x14ac:dyDescent="0.25">
      <c r="A665" s="3"/>
      <c r="B665" s="3"/>
      <c r="C665" s="3"/>
      <c r="D665" s="3"/>
      <c r="E665" s="4"/>
      <c r="F665" s="3"/>
      <c r="G665" s="3"/>
      <c r="H665" s="3"/>
      <c r="I665" s="1"/>
    </row>
    <row r="666" spans="1:9" ht="14.25" customHeight="1" x14ac:dyDescent="0.25">
      <c r="A666" s="3"/>
      <c r="B666" s="3"/>
      <c r="C666" s="3"/>
      <c r="D666" s="3"/>
      <c r="E666" s="4"/>
      <c r="F666" s="3"/>
      <c r="G666" s="3"/>
      <c r="H666" s="3"/>
      <c r="I666" s="1"/>
    </row>
    <row r="667" spans="1:9" ht="14.25" customHeight="1" x14ac:dyDescent="0.25">
      <c r="A667" s="3"/>
      <c r="B667" s="3"/>
      <c r="C667" s="3"/>
      <c r="D667" s="3"/>
      <c r="E667" s="4"/>
      <c r="F667" s="3"/>
      <c r="G667" s="3"/>
      <c r="H667" s="3"/>
      <c r="I667" s="1"/>
    </row>
    <row r="668" spans="1:9" ht="14.25" customHeight="1" x14ac:dyDescent="0.25">
      <c r="A668" s="3"/>
      <c r="B668" s="3"/>
      <c r="C668" s="3"/>
      <c r="D668" s="3"/>
      <c r="E668" s="4"/>
      <c r="F668" s="3"/>
      <c r="G668" s="3"/>
      <c r="H668" s="3"/>
      <c r="I668" s="1"/>
    </row>
    <row r="669" spans="1:9" ht="14.25" customHeight="1" x14ac:dyDescent="0.25">
      <c r="A669" s="3"/>
      <c r="B669" s="3"/>
      <c r="C669" s="3"/>
      <c r="D669" s="3"/>
      <c r="E669" s="4"/>
      <c r="F669" s="3"/>
      <c r="G669" s="3"/>
      <c r="H669" s="3"/>
      <c r="I669" s="1"/>
    </row>
    <row r="670" spans="1:9" ht="14.25" customHeight="1" x14ac:dyDescent="0.25">
      <c r="A670" s="3"/>
      <c r="B670" s="3"/>
      <c r="C670" s="3"/>
      <c r="D670" s="3"/>
      <c r="E670" s="4"/>
      <c r="F670" s="3"/>
      <c r="G670" s="3"/>
      <c r="H670" s="3"/>
      <c r="I670" s="1"/>
    </row>
    <row r="671" spans="1:9" ht="14.25" customHeight="1" x14ac:dyDescent="0.25">
      <c r="A671" s="3"/>
      <c r="B671" s="3"/>
      <c r="C671" s="3"/>
      <c r="D671" s="3"/>
      <c r="E671" s="4"/>
      <c r="F671" s="3"/>
      <c r="G671" s="3"/>
      <c r="H671" s="3"/>
      <c r="I671" s="1"/>
    </row>
    <row r="672" spans="1:9" ht="14.25" customHeight="1" x14ac:dyDescent="0.25">
      <c r="A672" s="3"/>
      <c r="B672" s="3"/>
      <c r="C672" s="3"/>
      <c r="D672" s="3"/>
      <c r="E672" s="4"/>
      <c r="F672" s="3"/>
      <c r="G672" s="3"/>
      <c r="H672" s="3"/>
      <c r="I672" s="1"/>
    </row>
    <row r="673" spans="1:9" ht="14.25" customHeight="1" x14ac:dyDescent="0.25">
      <c r="A673" s="3"/>
      <c r="B673" s="3"/>
      <c r="C673" s="3"/>
      <c r="D673" s="3"/>
      <c r="E673" s="4"/>
      <c r="F673" s="3"/>
      <c r="G673" s="3"/>
      <c r="H673" s="3"/>
      <c r="I673" s="1"/>
    </row>
    <row r="674" spans="1:9" ht="14.25" customHeight="1" x14ac:dyDescent="0.25">
      <c r="A674" s="3"/>
      <c r="B674" s="3"/>
      <c r="C674" s="3"/>
      <c r="D674" s="3"/>
      <c r="E674" s="4"/>
      <c r="F674" s="3"/>
      <c r="G674" s="3"/>
      <c r="H674" s="3"/>
      <c r="I674" s="1"/>
    </row>
    <row r="675" spans="1:9" ht="14.25" customHeight="1" x14ac:dyDescent="0.25">
      <c r="A675" s="3"/>
      <c r="B675" s="3"/>
      <c r="C675" s="3"/>
      <c r="D675" s="3"/>
      <c r="E675" s="4"/>
      <c r="F675" s="3"/>
      <c r="G675" s="3"/>
      <c r="H675" s="3"/>
      <c r="I675" s="1"/>
    </row>
    <row r="676" spans="1:9" ht="14.25" customHeight="1" x14ac:dyDescent="0.25">
      <c r="A676" s="3"/>
      <c r="B676" s="3"/>
      <c r="C676" s="3"/>
      <c r="D676" s="3"/>
      <c r="E676" s="4"/>
      <c r="F676" s="3"/>
      <c r="G676" s="3"/>
      <c r="H676" s="3"/>
      <c r="I676" s="1"/>
    </row>
    <row r="677" spans="1:9" ht="14.25" customHeight="1" x14ac:dyDescent="0.25">
      <c r="A677" s="3"/>
      <c r="B677" s="3"/>
      <c r="C677" s="3"/>
      <c r="D677" s="3"/>
      <c r="E677" s="4"/>
      <c r="F677" s="3"/>
      <c r="G677" s="3"/>
      <c r="H677" s="3"/>
      <c r="I677" s="1"/>
    </row>
    <row r="678" spans="1:9" ht="14.25" customHeight="1" x14ac:dyDescent="0.25">
      <c r="A678" s="3"/>
      <c r="B678" s="3"/>
      <c r="C678" s="3"/>
      <c r="D678" s="3"/>
      <c r="E678" s="4"/>
      <c r="F678" s="3"/>
      <c r="G678" s="3"/>
      <c r="H678" s="3"/>
      <c r="I678" s="1"/>
    </row>
    <row r="679" spans="1:9" ht="14.25" customHeight="1" x14ac:dyDescent="0.25">
      <c r="A679" s="3"/>
      <c r="B679" s="3"/>
      <c r="C679" s="3"/>
      <c r="D679" s="3"/>
      <c r="E679" s="4"/>
      <c r="F679" s="3"/>
      <c r="G679" s="3"/>
      <c r="H679" s="3"/>
      <c r="I679" s="1"/>
    </row>
    <row r="680" spans="1:9" ht="14.25" customHeight="1" x14ac:dyDescent="0.25">
      <c r="A680" s="3"/>
      <c r="B680" s="3"/>
      <c r="C680" s="3"/>
      <c r="D680" s="3"/>
      <c r="E680" s="4"/>
      <c r="F680" s="3"/>
      <c r="G680" s="3"/>
      <c r="H680" s="3"/>
      <c r="I680" s="1"/>
    </row>
    <row r="681" spans="1:9" ht="14.25" customHeight="1" x14ac:dyDescent="0.25">
      <c r="A681" s="3"/>
      <c r="B681" s="3"/>
      <c r="C681" s="3"/>
      <c r="D681" s="3"/>
      <c r="E681" s="4"/>
      <c r="F681" s="3"/>
      <c r="G681" s="3"/>
      <c r="H681" s="3"/>
      <c r="I681" s="1"/>
    </row>
    <row r="682" spans="1:9" ht="14.25" customHeight="1" x14ac:dyDescent="0.25">
      <c r="A682" s="3"/>
      <c r="B682" s="3"/>
      <c r="C682" s="3"/>
      <c r="D682" s="3"/>
      <c r="E682" s="4"/>
      <c r="F682" s="3"/>
      <c r="G682" s="3"/>
      <c r="H682" s="3"/>
      <c r="I682" s="1"/>
    </row>
    <row r="683" spans="1:9" ht="14.25" customHeight="1" x14ac:dyDescent="0.25">
      <c r="A683" s="3"/>
      <c r="B683" s="3"/>
      <c r="C683" s="3"/>
      <c r="D683" s="3"/>
      <c r="E683" s="4"/>
      <c r="F683" s="3"/>
      <c r="G683" s="3"/>
      <c r="H683" s="3"/>
      <c r="I683" s="1"/>
    </row>
    <row r="684" spans="1:9" ht="14.25" customHeight="1" x14ac:dyDescent="0.25">
      <c r="A684" s="3"/>
      <c r="B684" s="3"/>
      <c r="C684" s="3"/>
      <c r="D684" s="3"/>
      <c r="E684" s="4"/>
      <c r="F684" s="3"/>
      <c r="G684" s="3"/>
      <c r="H684" s="3"/>
      <c r="I684" s="1"/>
    </row>
    <row r="685" spans="1:9" ht="14.25" customHeight="1" x14ac:dyDescent="0.25">
      <c r="A685" s="3"/>
      <c r="B685" s="3"/>
      <c r="C685" s="3"/>
      <c r="D685" s="3"/>
      <c r="E685" s="4"/>
      <c r="F685" s="3"/>
      <c r="G685" s="3"/>
      <c r="H685" s="3"/>
      <c r="I685" s="1"/>
    </row>
    <row r="686" spans="1:9" ht="14.25" customHeight="1" x14ac:dyDescent="0.25">
      <c r="A686" s="3"/>
      <c r="B686" s="3"/>
      <c r="C686" s="3"/>
      <c r="D686" s="3"/>
      <c r="E686" s="4"/>
      <c r="F686" s="3"/>
      <c r="G686" s="3"/>
      <c r="H686" s="3"/>
      <c r="I686" s="1"/>
    </row>
    <row r="687" spans="1:9" ht="14.25" customHeight="1" x14ac:dyDescent="0.25">
      <c r="A687" s="3"/>
      <c r="B687" s="3"/>
      <c r="C687" s="3"/>
      <c r="D687" s="3"/>
      <c r="E687" s="4"/>
      <c r="F687" s="3"/>
      <c r="G687" s="3"/>
      <c r="H687" s="3"/>
      <c r="I687" s="1"/>
    </row>
    <row r="688" spans="1:9" ht="14.25" customHeight="1" x14ac:dyDescent="0.25">
      <c r="A688" s="3"/>
      <c r="B688" s="3"/>
      <c r="C688" s="3"/>
      <c r="D688" s="3"/>
      <c r="E688" s="4"/>
      <c r="F688" s="3"/>
      <c r="G688" s="3"/>
      <c r="H688" s="3"/>
      <c r="I688" s="1"/>
    </row>
    <row r="689" spans="1:9" ht="14.25" customHeight="1" x14ac:dyDescent="0.25">
      <c r="A689" s="3"/>
      <c r="B689" s="3"/>
      <c r="C689" s="3"/>
      <c r="D689" s="3"/>
      <c r="E689" s="4"/>
      <c r="F689" s="3"/>
      <c r="G689" s="3"/>
      <c r="H689" s="3"/>
      <c r="I689" s="1"/>
    </row>
    <row r="690" spans="1:9" ht="14.25" customHeight="1" x14ac:dyDescent="0.25">
      <c r="A690" s="3"/>
      <c r="B690" s="3"/>
      <c r="C690" s="3"/>
      <c r="D690" s="3"/>
      <c r="E690" s="4"/>
      <c r="F690" s="3"/>
      <c r="G690" s="3"/>
      <c r="H690" s="3"/>
      <c r="I690" s="1"/>
    </row>
    <row r="691" spans="1:9" ht="14.25" customHeight="1" x14ac:dyDescent="0.25">
      <c r="A691" s="3"/>
      <c r="B691" s="3"/>
      <c r="C691" s="3"/>
      <c r="D691" s="3"/>
      <c r="E691" s="4"/>
      <c r="F691" s="3"/>
      <c r="G691" s="3"/>
      <c r="H691" s="3"/>
      <c r="I691" s="1"/>
    </row>
    <row r="692" spans="1:9" ht="14.25" customHeight="1" x14ac:dyDescent="0.25">
      <c r="A692" s="3"/>
      <c r="B692" s="3"/>
      <c r="C692" s="3"/>
      <c r="D692" s="3"/>
      <c r="E692" s="4"/>
      <c r="F692" s="3"/>
      <c r="G692" s="3"/>
      <c r="H692" s="3"/>
      <c r="I692" s="1"/>
    </row>
    <row r="693" spans="1:9" ht="14.25" customHeight="1" x14ac:dyDescent="0.25">
      <c r="A693" s="3"/>
      <c r="B693" s="3"/>
      <c r="C693" s="3"/>
      <c r="D693" s="3"/>
      <c r="E693" s="4"/>
      <c r="F693" s="3"/>
      <c r="G693" s="3"/>
      <c r="H693" s="3"/>
      <c r="I693" s="1"/>
    </row>
    <row r="694" spans="1:9" ht="14.25" customHeight="1" x14ac:dyDescent="0.25">
      <c r="A694" s="3"/>
      <c r="B694" s="3"/>
      <c r="C694" s="3"/>
      <c r="D694" s="3"/>
      <c r="E694" s="4"/>
      <c r="F694" s="3"/>
      <c r="G694" s="3"/>
      <c r="H694" s="3"/>
      <c r="I694" s="1"/>
    </row>
    <row r="695" spans="1:9" ht="14.25" customHeight="1" x14ac:dyDescent="0.25">
      <c r="A695" s="3"/>
      <c r="B695" s="3"/>
      <c r="C695" s="3"/>
      <c r="D695" s="3"/>
      <c r="E695" s="4"/>
      <c r="F695" s="3"/>
      <c r="G695" s="3"/>
      <c r="H695" s="3"/>
      <c r="I695" s="1"/>
    </row>
    <row r="696" spans="1:9" ht="14.25" customHeight="1" x14ac:dyDescent="0.25">
      <c r="A696" s="3"/>
      <c r="B696" s="3"/>
      <c r="C696" s="3"/>
      <c r="D696" s="3"/>
      <c r="E696" s="4"/>
      <c r="F696" s="3"/>
      <c r="G696" s="3"/>
      <c r="H696" s="3"/>
      <c r="I696" s="1"/>
    </row>
    <row r="697" spans="1:9" ht="14.25" customHeight="1" x14ac:dyDescent="0.25">
      <c r="A697" s="3"/>
      <c r="B697" s="3"/>
      <c r="C697" s="3"/>
      <c r="D697" s="3"/>
      <c r="E697" s="4"/>
      <c r="F697" s="3"/>
      <c r="G697" s="3"/>
      <c r="H697" s="3"/>
      <c r="I697" s="1"/>
    </row>
    <row r="698" spans="1:9" ht="14.25" customHeight="1" x14ac:dyDescent="0.25">
      <c r="A698" s="3"/>
      <c r="B698" s="3"/>
      <c r="C698" s="3"/>
      <c r="D698" s="3"/>
      <c r="E698" s="4"/>
      <c r="F698" s="3"/>
      <c r="G698" s="3"/>
      <c r="H698" s="3"/>
      <c r="I698" s="1"/>
    </row>
    <row r="699" spans="1:9" ht="14.25" customHeight="1" x14ac:dyDescent="0.25">
      <c r="A699" s="3"/>
      <c r="B699" s="3"/>
      <c r="C699" s="3"/>
      <c r="D699" s="3"/>
      <c r="E699" s="4"/>
      <c r="F699" s="3"/>
      <c r="G699" s="3"/>
      <c r="H699" s="3"/>
      <c r="I699" s="1"/>
    </row>
    <row r="700" spans="1:9" ht="14.25" customHeight="1" x14ac:dyDescent="0.25">
      <c r="A700" s="3"/>
      <c r="B700" s="3"/>
      <c r="C700" s="3"/>
      <c r="D700" s="3"/>
      <c r="E700" s="4"/>
      <c r="F700" s="3"/>
      <c r="G700" s="3"/>
      <c r="H700" s="3"/>
      <c r="I700" s="1"/>
    </row>
    <row r="701" spans="1:9" ht="14.25" customHeight="1" x14ac:dyDescent="0.25">
      <c r="A701" s="3"/>
      <c r="B701" s="3"/>
      <c r="C701" s="3"/>
      <c r="D701" s="3"/>
      <c r="E701" s="4"/>
      <c r="F701" s="3"/>
      <c r="G701" s="3"/>
      <c r="H701" s="3"/>
      <c r="I701" s="1"/>
    </row>
    <row r="702" spans="1:9" ht="14.25" customHeight="1" x14ac:dyDescent="0.25">
      <c r="A702" s="3"/>
      <c r="B702" s="3"/>
      <c r="C702" s="3"/>
      <c r="D702" s="3"/>
      <c r="E702" s="4"/>
      <c r="F702" s="3"/>
      <c r="G702" s="3"/>
      <c r="H702" s="3"/>
      <c r="I702" s="1"/>
    </row>
    <row r="703" spans="1:9" ht="14.25" customHeight="1" x14ac:dyDescent="0.25">
      <c r="A703" s="3"/>
      <c r="B703" s="3"/>
      <c r="C703" s="3"/>
      <c r="D703" s="3"/>
      <c r="E703" s="4"/>
      <c r="F703" s="3"/>
      <c r="G703" s="3"/>
      <c r="H703" s="3"/>
      <c r="I703" s="1"/>
    </row>
    <row r="704" spans="1:9" ht="14.25" customHeight="1" x14ac:dyDescent="0.25">
      <c r="A704" s="3"/>
      <c r="B704" s="3"/>
      <c r="C704" s="3"/>
      <c r="D704" s="3"/>
      <c r="E704" s="4"/>
      <c r="F704" s="3"/>
      <c r="G704" s="3"/>
      <c r="H704" s="3"/>
      <c r="I704" s="1"/>
    </row>
    <row r="705" spans="1:9" ht="14.25" customHeight="1" x14ac:dyDescent="0.25">
      <c r="A705" s="3"/>
      <c r="B705" s="3"/>
      <c r="C705" s="3"/>
      <c r="D705" s="3"/>
      <c r="E705" s="4"/>
      <c r="F705" s="3"/>
      <c r="G705" s="3"/>
      <c r="H705" s="3"/>
      <c r="I705" s="1"/>
    </row>
    <row r="706" spans="1:9" ht="14.25" customHeight="1" x14ac:dyDescent="0.25">
      <c r="A706" s="3"/>
      <c r="B706" s="3"/>
      <c r="C706" s="3"/>
      <c r="D706" s="3"/>
      <c r="E706" s="4"/>
      <c r="F706" s="3"/>
      <c r="G706" s="3"/>
      <c r="H706" s="3"/>
      <c r="I706" s="1"/>
    </row>
    <row r="707" spans="1:9" ht="14.25" customHeight="1" x14ac:dyDescent="0.25">
      <c r="A707" s="3"/>
      <c r="B707" s="3"/>
      <c r="C707" s="3"/>
      <c r="D707" s="3"/>
      <c r="E707" s="4"/>
      <c r="F707" s="3"/>
      <c r="G707" s="3"/>
      <c r="H707" s="3"/>
      <c r="I707" s="1"/>
    </row>
    <row r="708" spans="1:9" ht="14.25" customHeight="1" x14ac:dyDescent="0.25">
      <c r="A708" s="3"/>
      <c r="B708" s="3"/>
      <c r="C708" s="3"/>
      <c r="D708" s="3"/>
      <c r="E708" s="4"/>
      <c r="F708" s="3"/>
      <c r="G708" s="3"/>
      <c r="H708" s="3"/>
      <c r="I708" s="1"/>
    </row>
    <row r="709" spans="1:9" ht="14.25" customHeight="1" x14ac:dyDescent="0.25">
      <c r="A709" s="3"/>
      <c r="B709" s="3"/>
      <c r="C709" s="3"/>
      <c r="D709" s="3"/>
      <c r="E709" s="4"/>
      <c r="F709" s="3"/>
      <c r="G709" s="3"/>
      <c r="H709" s="3"/>
      <c r="I709" s="1"/>
    </row>
    <row r="710" spans="1:9" ht="14.25" customHeight="1" x14ac:dyDescent="0.25">
      <c r="A710" s="3"/>
      <c r="B710" s="3"/>
      <c r="C710" s="3"/>
      <c r="D710" s="3"/>
      <c r="E710" s="4"/>
      <c r="F710" s="3"/>
      <c r="G710" s="3"/>
      <c r="H710" s="3"/>
      <c r="I710" s="1"/>
    </row>
    <row r="711" spans="1:9" ht="14.25" customHeight="1" x14ac:dyDescent="0.25">
      <c r="A711" s="3"/>
      <c r="B711" s="3"/>
      <c r="C711" s="3"/>
      <c r="D711" s="3"/>
      <c r="E711" s="4"/>
      <c r="F711" s="3"/>
      <c r="G711" s="3"/>
      <c r="H711" s="3"/>
      <c r="I711" s="1"/>
    </row>
    <row r="712" spans="1:9" ht="14.25" customHeight="1" x14ac:dyDescent="0.25">
      <c r="A712" s="3"/>
      <c r="B712" s="3"/>
      <c r="C712" s="3"/>
      <c r="D712" s="3"/>
      <c r="E712" s="4"/>
      <c r="F712" s="3"/>
      <c r="G712" s="3"/>
      <c r="H712" s="3"/>
      <c r="I712" s="1"/>
    </row>
    <row r="713" spans="1:9" ht="14.25" customHeight="1" x14ac:dyDescent="0.25">
      <c r="A713" s="3"/>
      <c r="B713" s="3"/>
      <c r="C713" s="3"/>
      <c r="D713" s="3"/>
      <c r="E713" s="4"/>
      <c r="F713" s="3"/>
      <c r="G713" s="3"/>
      <c r="H713" s="3"/>
      <c r="I713" s="1"/>
    </row>
    <row r="714" spans="1:9" ht="14.25" customHeight="1" x14ac:dyDescent="0.25">
      <c r="A714" s="3"/>
      <c r="B714" s="3"/>
      <c r="C714" s="3"/>
      <c r="D714" s="3"/>
      <c r="E714" s="4"/>
      <c r="F714" s="3"/>
      <c r="G714" s="3"/>
      <c r="H714" s="3"/>
      <c r="I714" s="1"/>
    </row>
    <row r="715" spans="1:9" ht="14.25" customHeight="1" x14ac:dyDescent="0.25">
      <c r="A715" s="3"/>
      <c r="B715" s="3"/>
      <c r="C715" s="3"/>
      <c r="D715" s="3"/>
      <c r="E715" s="4"/>
      <c r="F715" s="3"/>
      <c r="G715" s="3"/>
      <c r="H715" s="3"/>
      <c r="I715" s="1"/>
    </row>
    <row r="716" spans="1:9" ht="14.25" customHeight="1" x14ac:dyDescent="0.25">
      <c r="A716" s="3"/>
      <c r="B716" s="3"/>
      <c r="C716" s="3"/>
      <c r="D716" s="3"/>
      <c r="E716" s="4"/>
      <c r="F716" s="3"/>
      <c r="G716" s="3"/>
      <c r="H716" s="3"/>
      <c r="I716" s="1"/>
    </row>
    <row r="717" spans="1:9" ht="14.25" customHeight="1" x14ac:dyDescent="0.25">
      <c r="A717" s="3"/>
      <c r="B717" s="3"/>
      <c r="C717" s="3"/>
      <c r="D717" s="3"/>
      <c r="E717" s="4"/>
      <c r="F717" s="3"/>
      <c r="G717" s="3"/>
      <c r="H717" s="3"/>
      <c r="I717" s="1"/>
    </row>
    <row r="718" spans="1:9" ht="14.25" customHeight="1" x14ac:dyDescent="0.25">
      <c r="A718" s="3"/>
      <c r="B718" s="3"/>
      <c r="C718" s="3"/>
      <c r="D718" s="3"/>
      <c r="E718" s="4"/>
      <c r="F718" s="3"/>
      <c r="G718" s="3"/>
      <c r="H718" s="3"/>
      <c r="I718" s="1"/>
    </row>
    <row r="719" spans="1:9" ht="14.25" customHeight="1" x14ac:dyDescent="0.25">
      <c r="A719" s="3"/>
      <c r="B719" s="3"/>
      <c r="C719" s="3"/>
      <c r="D719" s="3"/>
      <c r="E719" s="4"/>
      <c r="F719" s="3"/>
      <c r="G719" s="3"/>
      <c r="H719" s="3"/>
      <c r="I719" s="1"/>
    </row>
    <row r="720" spans="1:9" ht="14.25" customHeight="1" x14ac:dyDescent="0.25">
      <c r="A720" s="3"/>
      <c r="B720" s="3"/>
      <c r="C720" s="3"/>
      <c r="D720" s="3"/>
      <c r="E720" s="4"/>
      <c r="F720" s="3"/>
      <c r="G720" s="3"/>
      <c r="H720" s="3"/>
      <c r="I720" s="1"/>
    </row>
    <row r="721" spans="1:9" ht="14.25" customHeight="1" x14ac:dyDescent="0.25">
      <c r="A721" s="3"/>
      <c r="B721" s="3"/>
      <c r="C721" s="3"/>
      <c r="D721" s="3"/>
      <c r="E721" s="4"/>
      <c r="F721" s="3"/>
      <c r="G721" s="3"/>
      <c r="H721" s="3"/>
      <c r="I721" s="1"/>
    </row>
    <row r="722" spans="1:9" ht="14.25" customHeight="1" x14ac:dyDescent="0.25">
      <c r="A722" s="3"/>
      <c r="B722" s="3"/>
      <c r="C722" s="3"/>
      <c r="D722" s="3"/>
      <c r="E722" s="4"/>
      <c r="F722" s="3"/>
      <c r="G722" s="3"/>
      <c r="H722" s="3"/>
      <c r="I722" s="1"/>
    </row>
    <row r="723" spans="1:9" ht="14.25" customHeight="1" x14ac:dyDescent="0.25">
      <c r="A723" s="3"/>
      <c r="B723" s="3"/>
      <c r="C723" s="3"/>
      <c r="D723" s="3"/>
      <c r="E723" s="4"/>
      <c r="F723" s="3"/>
      <c r="G723" s="3"/>
      <c r="H723" s="3"/>
      <c r="I723" s="1"/>
    </row>
    <row r="724" spans="1:9" ht="14.25" customHeight="1" x14ac:dyDescent="0.25">
      <c r="A724" s="3"/>
      <c r="B724" s="3"/>
      <c r="C724" s="3"/>
      <c r="D724" s="3"/>
      <c r="E724" s="4"/>
      <c r="F724" s="3"/>
      <c r="G724" s="3"/>
      <c r="H724" s="3"/>
      <c r="I724" s="1"/>
    </row>
    <row r="725" spans="1:9" ht="14.25" customHeight="1" x14ac:dyDescent="0.25">
      <c r="A725" s="3"/>
      <c r="B725" s="3"/>
      <c r="C725" s="3"/>
      <c r="D725" s="3"/>
      <c r="E725" s="4"/>
      <c r="F725" s="3"/>
      <c r="G725" s="3"/>
      <c r="H725" s="3"/>
      <c r="I725" s="1"/>
    </row>
    <row r="726" spans="1:9" ht="14.25" customHeight="1" x14ac:dyDescent="0.25">
      <c r="A726" s="3"/>
      <c r="B726" s="3"/>
      <c r="C726" s="3"/>
      <c r="D726" s="3"/>
      <c r="E726" s="4"/>
      <c r="F726" s="3"/>
      <c r="G726" s="3"/>
      <c r="H726" s="3"/>
      <c r="I726" s="1"/>
    </row>
    <row r="727" spans="1:9" ht="14.25" customHeight="1" x14ac:dyDescent="0.25">
      <c r="A727" s="3"/>
      <c r="B727" s="3"/>
      <c r="C727" s="3"/>
      <c r="D727" s="3"/>
      <c r="E727" s="4"/>
      <c r="F727" s="3"/>
      <c r="G727" s="3"/>
      <c r="H727" s="3"/>
      <c r="I727" s="1"/>
    </row>
    <row r="728" spans="1:9" ht="14.25" customHeight="1" x14ac:dyDescent="0.25">
      <c r="A728" s="3"/>
      <c r="B728" s="3"/>
      <c r="C728" s="3"/>
      <c r="D728" s="3"/>
      <c r="E728" s="4"/>
      <c r="F728" s="3"/>
      <c r="G728" s="3"/>
      <c r="H728" s="3"/>
      <c r="I728" s="1"/>
    </row>
    <row r="729" spans="1:9" ht="14.25" customHeight="1" x14ac:dyDescent="0.25">
      <c r="A729" s="3"/>
      <c r="B729" s="3"/>
      <c r="C729" s="3"/>
      <c r="D729" s="3"/>
      <c r="E729" s="4"/>
      <c r="F729" s="3"/>
      <c r="G729" s="3"/>
      <c r="H729" s="3"/>
      <c r="I729" s="1"/>
    </row>
    <row r="730" spans="1:9" ht="14.25" customHeight="1" x14ac:dyDescent="0.25">
      <c r="A730" s="3"/>
      <c r="B730" s="3"/>
      <c r="C730" s="3"/>
      <c r="D730" s="3"/>
      <c r="E730" s="4"/>
      <c r="F730" s="3"/>
      <c r="G730" s="3"/>
      <c r="H730" s="3"/>
      <c r="I730" s="1"/>
    </row>
    <row r="731" spans="1:9" ht="14.25" customHeight="1" x14ac:dyDescent="0.25">
      <c r="A731" s="3"/>
      <c r="B731" s="3"/>
      <c r="C731" s="3"/>
      <c r="D731" s="3"/>
      <c r="E731" s="4"/>
      <c r="F731" s="3"/>
      <c r="G731" s="3"/>
      <c r="H731" s="3"/>
      <c r="I731" s="1"/>
    </row>
    <row r="732" spans="1:9" ht="14.25" customHeight="1" x14ac:dyDescent="0.25">
      <c r="A732" s="3"/>
      <c r="B732" s="3"/>
      <c r="C732" s="3"/>
      <c r="D732" s="3"/>
      <c r="E732" s="4"/>
      <c r="F732" s="3"/>
      <c r="G732" s="3"/>
      <c r="H732" s="3"/>
      <c r="I732" s="1"/>
    </row>
    <row r="733" spans="1:9" ht="14.25" customHeight="1" x14ac:dyDescent="0.25">
      <c r="A733" s="3"/>
      <c r="B733" s="3"/>
      <c r="C733" s="3"/>
      <c r="D733" s="3"/>
      <c r="E733" s="4"/>
      <c r="F733" s="3"/>
      <c r="G733" s="3"/>
      <c r="H733" s="3"/>
      <c r="I733" s="1"/>
    </row>
    <row r="734" spans="1:9" ht="14.25" customHeight="1" x14ac:dyDescent="0.25">
      <c r="A734" s="3"/>
      <c r="B734" s="3"/>
      <c r="C734" s="3"/>
      <c r="D734" s="3"/>
      <c r="E734" s="4"/>
      <c r="F734" s="3"/>
      <c r="G734" s="3"/>
      <c r="H734" s="3"/>
      <c r="I734" s="1"/>
    </row>
    <row r="735" spans="1:9" ht="14.25" customHeight="1" x14ac:dyDescent="0.25">
      <c r="A735" s="3"/>
      <c r="B735" s="3"/>
      <c r="C735" s="3"/>
      <c r="D735" s="3"/>
      <c r="E735" s="4"/>
      <c r="F735" s="3"/>
      <c r="G735" s="3"/>
      <c r="H735" s="3"/>
      <c r="I735" s="1"/>
    </row>
    <row r="736" spans="1:9" ht="14.25" customHeight="1" x14ac:dyDescent="0.25">
      <c r="A736" s="3"/>
      <c r="B736" s="3"/>
      <c r="C736" s="3"/>
      <c r="D736" s="3"/>
      <c r="E736" s="4"/>
      <c r="F736" s="3"/>
      <c r="G736" s="3"/>
      <c r="H736" s="3"/>
      <c r="I736" s="1"/>
    </row>
    <row r="737" spans="1:9" ht="14.25" customHeight="1" x14ac:dyDescent="0.25">
      <c r="A737" s="3"/>
      <c r="B737" s="3"/>
      <c r="C737" s="3"/>
      <c r="D737" s="3"/>
      <c r="E737" s="4"/>
      <c r="F737" s="3"/>
      <c r="G737" s="3"/>
      <c r="H737" s="3"/>
      <c r="I737" s="1"/>
    </row>
    <row r="738" spans="1:9" ht="14.25" customHeight="1" x14ac:dyDescent="0.25">
      <c r="A738" s="3"/>
      <c r="B738" s="3"/>
      <c r="C738" s="3"/>
      <c r="D738" s="3"/>
      <c r="E738" s="4"/>
      <c r="F738" s="3"/>
      <c r="G738" s="3"/>
      <c r="H738" s="3"/>
      <c r="I738" s="1"/>
    </row>
    <row r="739" spans="1:9" ht="14.25" customHeight="1" x14ac:dyDescent="0.25">
      <c r="A739" s="3"/>
      <c r="B739" s="3"/>
      <c r="C739" s="3"/>
      <c r="D739" s="3"/>
      <c r="E739" s="4"/>
      <c r="F739" s="3"/>
      <c r="G739" s="3"/>
      <c r="H739" s="3"/>
      <c r="I739" s="1"/>
    </row>
    <row r="740" spans="1:9" ht="14.25" customHeight="1" x14ac:dyDescent="0.25">
      <c r="A740" s="3"/>
      <c r="B740" s="3"/>
      <c r="C740" s="3"/>
      <c r="D740" s="3"/>
      <c r="E740" s="4"/>
      <c r="F740" s="3"/>
      <c r="G740" s="3"/>
      <c r="H740" s="3"/>
      <c r="I740" s="1"/>
    </row>
    <row r="741" spans="1:9" ht="14.25" customHeight="1" x14ac:dyDescent="0.25">
      <c r="A741" s="3"/>
      <c r="B741" s="3"/>
      <c r="C741" s="3"/>
      <c r="D741" s="3"/>
      <c r="E741" s="4"/>
      <c r="F741" s="3"/>
      <c r="G741" s="3"/>
      <c r="H741" s="3"/>
      <c r="I741" s="1"/>
    </row>
    <row r="742" spans="1:9" ht="14.25" customHeight="1" x14ac:dyDescent="0.25">
      <c r="A742" s="3"/>
      <c r="B742" s="3"/>
      <c r="C742" s="3"/>
      <c r="D742" s="3"/>
      <c r="E742" s="4"/>
      <c r="F742" s="3"/>
      <c r="G742" s="3"/>
      <c r="H742" s="3"/>
      <c r="I742" s="1"/>
    </row>
    <row r="743" spans="1:9" ht="14.25" customHeight="1" x14ac:dyDescent="0.25">
      <c r="A743" s="3"/>
      <c r="B743" s="3"/>
      <c r="C743" s="3"/>
      <c r="D743" s="3"/>
      <c r="E743" s="4"/>
      <c r="F743" s="3"/>
      <c r="G743" s="3"/>
      <c r="H743" s="3"/>
      <c r="I743" s="1"/>
    </row>
    <row r="744" spans="1:9" ht="14.25" customHeight="1" x14ac:dyDescent="0.25">
      <c r="A744" s="3"/>
      <c r="B744" s="3"/>
      <c r="C744" s="3"/>
      <c r="D744" s="3"/>
      <c r="E744" s="4"/>
      <c r="F744" s="3"/>
      <c r="G744" s="3"/>
      <c r="H744" s="3"/>
      <c r="I744" s="1"/>
    </row>
    <row r="745" spans="1:9" ht="14.25" customHeight="1" x14ac:dyDescent="0.25">
      <c r="A745" s="3"/>
      <c r="B745" s="3"/>
      <c r="C745" s="3"/>
      <c r="D745" s="3"/>
      <c r="E745" s="4"/>
      <c r="F745" s="3"/>
      <c r="G745" s="3"/>
      <c r="H745" s="3"/>
      <c r="I745" s="1"/>
    </row>
    <row r="746" spans="1:9" ht="14.25" customHeight="1" x14ac:dyDescent="0.25">
      <c r="A746" s="3"/>
      <c r="B746" s="3"/>
      <c r="C746" s="3"/>
      <c r="D746" s="3"/>
      <c r="E746" s="4"/>
      <c r="F746" s="3"/>
      <c r="G746" s="3"/>
      <c r="H746" s="3"/>
      <c r="I746" s="1"/>
    </row>
    <row r="747" spans="1:9" ht="14.25" customHeight="1" x14ac:dyDescent="0.25">
      <c r="A747" s="3"/>
      <c r="B747" s="3"/>
      <c r="C747" s="3"/>
      <c r="D747" s="3"/>
      <c r="E747" s="4"/>
      <c r="F747" s="3"/>
      <c r="G747" s="3"/>
      <c r="H747" s="3"/>
      <c r="I747" s="1"/>
    </row>
    <row r="748" spans="1:9" ht="14.25" customHeight="1" x14ac:dyDescent="0.25">
      <c r="A748" s="3"/>
      <c r="B748" s="3"/>
      <c r="C748" s="3"/>
      <c r="D748" s="3"/>
      <c r="E748" s="4"/>
      <c r="F748" s="3"/>
      <c r="G748" s="3"/>
      <c r="H748" s="3"/>
      <c r="I748" s="1"/>
    </row>
    <row r="749" spans="1:9" ht="14.25" customHeight="1" x14ac:dyDescent="0.25">
      <c r="A749" s="3"/>
      <c r="B749" s="3"/>
      <c r="C749" s="3"/>
      <c r="D749" s="3"/>
      <c r="E749" s="4"/>
      <c r="F749" s="3"/>
      <c r="G749" s="3"/>
      <c r="H749" s="3"/>
      <c r="I749" s="1"/>
    </row>
    <row r="750" spans="1:9" ht="14.25" customHeight="1" x14ac:dyDescent="0.25">
      <c r="A750" s="3"/>
      <c r="B750" s="3"/>
      <c r="C750" s="3"/>
      <c r="D750" s="3"/>
      <c r="E750" s="4"/>
      <c r="F750" s="3"/>
      <c r="G750" s="3"/>
      <c r="H750" s="3"/>
      <c r="I750" s="1"/>
    </row>
    <row r="751" spans="1:9" ht="14.25" customHeight="1" x14ac:dyDescent="0.25">
      <c r="A751" s="3"/>
      <c r="B751" s="3"/>
      <c r="C751" s="3"/>
      <c r="D751" s="3"/>
      <c r="E751" s="4"/>
      <c r="F751" s="3"/>
      <c r="G751" s="3"/>
      <c r="H751" s="3"/>
      <c r="I751" s="1"/>
    </row>
    <row r="752" spans="1:9" ht="14.25" customHeight="1" x14ac:dyDescent="0.25">
      <c r="A752" s="3"/>
      <c r="B752" s="3"/>
      <c r="C752" s="3"/>
      <c r="D752" s="3"/>
      <c r="E752" s="4"/>
      <c r="F752" s="3"/>
      <c r="G752" s="3"/>
      <c r="H752" s="3"/>
      <c r="I752" s="1"/>
    </row>
    <row r="753" spans="1:9" ht="14.25" customHeight="1" x14ac:dyDescent="0.25">
      <c r="A753" s="3"/>
      <c r="B753" s="3"/>
      <c r="C753" s="3"/>
      <c r="D753" s="3"/>
      <c r="E753" s="4"/>
      <c r="F753" s="3"/>
      <c r="G753" s="3"/>
      <c r="H753" s="3"/>
      <c r="I753" s="1"/>
    </row>
    <row r="754" spans="1:9" ht="14.25" customHeight="1" x14ac:dyDescent="0.25">
      <c r="A754" s="3"/>
      <c r="B754" s="3"/>
      <c r="C754" s="3"/>
      <c r="D754" s="3"/>
      <c r="E754" s="4"/>
      <c r="F754" s="3"/>
      <c r="G754" s="3"/>
      <c r="H754" s="3"/>
      <c r="I754" s="1"/>
    </row>
    <row r="755" spans="1:9" ht="14.25" customHeight="1" x14ac:dyDescent="0.25">
      <c r="A755" s="3"/>
      <c r="B755" s="3"/>
      <c r="C755" s="3"/>
      <c r="D755" s="3"/>
      <c r="E755" s="4"/>
      <c r="F755" s="3"/>
      <c r="G755" s="3"/>
      <c r="H755" s="3"/>
      <c r="I755" s="1"/>
    </row>
    <row r="756" spans="1:9" ht="14.25" customHeight="1" x14ac:dyDescent="0.25">
      <c r="A756" s="3"/>
      <c r="B756" s="3"/>
      <c r="C756" s="3"/>
      <c r="D756" s="3"/>
      <c r="E756" s="4"/>
      <c r="F756" s="3"/>
      <c r="G756" s="3"/>
      <c r="H756" s="3"/>
      <c r="I756" s="1"/>
    </row>
    <row r="757" spans="1:9" ht="14.25" customHeight="1" x14ac:dyDescent="0.25">
      <c r="A757" s="3"/>
      <c r="B757" s="3"/>
      <c r="C757" s="3"/>
      <c r="D757" s="3"/>
      <c r="E757" s="4"/>
      <c r="F757" s="3"/>
      <c r="G757" s="3"/>
      <c r="H757" s="3"/>
      <c r="I757" s="1"/>
    </row>
    <row r="758" spans="1:9" ht="14.25" customHeight="1" x14ac:dyDescent="0.25">
      <c r="A758" s="3"/>
      <c r="B758" s="3"/>
      <c r="C758" s="3"/>
      <c r="D758" s="3"/>
      <c r="E758" s="4"/>
      <c r="F758" s="3"/>
      <c r="G758" s="3"/>
      <c r="H758" s="3"/>
      <c r="I758" s="1"/>
    </row>
    <row r="759" spans="1:9" ht="14.25" customHeight="1" x14ac:dyDescent="0.25">
      <c r="A759" s="3"/>
      <c r="B759" s="3"/>
      <c r="C759" s="3"/>
      <c r="D759" s="3"/>
      <c r="E759" s="4"/>
      <c r="F759" s="3"/>
      <c r="G759" s="3"/>
      <c r="H759" s="3"/>
      <c r="I759" s="1"/>
    </row>
    <row r="760" spans="1:9" ht="14.25" customHeight="1" x14ac:dyDescent="0.25">
      <c r="A760" s="3"/>
      <c r="B760" s="3"/>
      <c r="C760" s="3"/>
      <c r="D760" s="3"/>
      <c r="E760" s="4"/>
      <c r="F760" s="3"/>
      <c r="G760" s="3"/>
      <c r="H760" s="3"/>
      <c r="I760" s="1"/>
    </row>
    <row r="761" spans="1:9" ht="14.25" customHeight="1" x14ac:dyDescent="0.25">
      <c r="A761" s="3"/>
      <c r="B761" s="3"/>
      <c r="C761" s="3"/>
      <c r="D761" s="3"/>
      <c r="E761" s="4"/>
      <c r="F761" s="3"/>
      <c r="G761" s="3"/>
      <c r="H761" s="3"/>
      <c r="I761" s="1"/>
    </row>
    <row r="762" spans="1:9" ht="14.25" customHeight="1" x14ac:dyDescent="0.25">
      <c r="A762" s="3"/>
      <c r="B762" s="3"/>
      <c r="C762" s="3"/>
      <c r="D762" s="3"/>
      <c r="E762" s="4"/>
      <c r="F762" s="3"/>
      <c r="G762" s="3"/>
      <c r="H762" s="3"/>
      <c r="I762" s="1"/>
    </row>
    <row r="763" spans="1:9" ht="14.25" customHeight="1" x14ac:dyDescent="0.25">
      <c r="A763" s="3"/>
      <c r="B763" s="3"/>
      <c r="C763" s="3"/>
      <c r="D763" s="3"/>
      <c r="E763" s="4"/>
      <c r="F763" s="3"/>
      <c r="G763" s="3"/>
      <c r="H763" s="3"/>
      <c r="I763" s="1"/>
    </row>
    <row r="764" spans="1:9" ht="14.25" customHeight="1" x14ac:dyDescent="0.25">
      <c r="A764" s="3"/>
      <c r="B764" s="3"/>
      <c r="C764" s="3"/>
      <c r="D764" s="3"/>
      <c r="E764" s="4"/>
      <c r="F764" s="3"/>
      <c r="G764" s="3"/>
      <c r="H764" s="3"/>
      <c r="I764" s="1"/>
    </row>
    <row r="765" spans="1:9" ht="14.25" customHeight="1" x14ac:dyDescent="0.25">
      <c r="A765" s="3"/>
      <c r="B765" s="3"/>
      <c r="C765" s="3"/>
      <c r="D765" s="3"/>
      <c r="E765" s="4"/>
      <c r="F765" s="3"/>
      <c r="G765" s="3"/>
      <c r="H765" s="3"/>
      <c r="I765" s="1"/>
    </row>
    <row r="766" spans="1:9" ht="14.25" customHeight="1" x14ac:dyDescent="0.25">
      <c r="A766" s="3"/>
      <c r="B766" s="3"/>
      <c r="C766" s="3"/>
      <c r="D766" s="3"/>
      <c r="E766" s="4"/>
      <c r="F766" s="3"/>
      <c r="G766" s="3"/>
      <c r="H766" s="3"/>
      <c r="I766" s="1"/>
    </row>
    <row r="767" spans="1:9" ht="14.25" customHeight="1" x14ac:dyDescent="0.25">
      <c r="A767" s="3"/>
      <c r="B767" s="3"/>
      <c r="C767" s="3"/>
      <c r="D767" s="3"/>
      <c r="E767" s="4"/>
      <c r="F767" s="3"/>
      <c r="G767" s="3"/>
      <c r="H767" s="3"/>
      <c r="I767" s="1"/>
    </row>
    <row r="768" spans="1:9" ht="14.25" customHeight="1" x14ac:dyDescent="0.25">
      <c r="A768" s="3"/>
      <c r="B768" s="3"/>
      <c r="C768" s="3"/>
      <c r="D768" s="3"/>
      <c r="E768" s="4"/>
      <c r="F768" s="3"/>
      <c r="G768" s="3"/>
      <c r="H768" s="3"/>
      <c r="I768" s="1"/>
    </row>
    <row r="769" spans="1:9" ht="14.25" customHeight="1" x14ac:dyDescent="0.25">
      <c r="A769" s="3"/>
      <c r="B769" s="3"/>
      <c r="C769" s="3"/>
      <c r="D769" s="3"/>
      <c r="E769" s="4"/>
      <c r="F769" s="3"/>
      <c r="G769" s="3"/>
      <c r="H769" s="3"/>
      <c r="I769" s="1"/>
    </row>
    <row r="770" spans="1:9" ht="14.25" customHeight="1" x14ac:dyDescent="0.25">
      <c r="A770" s="3"/>
      <c r="B770" s="3"/>
      <c r="C770" s="3"/>
      <c r="D770" s="3"/>
      <c r="E770" s="4"/>
      <c r="F770" s="3"/>
      <c r="G770" s="3"/>
      <c r="H770" s="3"/>
      <c r="I770" s="1"/>
    </row>
    <row r="771" spans="1:9" ht="14.25" customHeight="1" x14ac:dyDescent="0.25">
      <c r="A771" s="3"/>
      <c r="B771" s="3"/>
      <c r="C771" s="3"/>
      <c r="D771" s="3"/>
      <c r="E771" s="4"/>
      <c r="F771" s="3"/>
      <c r="G771" s="3"/>
      <c r="H771" s="3"/>
      <c r="I771" s="1"/>
    </row>
    <row r="772" spans="1:9" ht="14.25" customHeight="1" x14ac:dyDescent="0.25">
      <c r="A772" s="3"/>
      <c r="B772" s="3"/>
      <c r="C772" s="3"/>
      <c r="D772" s="3"/>
      <c r="E772" s="4"/>
      <c r="F772" s="3"/>
      <c r="G772" s="3"/>
      <c r="H772" s="3"/>
      <c r="I772" s="1"/>
    </row>
    <row r="773" spans="1:9" ht="14.25" customHeight="1" x14ac:dyDescent="0.25">
      <c r="A773" s="3"/>
      <c r="B773" s="3"/>
      <c r="C773" s="3"/>
      <c r="D773" s="3"/>
      <c r="E773" s="4"/>
      <c r="F773" s="3"/>
      <c r="G773" s="3"/>
      <c r="H773" s="3"/>
      <c r="I773" s="1"/>
    </row>
    <row r="774" spans="1:9" ht="14.25" customHeight="1" x14ac:dyDescent="0.25">
      <c r="A774" s="3"/>
      <c r="B774" s="3"/>
      <c r="C774" s="3"/>
      <c r="D774" s="3"/>
      <c r="E774" s="4"/>
      <c r="F774" s="3"/>
      <c r="G774" s="3"/>
      <c r="H774" s="3"/>
      <c r="I774" s="1"/>
    </row>
    <row r="775" spans="1:9" ht="14.25" customHeight="1" x14ac:dyDescent="0.25">
      <c r="A775" s="3"/>
      <c r="B775" s="3"/>
      <c r="C775" s="3"/>
      <c r="D775" s="3"/>
      <c r="E775" s="4"/>
      <c r="F775" s="3"/>
      <c r="G775" s="3"/>
      <c r="H775" s="3"/>
      <c r="I775" s="1"/>
    </row>
    <row r="776" spans="1:9" ht="14.25" customHeight="1" x14ac:dyDescent="0.25">
      <c r="A776" s="3"/>
      <c r="B776" s="3"/>
      <c r="C776" s="3"/>
      <c r="D776" s="3"/>
      <c r="E776" s="4"/>
      <c r="F776" s="3"/>
      <c r="G776" s="3"/>
      <c r="H776" s="3"/>
      <c r="I776" s="1"/>
    </row>
    <row r="777" spans="1:9" ht="14.25" customHeight="1" x14ac:dyDescent="0.25">
      <c r="A777" s="3"/>
      <c r="B777" s="3"/>
      <c r="C777" s="3"/>
      <c r="D777" s="3"/>
      <c r="E777" s="4"/>
      <c r="F777" s="3"/>
      <c r="G777" s="3"/>
      <c r="H777" s="3"/>
      <c r="I777" s="1"/>
    </row>
    <row r="778" spans="1:9" ht="14.25" customHeight="1" x14ac:dyDescent="0.25">
      <c r="A778" s="3"/>
      <c r="B778" s="3"/>
      <c r="C778" s="3"/>
      <c r="D778" s="3"/>
      <c r="E778" s="4"/>
      <c r="F778" s="3"/>
      <c r="G778" s="3"/>
      <c r="H778" s="3"/>
      <c r="I778" s="1"/>
    </row>
    <row r="779" spans="1:9" ht="14.25" customHeight="1" x14ac:dyDescent="0.25">
      <c r="A779" s="3"/>
      <c r="B779" s="3"/>
      <c r="C779" s="3"/>
      <c r="D779" s="3"/>
      <c r="E779" s="4"/>
      <c r="F779" s="3"/>
      <c r="G779" s="3"/>
      <c r="H779" s="3"/>
      <c r="I779" s="1"/>
    </row>
    <row r="780" spans="1:9" ht="14.25" customHeight="1" x14ac:dyDescent="0.25">
      <c r="A780" s="3"/>
      <c r="B780" s="3"/>
      <c r="C780" s="3"/>
      <c r="D780" s="3"/>
      <c r="E780" s="4"/>
      <c r="F780" s="3"/>
      <c r="G780" s="3"/>
      <c r="H780" s="3"/>
      <c r="I780" s="1"/>
    </row>
    <row r="781" spans="1:9" ht="14.25" customHeight="1" x14ac:dyDescent="0.25">
      <c r="A781" s="3"/>
      <c r="B781" s="3"/>
      <c r="C781" s="3"/>
      <c r="D781" s="3"/>
      <c r="E781" s="4"/>
      <c r="F781" s="3"/>
      <c r="G781" s="3"/>
      <c r="H781" s="3"/>
      <c r="I781" s="1"/>
    </row>
    <row r="782" spans="1:9" ht="14.25" customHeight="1" x14ac:dyDescent="0.25">
      <c r="A782" s="3"/>
      <c r="B782" s="3"/>
      <c r="C782" s="3"/>
      <c r="D782" s="3"/>
      <c r="E782" s="4"/>
      <c r="F782" s="3"/>
      <c r="G782" s="3"/>
      <c r="H782" s="3"/>
      <c r="I782" s="1"/>
    </row>
    <row r="783" spans="1:9" ht="14.25" customHeight="1" x14ac:dyDescent="0.25">
      <c r="A783" s="3"/>
      <c r="B783" s="3"/>
      <c r="C783" s="3"/>
      <c r="D783" s="3"/>
      <c r="E783" s="4"/>
      <c r="F783" s="3"/>
      <c r="G783" s="3"/>
      <c r="H783" s="3"/>
      <c r="I783" s="1"/>
    </row>
    <row r="784" spans="1:9" ht="14.25" customHeight="1" x14ac:dyDescent="0.25">
      <c r="A784" s="3"/>
      <c r="B784" s="3"/>
      <c r="C784" s="3"/>
      <c r="D784" s="3"/>
      <c r="E784" s="4"/>
      <c r="F784" s="3"/>
      <c r="G784" s="3"/>
      <c r="H784" s="3"/>
      <c r="I784" s="1"/>
    </row>
    <row r="785" spans="1:9" ht="14.25" customHeight="1" x14ac:dyDescent="0.25">
      <c r="A785" s="3"/>
      <c r="B785" s="3"/>
      <c r="C785" s="3"/>
      <c r="D785" s="3"/>
      <c r="E785" s="4"/>
      <c r="F785" s="3"/>
      <c r="G785" s="3"/>
      <c r="H785" s="3"/>
      <c r="I785" s="1"/>
    </row>
    <row r="786" spans="1:9" ht="14.25" customHeight="1" x14ac:dyDescent="0.25">
      <c r="A786" s="3"/>
      <c r="B786" s="3"/>
      <c r="C786" s="3"/>
      <c r="D786" s="3"/>
      <c r="E786" s="4"/>
      <c r="F786" s="3"/>
      <c r="G786" s="3"/>
      <c r="H786" s="3"/>
      <c r="I786" s="1"/>
    </row>
    <row r="787" spans="1:9" ht="14.25" customHeight="1" x14ac:dyDescent="0.25">
      <c r="A787" s="3"/>
      <c r="B787" s="3"/>
      <c r="C787" s="3"/>
      <c r="D787" s="3"/>
      <c r="E787" s="4"/>
      <c r="F787" s="3"/>
      <c r="G787" s="3"/>
      <c r="H787" s="3"/>
      <c r="I787" s="1"/>
    </row>
    <row r="788" spans="1:9" ht="14.25" customHeight="1" x14ac:dyDescent="0.25">
      <c r="A788" s="3"/>
      <c r="B788" s="3"/>
      <c r="C788" s="3"/>
      <c r="D788" s="3"/>
      <c r="E788" s="4"/>
      <c r="F788" s="3"/>
      <c r="G788" s="3"/>
      <c r="H788" s="3"/>
      <c r="I788" s="1"/>
    </row>
    <row r="789" spans="1:9" ht="14.25" customHeight="1" x14ac:dyDescent="0.25">
      <c r="A789" s="3"/>
      <c r="B789" s="3"/>
      <c r="C789" s="3"/>
      <c r="D789" s="3"/>
      <c r="E789" s="4"/>
      <c r="F789" s="3"/>
      <c r="G789" s="3"/>
      <c r="H789" s="3"/>
      <c r="I789" s="1"/>
    </row>
    <row r="790" spans="1:9" ht="14.25" customHeight="1" x14ac:dyDescent="0.25">
      <c r="A790" s="3"/>
      <c r="B790" s="3"/>
      <c r="C790" s="3"/>
      <c r="D790" s="3"/>
      <c r="E790" s="4"/>
      <c r="F790" s="3"/>
      <c r="G790" s="3"/>
      <c r="H790" s="3"/>
      <c r="I790" s="1"/>
    </row>
    <row r="791" spans="1:9" ht="14.25" customHeight="1" x14ac:dyDescent="0.25">
      <c r="A791" s="3"/>
      <c r="B791" s="3"/>
      <c r="C791" s="3"/>
      <c r="D791" s="3"/>
      <c r="E791" s="4"/>
      <c r="F791" s="3"/>
      <c r="G791" s="3"/>
      <c r="H791" s="3"/>
      <c r="I791" s="1"/>
    </row>
    <row r="792" spans="1:9" ht="14.25" customHeight="1" x14ac:dyDescent="0.25">
      <c r="A792" s="3"/>
      <c r="B792" s="3"/>
      <c r="C792" s="3"/>
      <c r="D792" s="3"/>
      <c r="E792" s="4"/>
      <c r="F792" s="3"/>
      <c r="G792" s="3"/>
      <c r="H792" s="3"/>
      <c r="I792" s="1"/>
    </row>
    <row r="793" spans="1:9" ht="14.25" customHeight="1" x14ac:dyDescent="0.25">
      <c r="A793" s="3"/>
      <c r="B793" s="3"/>
      <c r="C793" s="3"/>
      <c r="D793" s="3"/>
      <c r="E793" s="4"/>
      <c r="F793" s="3"/>
      <c r="G793" s="3"/>
      <c r="H793" s="3"/>
      <c r="I793" s="1"/>
    </row>
    <row r="794" spans="1:9" ht="14.25" customHeight="1" x14ac:dyDescent="0.25">
      <c r="A794" s="3"/>
      <c r="B794" s="3"/>
      <c r="C794" s="3"/>
      <c r="D794" s="3"/>
      <c r="E794" s="4"/>
      <c r="F794" s="3"/>
      <c r="G794" s="3"/>
      <c r="H794" s="3"/>
      <c r="I794" s="1"/>
    </row>
    <row r="795" spans="1:9" ht="14.25" customHeight="1" x14ac:dyDescent="0.25">
      <c r="A795" s="3"/>
      <c r="B795" s="3"/>
      <c r="C795" s="3"/>
      <c r="D795" s="3"/>
      <c r="E795" s="4"/>
      <c r="F795" s="3"/>
      <c r="G795" s="3"/>
      <c r="H795" s="3"/>
      <c r="I795" s="1"/>
    </row>
    <row r="796" spans="1:9" ht="14.25" customHeight="1" x14ac:dyDescent="0.25">
      <c r="A796" s="3"/>
      <c r="B796" s="3"/>
      <c r="C796" s="3"/>
      <c r="D796" s="3"/>
      <c r="E796" s="4"/>
      <c r="F796" s="3"/>
      <c r="G796" s="3"/>
      <c r="H796" s="3"/>
      <c r="I796" s="1"/>
    </row>
    <row r="797" spans="1:9" ht="14.25" customHeight="1" x14ac:dyDescent="0.25">
      <c r="A797" s="3"/>
      <c r="B797" s="3"/>
      <c r="C797" s="3"/>
      <c r="D797" s="3"/>
      <c r="E797" s="4"/>
      <c r="F797" s="3"/>
      <c r="G797" s="3"/>
      <c r="H797" s="3"/>
      <c r="I797" s="1"/>
    </row>
    <row r="798" spans="1:9" ht="14.25" customHeight="1" x14ac:dyDescent="0.25">
      <c r="A798" s="3"/>
      <c r="B798" s="3"/>
      <c r="C798" s="3"/>
      <c r="D798" s="3"/>
      <c r="E798" s="4"/>
      <c r="F798" s="3"/>
      <c r="G798" s="3"/>
      <c r="H798" s="3"/>
      <c r="I798" s="1"/>
    </row>
    <row r="799" spans="1:9" ht="14.25" customHeight="1" x14ac:dyDescent="0.25">
      <c r="A799" s="3"/>
      <c r="B799" s="3"/>
      <c r="C799" s="3"/>
      <c r="D799" s="3"/>
      <c r="E799" s="4"/>
      <c r="F799" s="3"/>
      <c r="G799" s="3"/>
      <c r="H799" s="3"/>
      <c r="I799" s="1"/>
    </row>
    <row r="800" spans="1:9" ht="14.25" customHeight="1" x14ac:dyDescent="0.25">
      <c r="A800" s="3"/>
      <c r="B800" s="3"/>
      <c r="C800" s="3"/>
      <c r="D800" s="3"/>
      <c r="E800" s="4"/>
      <c r="F800" s="3"/>
      <c r="G800" s="3"/>
      <c r="H800" s="3"/>
      <c r="I800" s="1"/>
    </row>
    <row r="801" spans="1:9" ht="14.25" customHeight="1" x14ac:dyDescent="0.25">
      <c r="A801" s="3"/>
      <c r="B801" s="3"/>
      <c r="C801" s="3"/>
      <c r="D801" s="3"/>
      <c r="E801" s="4"/>
      <c r="F801" s="3"/>
      <c r="G801" s="3"/>
      <c r="H801" s="3"/>
      <c r="I801" s="1"/>
    </row>
    <row r="802" spans="1:9" ht="14.25" customHeight="1" x14ac:dyDescent="0.25">
      <c r="A802" s="3"/>
      <c r="B802" s="3"/>
      <c r="C802" s="3"/>
      <c r="D802" s="3"/>
      <c r="E802" s="4"/>
      <c r="F802" s="3"/>
      <c r="G802" s="3"/>
      <c r="H802" s="3"/>
      <c r="I802" s="1"/>
    </row>
    <row r="803" spans="1:9" ht="14.25" customHeight="1" x14ac:dyDescent="0.25">
      <c r="A803" s="3"/>
      <c r="B803" s="3"/>
      <c r="C803" s="3"/>
      <c r="D803" s="3"/>
      <c r="E803" s="4"/>
      <c r="F803" s="3"/>
      <c r="G803" s="3"/>
      <c r="H803" s="3"/>
      <c r="I803" s="1"/>
    </row>
    <row r="804" spans="1:9" ht="14.25" customHeight="1" x14ac:dyDescent="0.25">
      <c r="A804" s="3"/>
      <c r="B804" s="3"/>
      <c r="C804" s="3"/>
      <c r="D804" s="3"/>
      <c r="E804" s="4"/>
      <c r="F804" s="3"/>
      <c r="G804" s="3"/>
      <c r="H804" s="3"/>
      <c r="I804" s="1"/>
    </row>
    <row r="805" spans="1:9" ht="14.25" customHeight="1" x14ac:dyDescent="0.25">
      <c r="A805" s="3"/>
      <c r="B805" s="3"/>
      <c r="C805" s="3"/>
      <c r="D805" s="3"/>
      <c r="E805" s="4"/>
      <c r="F805" s="3"/>
      <c r="G805" s="3"/>
      <c r="H805" s="3"/>
      <c r="I805" s="1"/>
    </row>
    <row r="806" spans="1:9" ht="14.25" customHeight="1" x14ac:dyDescent="0.25">
      <c r="A806" s="3"/>
      <c r="B806" s="3"/>
      <c r="C806" s="3"/>
      <c r="D806" s="3"/>
      <c r="E806" s="4"/>
      <c r="F806" s="3"/>
      <c r="G806" s="3"/>
      <c r="H806" s="3"/>
      <c r="I806" s="1"/>
    </row>
    <row r="807" spans="1:9" ht="14.25" customHeight="1" x14ac:dyDescent="0.25">
      <c r="A807" s="3"/>
      <c r="B807" s="3"/>
      <c r="C807" s="3"/>
      <c r="D807" s="3"/>
      <c r="E807" s="4"/>
      <c r="F807" s="3"/>
      <c r="G807" s="3"/>
      <c r="H807" s="3"/>
      <c r="I807" s="1"/>
    </row>
    <row r="808" spans="1:9" ht="14.25" customHeight="1" x14ac:dyDescent="0.25">
      <c r="A808" s="3"/>
      <c r="B808" s="3"/>
      <c r="C808" s="3"/>
      <c r="D808" s="3"/>
      <c r="E808" s="4"/>
      <c r="F808" s="3"/>
      <c r="G808" s="3"/>
      <c r="H808" s="3"/>
      <c r="I808" s="1"/>
    </row>
    <row r="809" spans="1:9" ht="14.25" customHeight="1" x14ac:dyDescent="0.25">
      <c r="A809" s="3"/>
      <c r="B809" s="3"/>
      <c r="C809" s="3"/>
      <c r="D809" s="3"/>
      <c r="E809" s="4"/>
      <c r="F809" s="3"/>
      <c r="G809" s="3"/>
      <c r="H809" s="3"/>
      <c r="I809" s="1"/>
    </row>
    <row r="810" spans="1:9" ht="14.25" customHeight="1" x14ac:dyDescent="0.25">
      <c r="A810" s="3"/>
      <c r="B810" s="3"/>
      <c r="C810" s="3"/>
      <c r="D810" s="3"/>
      <c r="E810" s="4"/>
      <c r="F810" s="3"/>
      <c r="G810" s="3"/>
      <c r="H810" s="3"/>
      <c r="I810" s="1"/>
    </row>
    <row r="811" spans="1:9" ht="14.25" customHeight="1" x14ac:dyDescent="0.25">
      <c r="A811" s="3"/>
      <c r="B811" s="3"/>
      <c r="C811" s="3"/>
      <c r="D811" s="3"/>
      <c r="E811" s="4"/>
      <c r="F811" s="3"/>
      <c r="G811" s="3"/>
      <c r="H811" s="3"/>
      <c r="I811" s="1"/>
    </row>
    <row r="812" spans="1:9" ht="14.25" customHeight="1" x14ac:dyDescent="0.25">
      <c r="A812" s="3"/>
      <c r="B812" s="3"/>
      <c r="C812" s="3"/>
      <c r="D812" s="3"/>
      <c r="E812" s="4"/>
      <c r="F812" s="3"/>
      <c r="G812" s="3"/>
      <c r="H812" s="3"/>
      <c r="I812" s="1"/>
    </row>
    <row r="813" spans="1:9" ht="14.25" customHeight="1" x14ac:dyDescent="0.25">
      <c r="A813" s="3"/>
      <c r="B813" s="3"/>
      <c r="C813" s="3"/>
      <c r="D813" s="3"/>
      <c r="E813" s="4"/>
      <c r="F813" s="3"/>
      <c r="G813" s="3"/>
      <c r="H813" s="3"/>
      <c r="I813" s="1"/>
    </row>
    <row r="814" spans="1:9" ht="14.25" customHeight="1" x14ac:dyDescent="0.25">
      <c r="A814" s="3"/>
      <c r="B814" s="3"/>
      <c r="C814" s="3"/>
      <c r="D814" s="3"/>
      <c r="E814" s="4"/>
      <c r="F814" s="3"/>
      <c r="G814" s="3"/>
      <c r="H814" s="3"/>
      <c r="I814" s="1"/>
    </row>
    <row r="815" spans="1:9" ht="14.25" customHeight="1" x14ac:dyDescent="0.25">
      <c r="A815" s="3"/>
      <c r="B815" s="3"/>
      <c r="C815" s="3"/>
      <c r="D815" s="3"/>
      <c r="E815" s="4"/>
      <c r="F815" s="3"/>
      <c r="G815" s="3"/>
      <c r="H815" s="3"/>
      <c r="I815" s="1"/>
    </row>
    <row r="816" spans="1:9" ht="14.25" customHeight="1" x14ac:dyDescent="0.25">
      <c r="A816" s="3"/>
      <c r="B816" s="3"/>
      <c r="C816" s="3"/>
      <c r="D816" s="3"/>
      <c r="E816" s="4"/>
      <c r="F816" s="3"/>
      <c r="G816" s="3"/>
      <c r="H816" s="3"/>
      <c r="I816" s="1"/>
    </row>
    <row r="817" spans="1:9" ht="14.25" customHeight="1" x14ac:dyDescent="0.25">
      <c r="A817" s="3"/>
      <c r="B817" s="3"/>
      <c r="C817" s="3"/>
      <c r="D817" s="3"/>
      <c r="E817" s="4"/>
      <c r="F817" s="3"/>
      <c r="G817" s="3"/>
      <c r="H817" s="3"/>
      <c r="I817" s="1"/>
    </row>
    <row r="818" spans="1:9" ht="14.25" customHeight="1" x14ac:dyDescent="0.25">
      <c r="A818" s="3"/>
      <c r="B818" s="3"/>
      <c r="C818" s="3"/>
      <c r="D818" s="3"/>
      <c r="E818" s="4"/>
      <c r="F818" s="3"/>
      <c r="G818" s="3"/>
      <c r="H818" s="3"/>
      <c r="I818" s="1"/>
    </row>
    <row r="819" spans="1:9" ht="14.25" customHeight="1" x14ac:dyDescent="0.25">
      <c r="A819" s="3"/>
      <c r="B819" s="3"/>
      <c r="C819" s="3"/>
      <c r="D819" s="3"/>
      <c r="E819" s="4"/>
      <c r="F819" s="3"/>
      <c r="G819" s="3"/>
      <c r="H819" s="3"/>
      <c r="I819" s="1"/>
    </row>
    <row r="820" spans="1:9" ht="14.25" customHeight="1" x14ac:dyDescent="0.25">
      <c r="A820" s="3"/>
      <c r="B820" s="3"/>
      <c r="C820" s="3"/>
      <c r="D820" s="3"/>
      <c r="E820" s="4"/>
      <c r="F820" s="3"/>
      <c r="G820" s="3"/>
      <c r="H820" s="3"/>
      <c r="I820" s="1"/>
    </row>
    <row r="821" spans="1:9" ht="14.25" customHeight="1" x14ac:dyDescent="0.25">
      <c r="A821" s="3"/>
      <c r="B821" s="3"/>
      <c r="C821" s="3"/>
      <c r="D821" s="3"/>
      <c r="E821" s="4"/>
      <c r="F821" s="3"/>
      <c r="G821" s="3"/>
      <c r="H821" s="3"/>
      <c r="I821" s="1"/>
    </row>
    <row r="822" spans="1:9" ht="14.25" customHeight="1" x14ac:dyDescent="0.25">
      <c r="A822" s="3"/>
      <c r="B822" s="3"/>
      <c r="C822" s="3"/>
      <c r="D822" s="3"/>
      <c r="E822" s="4"/>
      <c r="F822" s="3"/>
      <c r="G822" s="3"/>
      <c r="H822" s="3"/>
      <c r="I822" s="1"/>
    </row>
    <row r="823" spans="1:9" ht="14.25" customHeight="1" x14ac:dyDescent="0.25">
      <c r="A823" s="3"/>
      <c r="B823" s="3"/>
      <c r="C823" s="3"/>
      <c r="D823" s="3"/>
      <c r="E823" s="4"/>
      <c r="F823" s="3"/>
      <c r="G823" s="3"/>
      <c r="H823" s="3"/>
      <c r="I823" s="1"/>
    </row>
    <row r="824" spans="1:9" ht="14.25" customHeight="1" x14ac:dyDescent="0.25">
      <c r="A824" s="3"/>
      <c r="B824" s="3"/>
      <c r="C824" s="3"/>
      <c r="D824" s="3"/>
      <c r="E824" s="4"/>
      <c r="F824" s="3"/>
      <c r="G824" s="3"/>
      <c r="H824" s="3"/>
      <c r="I824" s="1"/>
    </row>
    <row r="825" spans="1:9" ht="14.25" customHeight="1" x14ac:dyDescent="0.25">
      <c r="A825" s="3"/>
      <c r="B825" s="3"/>
      <c r="C825" s="3"/>
      <c r="D825" s="3"/>
      <c r="E825" s="4"/>
      <c r="F825" s="3"/>
      <c r="G825" s="3"/>
      <c r="H825" s="3"/>
      <c r="I825" s="1"/>
    </row>
    <row r="826" spans="1:9" ht="14.25" customHeight="1" x14ac:dyDescent="0.25">
      <c r="A826" s="3"/>
      <c r="B826" s="3"/>
      <c r="C826" s="3"/>
      <c r="D826" s="3"/>
      <c r="E826" s="4"/>
      <c r="F826" s="3"/>
      <c r="G826" s="3"/>
      <c r="H826" s="3"/>
      <c r="I826" s="1"/>
    </row>
    <row r="827" spans="1:9" ht="14.25" customHeight="1" x14ac:dyDescent="0.25">
      <c r="A827" s="3"/>
      <c r="B827" s="3"/>
      <c r="C827" s="3"/>
      <c r="D827" s="3"/>
      <c r="E827" s="4"/>
      <c r="F827" s="3"/>
      <c r="G827" s="3"/>
      <c r="H827" s="3"/>
      <c r="I827" s="1"/>
    </row>
    <row r="828" spans="1:9" ht="14.25" customHeight="1" x14ac:dyDescent="0.25">
      <c r="A828" s="3"/>
      <c r="B828" s="3"/>
      <c r="C828" s="3"/>
      <c r="D828" s="3"/>
      <c r="E828" s="4"/>
      <c r="F828" s="3"/>
      <c r="G828" s="3"/>
      <c r="H828" s="3"/>
      <c r="I828" s="1"/>
    </row>
    <row r="829" spans="1:9" ht="14.25" customHeight="1" x14ac:dyDescent="0.25">
      <c r="A829" s="3"/>
      <c r="B829" s="3"/>
      <c r="C829" s="3"/>
      <c r="D829" s="3"/>
      <c r="E829" s="4"/>
      <c r="F829" s="3"/>
      <c r="G829" s="3"/>
      <c r="H829" s="3"/>
      <c r="I829" s="1"/>
    </row>
    <row r="830" spans="1:9" ht="14.25" customHeight="1" x14ac:dyDescent="0.25">
      <c r="A830" s="3"/>
      <c r="B830" s="3"/>
      <c r="C830" s="3"/>
      <c r="D830" s="3"/>
      <c r="E830" s="4"/>
      <c r="F830" s="3"/>
      <c r="G830" s="3"/>
      <c r="H830" s="3"/>
      <c r="I830" s="1"/>
    </row>
    <row r="831" spans="1:9" ht="14.25" customHeight="1" x14ac:dyDescent="0.25">
      <c r="A831" s="3"/>
      <c r="B831" s="3"/>
      <c r="C831" s="3"/>
      <c r="D831" s="3"/>
      <c r="E831" s="4"/>
      <c r="F831" s="3"/>
      <c r="G831" s="3"/>
      <c r="H831" s="3"/>
      <c r="I831" s="1"/>
    </row>
    <row r="832" spans="1:9" ht="14.25" customHeight="1" x14ac:dyDescent="0.25">
      <c r="A832" s="3"/>
      <c r="B832" s="3"/>
      <c r="C832" s="3"/>
      <c r="D832" s="3"/>
      <c r="E832" s="4"/>
      <c r="F832" s="3"/>
      <c r="G832" s="3"/>
      <c r="H832" s="3"/>
      <c r="I832" s="1"/>
    </row>
    <row r="833" spans="1:9" ht="14.25" customHeight="1" x14ac:dyDescent="0.25">
      <c r="A833" s="3"/>
      <c r="B833" s="3"/>
      <c r="C833" s="3"/>
      <c r="D833" s="3"/>
      <c r="E833" s="4"/>
      <c r="F833" s="3"/>
      <c r="G833" s="3"/>
      <c r="H833" s="3"/>
      <c r="I833" s="1"/>
    </row>
    <row r="834" spans="1:9" ht="14.25" customHeight="1" x14ac:dyDescent="0.25">
      <c r="A834" s="3"/>
      <c r="B834" s="3"/>
      <c r="C834" s="3"/>
      <c r="D834" s="3"/>
      <c r="E834" s="4"/>
      <c r="F834" s="3"/>
      <c r="G834" s="3"/>
      <c r="H834" s="3"/>
      <c r="I834" s="1"/>
    </row>
    <row r="835" spans="1:9" ht="14.25" customHeight="1" x14ac:dyDescent="0.25">
      <c r="A835" s="3"/>
      <c r="B835" s="3"/>
      <c r="C835" s="3"/>
      <c r="D835" s="3"/>
      <c r="E835" s="4"/>
      <c r="F835" s="3"/>
      <c r="G835" s="3"/>
      <c r="H835" s="3"/>
      <c r="I835" s="1"/>
    </row>
    <row r="836" spans="1:9" ht="14.25" customHeight="1" x14ac:dyDescent="0.25">
      <c r="A836" s="3"/>
      <c r="B836" s="3"/>
      <c r="C836" s="3"/>
      <c r="D836" s="3"/>
      <c r="E836" s="4"/>
      <c r="F836" s="3"/>
      <c r="G836" s="3"/>
      <c r="H836" s="3"/>
      <c r="I836" s="1"/>
    </row>
    <row r="837" spans="1:9" ht="14.25" customHeight="1" x14ac:dyDescent="0.25">
      <c r="A837" s="3"/>
      <c r="B837" s="3"/>
      <c r="C837" s="3"/>
      <c r="D837" s="3"/>
      <c r="E837" s="4"/>
      <c r="F837" s="3"/>
      <c r="G837" s="3"/>
      <c r="H837" s="3"/>
      <c r="I837" s="1"/>
    </row>
    <row r="838" spans="1:9" ht="14.25" customHeight="1" x14ac:dyDescent="0.25">
      <c r="A838" s="3"/>
      <c r="B838" s="3"/>
      <c r="C838" s="3"/>
      <c r="D838" s="3"/>
      <c r="E838" s="4"/>
      <c r="F838" s="3"/>
      <c r="G838" s="3"/>
      <c r="H838" s="3"/>
      <c r="I838" s="1"/>
    </row>
    <row r="839" spans="1:9" ht="14.25" customHeight="1" x14ac:dyDescent="0.25">
      <c r="A839" s="3"/>
      <c r="B839" s="3"/>
      <c r="C839" s="3"/>
      <c r="D839" s="3"/>
      <c r="E839" s="4"/>
      <c r="F839" s="3"/>
      <c r="G839" s="3"/>
      <c r="H839" s="3"/>
      <c r="I839" s="1"/>
    </row>
    <row r="840" spans="1:9" ht="14.25" customHeight="1" x14ac:dyDescent="0.25">
      <c r="A840" s="3"/>
      <c r="B840" s="3"/>
      <c r="C840" s="3"/>
      <c r="D840" s="3"/>
      <c r="E840" s="4"/>
      <c r="F840" s="3"/>
      <c r="G840" s="3"/>
      <c r="H840" s="3"/>
      <c r="I840" s="1"/>
    </row>
    <row r="841" spans="1:9" ht="14.25" customHeight="1" x14ac:dyDescent="0.25">
      <c r="A841" s="3"/>
      <c r="B841" s="3"/>
      <c r="C841" s="3"/>
      <c r="D841" s="3"/>
      <c r="E841" s="4"/>
      <c r="F841" s="3"/>
      <c r="G841" s="3"/>
      <c r="H841" s="3"/>
      <c r="I841" s="1"/>
    </row>
    <row r="842" spans="1:9" ht="14.25" customHeight="1" x14ac:dyDescent="0.25">
      <c r="A842" s="3"/>
      <c r="B842" s="3"/>
      <c r="C842" s="3"/>
      <c r="D842" s="3"/>
      <c r="E842" s="4"/>
      <c r="F842" s="3"/>
      <c r="G842" s="3"/>
      <c r="H842" s="3"/>
      <c r="I842" s="1"/>
    </row>
    <row r="843" spans="1:9" ht="14.25" customHeight="1" x14ac:dyDescent="0.25">
      <c r="A843" s="3"/>
      <c r="B843" s="3"/>
      <c r="C843" s="3"/>
      <c r="D843" s="3"/>
      <c r="E843" s="4"/>
      <c r="F843" s="3"/>
      <c r="G843" s="3"/>
      <c r="H843" s="3"/>
      <c r="I843" s="1"/>
    </row>
    <row r="844" spans="1:9" ht="14.25" customHeight="1" x14ac:dyDescent="0.25">
      <c r="A844" s="3"/>
      <c r="B844" s="3"/>
      <c r="C844" s="3"/>
      <c r="D844" s="3"/>
      <c r="E844" s="4"/>
      <c r="F844" s="3"/>
      <c r="G844" s="3"/>
      <c r="H844" s="3"/>
      <c r="I844" s="1"/>
    </row>
    <row r="845" spans="1:9" ht="14.25" customHeight="1" x14ac:dyDescent="0.25">
      <c r="A845" s="3"/>
      <c r="B845" s="3"/>
      <c r="C845" s="3"/>
      <c r="D845" s="3"/>
      <c r="E845" s="4"/>
      <c r="F845" s="3"/>
      <c r="G845" s="3"/>
      <c r="H845" s="3"/>
      <c r="I845" s="1"/>
    </row>
    <row r="846" spans="1:9" ht="14.25" customHeight="1" x14ac:dyDescent="0.25">
      <c r="A846" s="3"/>
      <c r="B846" s="3"/>
      <c r="C846" s="3"/>
      <c r="D846" s="3"/>
      <c r="E846" s="4"/>
      <c r="F846" s="3"/>
      <c r="G846" s="3"/>
      <c r="H846" s="3"/>
      <c r="I846" s="1"/>
    </row>
    <row r="847" spans="1:9" ht="14.25" customHeight="1" x14ac:dyDescent="0.25">
      <c r="A847" s="3"/>
      <c r="B847" s="3"/>
      <c r="C847" s="3"/>
      <c r="D847" s="3"/>
      <c r="E847" s="4"/>
      <c r="F847" s="3"/>
      <c r="G847" s="3"/>
      <c r="H847" s="3"/>
      <c r="I847" s="1"/>
    </row>
    <row r="848" spans="1:9" ht="14.25" customHeight="1" x14ac:dyDescent="0.25">
      <c r="A848" s="3"/>
      <c r="B848" s="3"/>
      <c r="C848" s="3"/>
      <c r="D848" s="3"/>
      <c r="E848" s="4"/>
      <c r="F848" s="3"/>
      <c r="G848" s="3"/>
      <c r="H848" s="3"/>
      <c r="I848" s="1"/>
    </row>
    <row r="849" spans="1:9" ht="14.25" customHeight="1" x14ac:dyDescent="0.25">
      <c r="A849" s="3"/>
      <c r="B849" s="3"/>
      <c r="C849" s="3"/>
      <c r="D849" s="3"/>
      <c r="E849" s="4"/>
      <c r="F849" s="3"/>
      <c r="G849" s="3"/>
      <c r="H849" s="3"/>
      <c r="I849" s="1"/>
    </row>
    <row r="850" spans="1:9" ht="14.25" customHeight="1" x14ac:dyDescent="0.25">
      <c r="A850" s="3"/>
      <c r="B850" s="3"/>
      <c r="C850" s="3"/>
      <c r="D850" s="3"/>
      <c r="E850" s="4"/>
      <c r="F850" s="3"/>
      <c r="G850" s="3"/>
      <c r="H850" s="3"/>
      <c r="I850" s="1"/>
    </row>
    <row r="851" spans="1:9" ht="14.25" customHeight="1" x14ac:dyDescent="0.25">
      <c r="A851" s="3"/>
      <c r="B851" s="3"/>
      <c r="C851" s="3"/>
      <c r="D851" s="3"/>
      <c r="E851" s="4"/>
      <c r="F851" s="3"/>
      <c r="G851" s="3"/>
      <c r="H851" s="3"/>
      <c r="I851" s="1"/>
    </row>
    <row r="852" spans="1:9" ht="14.25" customHeight="1" x14ac:dyDescent="0.25">
      <c r="A852" s="3"/>
      <c r="B852" s="3"/>
      <c r="C852" s="3"/>
      <c r="D852" s="3"/>
      <c r="E852" s="4"/>
      <c r="F852" s="3"/>
      <c r="G852" s="3"/>
      <c r="H852" s="3"/>
      <c r="I852" s="1"/>
    </row>
    <row r="853" spans="1:9" ht="14.25" customHeight="1" x14ac:dyDescent="0.25">
      <c r="A853" s="3"/>
      <c r="B853" s="3"/>
      <c r="C853" s="3"/>
      <c r="D853" s="3"/>
      <c r="E853" s="4"/>
      <c r="F853" s="3"/>
      <c r="G853" s="3"/>
      <c r="H853" s="3"/>
      <c r="I853" s="1"/>
    </row>
    <row r="854" spans="1:9" ht="14.25" customHeight="1" x14ac:dyDescent="0.25">
      <c r="A854" s="3"/>
      <c r="B854" s="3"/>
      <c r="C854" s="3"/>
      <c r="D854" s="3"/>
      <c r="E854" s="4"/>
      <c r="F854" s="3"/>
      <c r="G854" s="3"/>
      <c r="H854" s="3"/>
      <c r="I854" s="1"/>
    </row>
    <row r="855" spans="1:9" ht="14.25" customHeight="1" x14ac:dyDescent="0.25">
      <c r="A855" s="3"/>
      <c r="B855" s="3"/>
      <c r="C855" s="3"/>
      <c r="D855" s="3"/>
      <c r="E855" s="4"/>
      <c r="F855" s="3"/>
      <c r="G855" s="3"/>
      <c r="H855" s="3"/>
      <c r="I855" s="1"/>
    </row>
    <row r="856" spans="1:9" ht="14.25" customHeight="1" x14ac:dyDescent="0.25">
      <c r="A856" s="3"/>
      <c r="B856" s="3"/>
      <c r="C856" s="3"/>
      <c r="D856" s="3"/>
      <c r="E856" s="4"/>
      <c r="F856" s="3"/>
      <c r="G856" s="3"/>
      <c r="H856" s="3"/>
      <c r="I856" s="1"/>
    </row>
    <row r="857" spans="1:9" ht="14.25" customHeight="1" x14ac:dyDescent="0.25">
      <c r="A857" s="3"/>
      <c r="B857" s="3"/>
      <c r="C857" s="3"/>
      <c r="D857" s="3"/>
      <c r="E857" s="4"/>
      <c r="F857" s="3"/>
      <c r="G857" s="3"/>
      <c r="H857" s="3"/>
      <c r="I857" s="1"/>
    </row>
    <row r="858" spans="1:9" ht="14.25" customHeight="1" x14ac:dyDescent="0.25">
      <c r="A858" s="3"/>
      <c r="B858" s="3"/>
      <c r="C858" s="3"/>
      <c r="D858" s="3"/>
      <c r="E858" s="4"/>
      <c r="F858" s="3"/>
      <c r="G858" s="3"/>
      <c r="H858" s="3"/>
      <c r="I858" s="1"/>
    </row>
    <row r="859" spans="1:9" ht="14.25" customHeight="1" x14ac:dyDescent="0.25">
      <c r="A859" s="3"/>
      <c r="B859" s="3"/>
      <c r="C859" s="3"/>
      <c r="D859" s="3"/>
      <c r="E859" s="4"/>
      <c r="F859" s="3"/>
      <c r="G859" s="3"/>
      <c r="H859" s="3"/>
      <c r="I859" s="1"/>
    </row>
    <row r="860" spans="1:9" ht="14.25" customHeight="1" x14ac:dyDescent="0.25">
      <c r="A860" s="3"/>
      <c r="B860" s="3"/>
      <c r="C860" s="3"/>
      <c r="D860" s="3"/>
      <c r="E860" s="4"/>
      <c r="F860" s="3"/>
      <c r="G860" s="3"/>
      <c r="H860" s="3"/>
      <c r="I860" s="1"/>
    </row>
    <row r="861" spans="1:9" ht="14.25" customHeight="1" x14ac:dyDescent="0.25">
      <c r="A861" s="3"/>
      <c r="B861" s="3"/>
      <c r="C861" s="3"/>
      <c r="D861" s="3"/>
      <c r="E861" s="4"/>
      <c r="F861" s="3"/>
      <c r="G861" s="3"/>
      <c r="H861" s="3"/>
      <c r="I861" s="1"/>
    </row>
    <row r="862" spans="1:9" ht="14.25" customHeight="1" x14ac:dyDescent="0.25">
      <c r="A862" s="3"/>
      <c r="B862" s="3"/>
      <c r="C862" s="3"/>
      <c r="D862" s="3"/>
      <c r="E862" s="4"/>
      <c r="F862" s="3"/>
      <c r="G862" s="3"/>
      <c r="H862" s="3"/>
      <c r="I862" s="1"/>
    </row>
    <row r="863" spans="1:9" ht="14.25" customHeight="1" x14ac:dyDescent="0.25">
      <c r="A863" s="3"/>
      <c r="B863" s="3"/>
      <c r="C863" s="3"/>
      <c r="D863" s="3"/>
      <c r="E863" s="4"/>
      <c r="F863" s="3"/>
      <c r="G863" s="3"/>
      <c r="H863" s="3"/>
      <c r="I863" s="1"/>
    </row>
    <row r="864" spans="1:9" ht="14.25" customHeight="1" x14ac:dyDescent="0.25">
      <c r="A864" s="3"/>
      <c r="B864" s="3"/>
      <c r="C864" s="3"/>
      <c r="D864" s="3"/>
      <c r="E864" s="4"/>
      <c r="F864" s="3"/>
      <c r="G864" s="3"/>
      <c r="H864" s="3"/>
      <c r="I864" s="1"/>
    </row>
    <row r="865" spans="1:9" ht="14.25" customHeight="1" x14ac:dyDescent="0.25">
      <c r="A865" s="3"/>
      <c r="B865" s="3"/>
      <c r="C865" s="3"/>
      <c r="D865" s="3"/>
      <c r="E865" s="4"/>
      <c r="F865" s="3"/>
      <c r="G865" s="3"/>
      <c r="H865" s="3"/>
      <c r="I865" s="1"/>
    </row>
    <row r="866" spans="1:9" ht="14.25" customHeight="1" x14ac:dyDescent="0.25">
      <c r="A866" s="3"/>
      <c r="B866" s="3"/>
      <c r="C866" s="3"/>
      <c r="D866" s="3"/>
      <c r="E866" s="4"/>
      <c r="F866" s="3"/>
      <c r="G866" s="3"/>
      <c r="H866" s="3"/>
      <c r="I866" s="1"/>
    </row>
    <row r="867" spans="1:9" ht="14.25" customHeight="1" x14ac:dyDescent="0.25">
      <c r="A867" s="3"/>
      <c r="B867" s="3"/>
      <c r="C867" s="3"/>
      <c r="D867" s="3"/>
      <c r="E867" s="4"/>
      <c r="F867" s="3"/>
      <c r="G867" s="3"/>
      <c r="H867" s="3"/>
      <c r="I867" s="1"/>
    </row>
    <row r="868" spans="1:9" ht="14.25" customHeight="1" x14ac:dyDescent="0.25">
      <c r="A868" s="3"/>
      <c r="B868" s="3"/>
      <c r="C868" s="3"/>
      <c r="D868" s="3"/>
      <c r="E868" s="4"/>
      <c r="F868" s="3"/>
      <c r="G868" s="3"/>
      <c r="H868" s="3"/>
      <c r="I868" s="1"/>
    </row>
    <row r="869" spans="1:9" ht="14.25" customHeight="1" x14ac:dyDescent="0.25">
      <c r="A869" s="3"/>
      <c r="B869" s="3"/>
      <c r="C869" s="3"/>
      <c r="D869" s="3"/>
      <c r="E869" s="4"/>
      <c r="F869" s="3"/>
      <c r="G869" s="3"/>
      <c r="H869" s="3"/>
      <c r="I869" s="1"/>
    </row>
    <row r="870" spans="1:9" ht="14.25" customHeight="1" x14ac:dyDescent="0.25">
      <c r="A870" s="3"/>
      <c r="B870" s="3"/>
      <c r="C870" s="3"/>
      <c r="D870" s="3"/>
      <c r="E870" s="4"/>
      <c r="F870" s="3"/>
      <c r="G870" s="3"/>
      <c r="H870" s="3"/>
      <c r="I870" s="1"/>
    </row>
    <row r="871" spans="1:9" ht="14.25" customHeight="1" x14ac:dyDescent="0.25">
      <c r="A871" s="3"/>
      <c r="B871" s="3"/>
      <c r="C871" s="3"/>
      <c r="D871" s="3"/>
      <c r="E871" s="4"/>
      <c r="F871" s="3"/>
      <c r="G871" s="3"/>
      <c r="H871" s="3"/>
      <c r="I871" s="1"/>
    </row>
    <row r="872" spans="1:9" ht="14.25" customHeight="1" x14ac:dyDescent="0.25">
      <c r="A872" s="3"/>
      <c r="B872" s="3"/>
      <c r="C872" s="3"/>
      <c r="D872" s="3"/>
      <c r="E872" s="4"/>
      <c r="F872" s="3"/>
      <c r="G872" s="3"/>
      <c r="H872" s="3"/>
      <c r="I872" s="1"/>
    </row>
    <row r="873" spans="1:9" ht="14.25" customHeight="1" x14ac:dyDescent="0.25">
      <c r="A873" s="3"/>
      <c r="B873" s="3"/>
      <c r="C873" s="3"/>
      <c r="D873" s="3"/>
      <c r="E873" s="4"/>
      <c r="F873" s="3"/>
      <c r="G873" s="3"/>
      <c r="H873" s="3"/>
      <c r="I873" s="1"/>
    </row>
    <row r="874" spans="1:9" ht="14.25" customHeight="1" x14ac:dyDescent="0.25">
      <c r="A874" s="3"/>
      <c r="B874" s="3"/>
      <c r="C874" s="3"/>
      <c r="D874" s="3"/>
      <c r="E874" s="4"/>
      <c r="F874" s="3"/>
      <c r="G874" s="3"/>
      <c r="H874" s="3"/>
      <c r="I874" s="1"/>
    </row>
    <row r="875" spans="1:9" ht="14.25" customHeight="1" x14ac:dyDescent="0.25">
      <c r="A875" s="3"/>
      <c r="B875" s="3"/>
      <c r="C875" s="3"/>
      <c r="D875" s="3"/>
      <c r="E875" s="4"/>
      <c r="F875" s="3"/>
      <c r="G875" s="3"/>
      <c r="H875" s="3"/>
      <c r="I875" s="1"/>
    </row>
    <row r="876" spans="1:9" ht="14.25" customHeight="1" x14ac:dyDescent="0.25">
      <c r="A876" s="3"/>
      <c r="B876" s="3"/>
      <c r="C876" s="3"/>
      <c r="D876" s="3"/>
      <c r="E876" s="4"/>
      <c r="F876" s="3"/>
      <c r="G876" s="3"/>
      <c r="H876" s="3"/>
      <c r="I876" s="1"/>
    </row>
    <row r="877" spans="1:9" ht="14.25" customHeight="1" x14ac:dyDescent="0.25">
      <c r="A877" s="3"/>
      <c r="B877" s="3"/>
      <c r="C877" s="3"/>
      <c r="D877" s="3"/>
      <c r="E877" s="4"/>
      <c r="F877" s="3"/>
      <c r="G877" s="3"/>
      <c r="H877" s="3"/>
      <c r="I877" s="1"/>
    </row>
    <row r="878" spans="1:9" ht="14.25" customHeight="1" x14ac:dyDescent="0.25">
      <c r="A878" s="3"/>
      <c r="B878" s="3"/>
      <c r="C878" s="3"/>
      <c r="D878" s="3"/>
      <c r="E878" s="4"/>
      <c r="F878" s="3"/>
      <c r="G878" s="3"/>
      <c r="H878" s="3"/>
      <c r="I878" s="1"/>
    </row>
    <row r="879" spans="1:9" ht="14.25" customHeight="1" x14ac:dyDescent="0.25">
      <c r="A879" s="3"/>
      <c r="B879" s="3"/>
      <c r="C879" s="3"/>
      <c r="D879" s="3"/>
      <c r="E879" s="4"/>
      <c r="F879" s="3"/>
      <c r="G879" s="3"/>
      <c r="H879" s="3"/>
      <c r="I879" s="1"/>
    </row>
    <row r="880" spans="1:9" ht="14.25" customHeight="1" x14ac:dyDescent="0.25">
      <c r="A880" s="3"/>
      <c r="B880" s="3"/>
      <c r="C880" s="3"/>
      <c r="D880" s="3"/>
      <c r="E880" s="4"/>
      <c r="F880" s="3"/>
      <c r="G880" s="3"/>
      <c r="H880" s="3"/>
      <c r="I880" s="1"/>
    </row>
    <row r="881" spans="1:9" ht="14.25" customHeight="1" x14ac:dyDescent="0.25">
      <c r="A881" s="3"/>
      <c r="B881" s="3"/>
      <c r="C881" s="3"/>
      <c r="D881" s="3"/>
      <c r="E881" s="4"/>
      <c r="F881" s="3"/>
      <c r="G881" s="3"/>
      <c r="H881" s="3"/>
      <c r="I881" s="1"/>
    </row>
    <row r="882" spans="1:9" ht="14.25" customHeight="1" x14ac:dyDescent="0.25">
      <c r="A882" s="3"/>
      <c r="B882" s="3"/>
      <c r="C882" s="3"/>
      <c r="D882" s="3"/>
      <c r="E882" s="4"/>
      <c r="F882" s="3"/>
      <c r="G882" s="3"/>
      <c r="H882" s="3"/>
      <c r="I882" s="1"/>
    </row>
    <row r="883" spans="1:9" ht="14.25" customHeight="1" x14ac:dyDescent="0.25">
      <c r="A883" s="3"/>
      <c r="B883" s="3"/>
      <c r="C883" s="3"/>
      <c r="D883" s="3"/>
      <c r="E883" s="4"/>
      <c r="F883" s="3"/>
      <c r="G883" s="3"/>
      <c r="H883" s="3"/>
      <c r="I883" s="1"/>
    </row>
    <row r="884" spans="1:9" ht="14.25" customHeight="1" x14ac:dyDescent="0.25">
      <c r="A884" s="3"/>
      <c r="B884" s="3"/>
      <c r="C884" s="3"/>
      <c r="D884" s="3"/>
      <c r="E884" s="4"/>
      <c r="F884" s="3"/>
      <c r="G884" s="3"/>
      <c r="H884" s="3"/>
      <c r="I884" s="1"/>
    </row>
    <row r="885" spans="1:9" ht="14.25" customHeight="1" x14ac:dyDescent="0.25">
      <c r="A885" s="3"/>
      <c r="B885" s="3"/>
      <c r="C885" s="3"/>
      <c r="D885" s="3"/>
      <c r="E885" s="4"/>
      <c r="F885" s="3"/>
      <c r="G885" s="3"/>
      <c r="H885" s="3"/>
      <c r="I885" s="1"/>
    </row>
    <row r="886" spans="1:9" ht="14.25" customHeight="1" x14ac:dyDescent="0.25">
      <c r="A886" s="3"/>
      <c r="B886" s="3"/>
      <c r="C886" s="3"/>
      <c r="D886" s="3"/>
      <c r="E886" s="4"/>
      <c r="F886" s="3"/>
      <c r="G886" s="3"/>
      <c r="H886" s="3"/>
      <c r="I886" s="1"/>
    </row>
    <row r="887" spans="1:9" ht="14.25" customHeight="1" x14ac:dyDescent="0.25">
      <c r="A887" s="3"/>
      <c r="B887" s="3"/>
      <c r="C887" s="3"/>
      <c r="D887" s="3"/>
      <c r="E887" s="4"/>
      <c r="F887" s="3"/>
      <c r="G887" s="3"/>
      <c r="H887" s="3"/>
      <c r="I887" s="1"/>
    </row>
    <row r="888" spans="1:9" ht="14.25" customHeight="1" x14ac:dyDescent="0.25">
      <c r="A888" s="3"/>
      <c r="B888" s="3"/>
      <c r="C888" s="3"/>
      <c r="D888" s="3"/>
      <c r="E888" s="4"/>
      <c r="F888" s="3"/>
      <c r="G888" s="3"/>
      <c r="H888" s="3"/>
      <c r="I888" s="1"/>
    </row>
    <row r="889" spans="1:9" ht="14.25" customHeight="1" x14ac:dyDescent="0.25">
      <c r="A889" s="3"/>
      <c r="B889" s="3"/>
      <c r="C889" s="3"/>
      <c r="D889" s="3"/>
      <c r="E889" s="4"/>
      <c r="F889" s="3"/>
      <c r="G889" s="3"/>
      <c r="H889" s="3"/>
      <c r="I889" s="1"/>
    </row>
    <row r="890" spans="1:9" ht="14.25" customHeight="1" x14ac:dyDescent="0.25">
      <c r="A890" s="3"/>
      <c r="B890" s="3"/>
      <c r="C890" s="3"/>
      <c r="D890" s="3"/>
      <c r="E890" s="4"/>
      <c r="F890" s="3"/>
      <c r="G890" s="3"/>
      <c r="H890" s="3"/>
      <c r="I890" s="1"/>
    </row>
    <row r="891" spans="1:9" ht="14.25" customHeight="1" x14ac:dyDescent="0.25">
      <c r="A891" s="3"/>
      <c r="B891" s="3"/>
      <c r="C891" s="3"/>
      <c r="D891" s="3"/>
      <c r="E891" s="4"/>
      <c r="F891" s="3"/>
      <c r="G891" s="3"/>
      <c r="H891" s="3"/>
      <c r="I891" s="1"/>
    </row>
    <row r="892" spans="1:9" ht="14.25" customHeight="1" x14ac:dyDescent="0.25">
      <c r="A892" s="3"/>
      <c r="B892" s="3"/>
      <c r="C892" s="3"/>
      <c r="D892" s="3"/>
      <c r="E892" s="4"/>
      <c r="F892" s="3"/>
      <c r="G892" s="3"/>
      <c r="H892" s="3"/>
      <c r="I892" s="1"/>
    </row>
    <row r="893" spans="1:9" ht="14.25" customHeight="1" x14ac:dyDescent="0.25">
      <c r="A893" s="3"/>
      <c r="B893" s="3"/>
      <c r="C893" s="3"/>
      <c r="D893" s="3"/>
      <c r="E893" s="4"/>
      <c r="F893" s="3"/>
      <c r="G893" s="3"/>
      <c r="H893" s="3"/>
      <c r="I893" s="1"/>
    </row>
    <row r="894" spans="1:9" ht="14.25" customHeight="1" x14ac:dyDescent="0.25">
      <c r="A894" s="3"/>
      <c r="B894" s="3"/>
      <c r="C894" s="3"/>
      <c r="D894" s="3"/>
      <c r="E894" s="4"/>
      <c r="F894" s="3"/>
      <c r="G894" s="3"/>
      <c r="H894" s="3"/>
      <c r="I894" s="1"/>
    </row>
    <row r="895" spans="1:9" ht="14.25" customHeight="1" x14ac:dyDescent="0.25">
      <c r="A895" s="3"/>
      <c r="B895" s="3"/>
      <c r="C895" s="3"/>
      <c r="D895" s="3"/>
      <c r="E895" s="4"/>
      <c r="F895" s="3"/>
      <c r="G895" s="3"/>
      <c r="H895" s="3"/>
      <c r="I895" s="1"/>
    </row>
    <row r="896" spans="1:9" ht="14.25" customHeight="1" x14ac:dyDescent="0.25">
      <c r="A896" s="3"/>
      <c r="B896" s="3"/>
      <c r="C896" s="3"/>
      <c r="D896" s="3"/>
      <c r="E896" s="4"/>
      <c r="F896" s="3"/>
      <c r="G896" s="3"/>
      <c r="H896" s="3"/>
      <c r="I896" s="1"/>
    </row>
    <row r="897" spans="1:9" ht="14.25" customHeight="1" x14ac:dyDescent="0.25">
      <c r="A897" s="3"/>
      <c r="B897" s="3"/>
      <c r="C897" s="3"/>
      <c r="D897" s="3"/>
      <c r="E897" s="4"/>
      <c r="F897" s="3"/>
      <c r="G897" s="3"/>
      <c r="H897" s="3"/>
      <c r="I897" s="1"/>
    </row>
    <row r="898" spans="1:9" ht="14.25" customHeight="1" x14ac:dyDescent="0.25">
      <c r="A898" s="3"/>
      <c r="B898" s="3"/>
      <c r="C898" s="3"/>
      <c r="D898" s="3"/>
      <c r="E898" s="4"/>
      <c r="F898" s="3"/>
      <c r="G898" s="3"/>
      <c r="H898" s="3"/>
      <c r="I898" s="1"/>
    </row>
    <row r="899" spans="1:9" ht="14.25" customHeight="1" x14ac:dyDescent="0.25">
      <c r="A899" s="3"/>
      <c r="B899" s="3"/>
      <c r="C899" s="3"/>
      <c r="D899" s="3"/>
      <c r="E899" s="4"/>
      <c r="F899" s="3"/>
      <c r="G899" s="3"/>
      <c r="H899" s="3"/>
      <c r="I899" s="1"/>
    </row>
    <row r="900" spans="1:9" ht="14.25" customHeight="1" x14ac:dyDescent="0.25">
      <c r="A900" s="3"/>
      <c r="B900" s="3"/>
      <c r="C900" s="3"/>
      <c r="D900" s="3"/>
      <c r="E900" s="4"/>
      <c r="F900" s="3"/>
      <c r="G900" s="3"/>
      <c r="H900" s="3"/>
      <c r="I900" s="1"/>
    </row>
    <row r="901" spans="1:9" ht="14.25" customHeight="1" x14ac:dyDescent="0.25">
      <c r="A901" s="3"/>
      <c r="B901" s="3"/>
      <c r="C901" s="3"/>
      <c r="D901" s="3"/>
      <c r="E901" s="4"/>
      <c r="F901" s="3"/>
      <c r="G901" s="3"/>
      <c r="H901" s="3"/>
      <c r="I901" s="1"/>
    </row>
    <row r="902" spans="1:9" ht="14.25" customHeight="1" x14ac:dyDescent="0.25">
      <c r="A902" s="3"/>
      <c r="B902" s="3"/>
      <c r="C902" s="3"/>
      <c r="D902" s="3"/>
      <c r="E902" s="4"/>
      <c r="F902" s="3"/>
      <c r="G902" s="3"/>
      <c r="H902" s="3"/>
      <c r="I902" s="1"/>
    </row>
    <row r="903" spans="1:9" ht="14.25" customHeight="1" x14ac:dyDescent="0.25">
      <c r="A903" s="3"/>
      <c r="B903" s="3"/>
      <c r="C903" s="3"/>
      <c r="D903" s="3"/>
      <c r="E903" s="4"/>
      <c r="F903" s="3"/>
      <c r="G903" s="3"/>
      <c r="H903" s="3"/>
      <c r="I903" s="1"/>
    </row>
    <row r="904" spans="1:9" ht="14.25" customHeight="1" x14ac:dyDescent="0.25">
      <c r="A904" s="3"/>
      <c r="B904" s="3"/>
      <c r="C904" s="3"/>
      <c r="D904" s="3"/>
      <c r="E904" s="4"/>
      <c r="F904" s="3"/>
      <c r="G904" s="3"/>
      <c r="H904" s="3"/>
      <c r="I904" s="1"/>
    </row>
    <row r="905" spans="1:9" ht="14.25" customHeight="1" x14ac:dyDescent="0.25">
      <c r="A905" s="3"/>
      <c r="B905" s="3"/>
      <c r="C905" s="3"/>
      <c r="D905" s="3"/>
      <c r="E905" s="4"/>
      <c r="F905" s="3"/>
      <c r="G905" s="3"/>
      <c r="H905" s="3"/>
      <c r="I905" s="1"/>
    </row>
    <row r="906" spans="1:9" ht="14.25" customHeight="1" x14ac:dyDescent="0.25">
      <c r="A906" s="3"/>
      <c r="B906" s="3"/>
      <c r="C906" s="3"/>
      <c r="D906" s="3"/>
      <c r="E906" s="4"/>
      <c r="F906" s="3"/>
      <c r="G906" s="3"/>
      <c r="H906" s="3"/>
      <c r="I906" s="1"/>
    </row>
    <row r="907" spans="1:9" ht="14.25" customHeight="1" x14ac:dyDescent="0.25">
      <c r="A907" s="3"/>
      <c r="B907" s="3"/>
      <c r="C907" s="3"/>
      <c r="D907" s="3"/>
      <c r="E907" s="4"/>
      <c r="F907" s="3"/>
      <c r="G907" s="3"/>
      <c r="H907" s="3"/>
      <c r="I907" s="1"/>
    </row>
    <row r="908" spans="1:9" ht="14.25" customHeight="1" x14ac:dyDescent="0.25">
      <c r="A908" s="3"/>
      <c r="B908" s="3"/>
      <c r="C908" s="3"/>
      <c r="D908" s="3"/>
      <c r="E908" s="4"/>
      <c r="F908" s="3"/>
      <c r="G908" s="3"/>
      <c r="H908" s="3"/>
      <c r="I908" s="1"/>
    </row>
    <row r="909" spans="1:9" ht="14.25" customHeight="1" x14ac:dyDescent="0.25">
      <c r="A909" s="3"/>
      <c r="B909" s="3"/>
      <c r="C909" s="3"/>
      <c r="D909" s="3"/>
      <c r="E909" s="4"/>
      <c r="F909" s="3"/>
      <c r="G909" s="3"/>
      <c r="H909" s="3"/>
      <c r="I909" s="1"/>
    </row>
    <row r="910" spans="1:9" ht="14.25" customHeight="1" x14ac:dyDescent="0.25">
      <c r="A910" s="3"/>
      <c r="B910" s="3"/>
      <c r="C910" s="3"/>
      <c r="D910" s="3"/>
      <c r="E910" s="4"/>
      <c r="F910" s="3"/>
      <c r="G910" s="3"/>
      <c r="H910" s="3"/>
      <c r="I910" s="1"/>
    </row>
    <row r="911" spans="1:9" ht="14.25" customHeight="1" x14ac:dyDescent="0.25">
      <c r="A911" s="3"/>
      <c r="B911" s="3"/>
      <c r="C911" s="3"/>
      <c r="D911" s="3"/>
      <c r="E911" s="4"/>
      <c r="F911" s="3"/>
      <c r="G911" s="3"/>
      <c r="H911" s="3"/>
      <c r="I911" s="1"/>
    </row>
    <row r="912" spans="1:9" ht="14.25" customHeight="1" x14ac:dyDescent="0.25">
      <c r="A912" s="3"/>
      <c r="B912" s="3"/>
      <c r="C912" s="3"/>
      <c r="D912" s="3"/>
      <c r="E912" s="4"/>
      <c r="F912" s="3"/>
      <c r="G912" s="3"/>
      <c r="H912" s="3"/>
      <c r="I912" s="1"/>
    </row>
    <row r="913" spans="1:9" ht="14.25" customHeight="1" x14ac:dyDescent="0.25">
      <c r="A913" s="3"/>
      <c r="B913" s="3"/>
      <c r="C913" s="3"/>
      <c r="D913" s="3"/>
      <c r="E913" s="4"/>
      <c r="F913" s="3"/>
      <c r="G913" s="3"/>
      <c r="H913" s="3"/>
      <c r="I913" s="1"/>
    </row>
    <row r="914" spans="1:9" ht="14.25" customHeight="1" x14ac:dyDescent="0.25">
      <c r="A914" s="3"/>
      <c r="B914" s="3"/>
      <c r="C914" s="3"/>
      <c r="D914" s="3"/>
      <c r="E914" s="4"/>
      <c r="F914" s="3"/>
      <c r="G914" s="3"/>
      <c r="H914" s="3"/>
      <c r="I914" s="1"/>
    </row>
    <row r="915" spans="1:9" ht="14.25" customHeight="1" x14ac:dyDescent="0.25">
      <c r="A915" s="3"/>
      <c r="B915" s="3"/>
      <c r="C915" s="3"/>
      <c r="D915" s="3"/>
      <c r="E915" s="4"/>
      <c r="F915" s="3"/>
      <c r="G915" s="3"/>
      <c r="H915" s="3"/>
      <c r="I915" s="1"/>
    </row>
    <row r="916" spans="1:9" ht="14.25" customHeight="1" x14ac:dyDescent="0.25">
      <c r="A916" s="3"/>
      <c r="B916" s="3"/>
      <c r="C916" s="3"/>
      <c r="D916" s="3"/>
      <c r="E916" s="4"/>
      <c r="F916" s="3"/>
      <c r="G916" s="3"/>
      <c r="H916" s="3"/>
      <c r="I916" s="1"/>
    </row>
    <row r="917" spans="1:9" ht="14.25" customHeight="1" x14ac:dyDescent="0.25">
      <c r="A917" s="3"/>
      <c r="B917" s="3"/>
      <c r="C917" s="3"/>
      <c r="D917" s="3"/>
      <c r="E917" s="4"/>
      <c r="F917" s="3"/>
      <c r="G917" s="3"/>
      <c r="H917" s="3"/>
      <c r="I917" s="1"/>
    </row>
    <row r="918" spans="1:9" ht="14.25" customHeight="1" x14ac:dyDescent="0.25">
      <c r="A918" s="3"/>
      <c r="B918" s="3"/>
      <c r="C918" s="3"/>
      <c r="D918" s="3"/>
      <c r="E918" s="4"/>
      <c r="F918" s="3"/>
      <c r="G918" s="3"/>
      <c r="H918" s="3"/>
      <c r="I918" s="1"/>
    </row>
    <row r="919" spans="1:9" ht="14.25" customHeight="1" x14ac:dyDescent="0.25">
      <c r="A919" s="3"/>
      <c r="B919" s="3"/>
      <c r="C919" s="3"/>
      <c r="D919" s="3"/>
      <c r="E919" s="4"/>
      <c r="F919" s="3"/>
      <c r="G919" s="3"/>
      <c r="H919" s="3"/>
      <c r="I919" s="1"/>
    </row>
    <row r="920" spans="1:9" ht="14.25" customHeight="1" x14ac:dyDescent="0.25">
      <c r="A920" s="3"/>
      <c r="B920" s="3"/>
      <c r="C920" s="3"/>
      <c r="D920" s="3"/>
      <c r="E920" s="4"/>
      <c r="F920" s="3"/>
      <c r="G920" s="3"/>
      <c r="H920" s="3"/>
      <c r="I920" s="1"/>
    </row>
    <row r="921" spans="1:9" ht="14.25" customHeight="1" x14ac:dyDescent="0.25">
      <c r="A921" s="3"/>
      <c r="B921" s="3"/>
      <c r="C921" s="3"/>
      <c r="D921" s="3"/>
      <c r="E921" s="4"/>
      <c r="F921" s="3"/>
      <c r="G921" s="3"/>
      <c r="H921" s="3"/>
      <c r="I921" s="1"/>
    </row>
    <row r="922" spans="1:9" ht="14.25" customHeight="1" x14ac:dyDescent="0.25">
      <c r="A922" s="3"/>
      <c r="B922" s="3"/>
      <c r="C922" s="3"/>
      <c r="D922" s="3"/>
      <c r="E922" s="4"/>
      <c r="F922" s="3"/>
      <c r="G922" s="3"/>
      <c r="H922" s="3"/>
      <c r="I922" s="1"/>
    </row>
    <row r="923" spans="1:9" ht="14.25" customHeight="1" x14ac:dyDescent="0.25">
      <c r="A923" s="3"/>
      <c r="B923" s="3"/>
      <c r="C923" s="3"/>
      <c r="D923" s="3"/>
      <c r="E923" s="4"/>
      <c r="F923" s="3"/>
      <c r="G923" s="3"/>
      <c r="H923" s="3"/>
      <c r="I923" s="1"/>
    </row>
    <row r="924" spans="1:9" ht="14.25" customHeight="1" x14ac:dyDescent="0.25">
      <c r="A924" s="3"/>
      <c r="B924" s="3"/>
      <c r="C924" s="3"/>
      <c r="D924" s="3"/>
      <c r="E924" s="4"/>
      <c r="F924" s="3"/>
      <c r="G924" s="3"/>
      <c r="H924" s="3"/>
      <c r="I924" s="1"/>
    </row>
    <row r="925" spans="1:9" ht="14.25" customHeight="1" x14ac:dyDescent="0.25">
      <c r="A925" s="3"/>
      <c r="B925" s="3"/>
      <c r="C925" s="3"/>
      <c r="D925" s="3"/>
      <c r="E925" s="4"/>
      <c r="F925" s="3"/>
      <c r="G925" s="3"/>
      <c r="H925" s="3"/>
      <c r="I925" s="1"/>
    </row>
    <row r="926" spans="1:9" ht="14.25" customHeight="1" x14ac:dyDescent="0.25">
      <c r="A926" s="3"/>
      <c r="B926" s="3"/>
      <c r="C926" s="3"/>
      <c r="D926" s="3"/>
      <c r="E926" s="4"/>
      <c r="F926" s="3"/>
      <c r="G926" s="3"/>
      <c r="H926" s="3"/>
      <c r="I926" s="1"/>
    </row>
    <row r="927" spans="1:9" ht="14.25" customHeight="1" x14ac:dyDescent="0.25">
      <c r="A927" s="3"/>
      <c r="B927" s="3"/>
      <c r="C927" s="3"/>
      <c r="D927" s="3"/>
      <c r="E927" s="4"/>
      <c r="F927" s="3"/>
      <c r="G927" s="3"/>
      <c r="H927" s="3"/>
      <c r="I927" s="1"/>
    </row>
    <row r="928" spans="1:9" ht="14.25" customHeight="1" x14ac:dyDescent="0.25">
      <c r="A928" s="3"/>
      <c r="B928" s="3"/>
      <c r="C928" s="3"/>
      <c r="D928" s="3"/>
      <c r="E928" s="4"/>
      <c r="F928" s="3"/>
      <c r="G928" s="3"/>
      <c r="H928" s="3"/>
      <c r="I928" s="1"/>
    </row>
    <row r="929" spans="1:9" ht="14.25" customHeight="1" x14ac:dyDescent="0.25">
      <c r="A929" s="3"/>
      <c r="B929" s="3"/>
      <c r="C929" s="3"/>
      <c r="D929" s="3"/>
      <c r="E929" s="4"/>
      <c r="F929" s="3"/>
      <c r="G929" s="3"/>
      <c r="H929" s="3"/>
      <c r="I929" s="1"/>
    </row>
    <row r="930" spans="1:9" ht="14.25" customHeight="1" x14ac:dyDescent="0.25">
      <c r="A930" s="3"/>
      <c r="B930" s="3"/>
      <c r="C930" s="3"/>
      <c r="D930" s="3"/>
      <c r="E930" s="4"/>
      <c r="F930" s="3"/>
      <c r="G930" s="3"/>
      <c r="H930" s="3"/>
      <c r="I930" s="1"/>
    </row>
    <row r="931" spans="1:9" ht="14.25" customHeight="1" x14ac:dyDescent="0.25">
      <c r="A931" s="3"/>
      <c r="B931" s="3"/>
      <c r="C931" s="3"/>
      <c r="D931" s="3"/>
      <c r="E931" s="4"/>
      <c r="F931" s="3"/>
      <c r="G931" s="3"/>
      <c r="H931" s="3"/>
      <c r="I931" s="1"/>
    </row>
    <row r="932" spans="1:9" ht="14.25" customHeight="1" x14ac:dyDescent="0.25">
      <c r="A932" s="3"/>
      <c r="B932" s="3"/>
      <c r="C932" s="3"/>
      <c r="D932" s="3"/>
      <c r="E932" s="4"/>
      <c r="F932" s="3"/>
      <c r="G932" s="3"/>
      <c r="H932" s="3"/>
      <c r="I932" s="1"/>
    </row>
    <row r="933" spans="1:9" ht="14.25" customHeight="1" x14ac:dyDescent="0.25">
      <c r="A933" s="3"/>
      <c r="B933" s="3"/>
      <c r="C933" s="3"/>
      <c r="D933" s="3"/>
      <c r="E933" s="4"/>
      <c r="F933" s="3"/>
      <c r="G933" s="3"/>
      <c r="H933" s="3"/>
      <c r="I933" s="1"/>
    </row>
    <row r="934" spans="1:9" ht="14.25" customHeight="1" x14ac:dyDescent="0.25">
      <c r="A934" s="3"/>
      <c r="B934" s="3"/>
      <c r="C934" s="3"/>
      <c r="D934" s="3"/>
      <c r="E934" s="4"/>
      <c r="F934" s="3"/>
      <c r="G934" s="3"/>
      <c r="H934" s="3"/>
      <c r="I934" s="1"/>
    </row>
    <row r="935" spans="1:9" ht="14.25" customHeight="1" x14ac:dyDescent="0.25">
      <c r="A935" s="3"/>
      <c r="B935" s="3"/>
      <c r="C935" s="3"/>
      <c r="D935" s="3"/>
      <c r="E935" s="4"/>
      <c r="F935" s="3"/>
      <c r="G935" s="3"/>
      <c r="H935" s="3"/>
      <c r="I935" s="1"/>
    </row>
    <row r="936" spans="1:9" ht="14.25" customHeight="1" x14ac:dyDescent="0.25">
      <c r="A936" s="3"/>
      <c r="B936" s="3"/>
      <c r="C936" s="3"/>
      <c r="D936" s="3"/>
      <c r="E936" s="4"/>
      <c r="F936" s="3"/>
      <c r="G936" s="3"/>
      <c r="H936" s="3"/>
      <c r="I936" s="1"/>
    </row>
    <row r="937" spans="1:9" ht="14.25" customHeight="1" x14ac:dyDescent="0.25">
      <c r="A937" s="3"/>
      <c r="B937" s="3"/>
      <c r="C937" s="3"/>
      <c r="D937" s="3"/>
      <c r="E937" s="4"/>
      <c r="F937" s="3"/>
      <c r="G937" s="3"/>
      <c r="H937" s="3"/>
      <c r="I937" s="1"/>
    </row>
    <row r="938" spans="1:9" ht="14.25" customHeight="1" x14ac:dyDescent="0.25">
      <c r="A938" s="3"/>
      <c r="B938" s="3"/>
      <c r="C938" s="3"/>
      <c r="D938" s="3"/>
      <c r="E938" s="4"/>
      <c r="F938" s="3"/>
      <c r="G938" s="3"/>
      <c r="H938" s="3"/>
      <c r="I938" s="1"/>
    </row>
    <row r="939" spans="1:9" ht="14.25" customHeight="1" x14ac:dyDescent="0.25">
      <c r="A939" s="3"/>
      <c r="B939" s="3"/>
      <c r="C939" s="3"/>
      <c r="D939" s="3"/>
      <c r="E939" s="4"/>
      <c r="F939" s="3"/>
      <c r="G939" s="3"/>
      <c r="H939" s="3"/>
      <c r="I939" s="1"/>
    </row>
    <row r="940" spans="1:9" ht="14.25" customHeight="1" x14ac:dyDescent="0.25">
      <c r="A940" s="3"/>
      <c r="B940" s="3"/>
      <c r="C940" s="3"/>
      <c r="D940" s="3"/>
      <c r="E940" s="4"/>
      <c r="F940" s="3"/>
      <c r="G940" s="3"/>
      <c r="H940" s="3"/>
      <c r="I940" s="1"/>
    </row>
    <row r="941" spans="1:9" ht="14.25" customHeight="1" x14ac:dyDescent="0.25">
      <c r="A941" s="3"/>
      <c r="B941" s="3"/>
      <c r="C941" s="3"/>
      <c r="D941" s="3"/>
      <c r="E941" s="4"/>
      <c r="F941" s="3"/>
      <c r="G941" s="3"/>
      <c r="H941" s="3"/>
      <c r="I941" s="1"/>
    </row>
    <row r="942" spans="1:9" ht="14.25" customHeight="1" x14ac:dyDescent="0.25">
      <c r="A942" s="3"/>
      <c r="B942" s="3"/>
      <c r="C942" s="3"/>
      <c r="D942" s="3"/>
      <c r="E942" s="4"/>
      <c r="F942" s="3"/>
      <c r="G942" s="3"/>
      <c r="H942" s="3"/>
      <c r="I942" s="1"/>
    </row>
    <row r="943" spans="1:9" ht="14.25" customHeight="1" x14ac:dyDescent="0.25">
      <c r="A943" s="3"/>
      <c r="B943" s="3"/>
      <c r="C943" s="3"/>
      <c r="D943" s="3"/>
      <c r="E943" s="4"/>
      <c r="F943" s="3"/>
      <c r="G943" s="3"/>
      <c r="H943" s="3"/>
      <c r="I943" s="1"/>
    </row>
    <row r="944" spans="1:9" ht="14.25" customHeight="1" x14ac:dyDescent="0.25">
      <c r="A944" s="3"/>
      <c r="B944" s="3"/>
      <c r="C944" s="3"/>
      <c r="D944" s="3"/>
      <c r="E944" s="4"/>
      <c r="F944" s="3"/>
      <c r="G944" s="3"/>
      <c r="H944" s="3"/>
      <c r="I944" s="1"/>
    </row>
    <row r="945" spans="1:9" ht="14.25" customHeight="1" x14ac:dyDescent="0.25">
      <c r="A945" s="3"/>
      <c r="B945" s="3"/>
      <c r="C945" s="3"/>
      <c r="D945" s="3"/>
      <c r="E945" s="4"/>
      <c r="F945" s="3"/>
      <c r="G945" s="3"/>
      <c r="H945" s="3"/>
      <c r="I945" s="1"/>
    </row>
    <row r="946" spans="1:9" ht="14.25" customHeight="1" x14ac:dyDescent="0.25">
      <c r="A946" s="3"/>
      <c r="B946" s="3"/>
      <c r="C946" s="3"/>
      <c r="D946" s="3"/>
      <c r="E946" s="4"/>
      <c r="F946" s="3"/>
      <c r="G946" s="3"/>
      <c r="H946" s="3"/>
      <c r="I946" s="1"/>
    </row>
    <row r="947" spans="1:9" ht="14.25" customHeight="1" x14ac:dyDescent="0.25">
      <c r="A947" s="3"/>
      <c r="B947" s="3"/>
      <c r="C947" s="3"/>
      <c r="D947" s="3"/>
      <c r="E947" s="4"/>
      <c r="F947" s="3"/>
      <c r="G947" s="3"/>
      <c r="H947" s="3"/>
      <c r="I947" s="1"/>
    </row>
    <row r="948" spans="1:9" ht="14.25" customHeight="1" x14ac:dyDescent="0.25">
      <c r="A948" s="3"/>
      <c r="B948" s="3"/>
      <c r="C948" s="3"/>
      <c r="D948" s="3"/>
      <c r="E948" s="4"/>
      <c r="F948" s="3"/>
      <c r="G948" s="3"/>
      <c r="H948" s="3"/>
      <c r="I948" s="1"/>
    </row>
    <row r="949" spans="1:9" ht="14.25" customHeight="1" x14ac:dyDescent="0.25">
      <c r="A949" s="3"/>
      <c r="B949" s="3"/>
      <c r="C949" s="3"/>
      <c r="D949" s="3"/>
      <c r="E949" s="4"/>
      <c r="F949" s="3"/>
      <c r="G949" s="3"/>
      <c r="H949" s="3"/>
      <c r="I949" s="1"/>
    </row>
    <row r="950" spans="1:9" ht="14.25" customHeight="1" x14ac:dyDescent="0.25">
      <c r="A950" s="3"/>
      <c r="B950" s="3"/>
      <c r="C950" s="3"/>
      <c r="D950" s="3"/>
      <c r="E950" s="4"/>
      <c r="F950" s="3"/>
      <c r="G950" s="3"/>
      <c r="H950" s="3"/>
      <c r="I950" s="1"/>
    </row>
    <row r="951" spans="1:9" ht="14.25" customHeight="1" x14ac:dyDescent="0.25">
      <c r="A951" s="3"/>
      <c r="B951" s="3"/>
      <c r="C951" s="3"/>
      <c r="D951" s="3"/>
      <c r="E951" s="4"/>
      <c r="F951" s="3"/>
      <c r="G951" s="3"/>
      <c r="H951" s="3"/>
      <c r="I951" s="1"/>
    </row>
    <row r="952" spans="1:9" ht="14.25" customHeight="1" x14ac:dyDescent="0.25">
      <c r="A952" s="3"/>
      <c r="B952" s="3"/>
      <c r="C952" s="3"/>
      <c r="D952" s="3"/>
      <c r="E952" s="4"/>
      <c r="F952" s="3"/>
      <c r="G952" s="3"/>
      <c r="H952" s="3"/>
      <c r="I952" s="1"/>
    </row>
    <row r="953" spans="1:9" ht="14.25" customHeight="1" x14ac:dyDescent="0.25">
      <c r="A953" s="3"/>
      <c r="B953" s="3"/>
      <c r="C953" s="3"/>
      <c r="D953" s="3"/>
      <c r="E953" s="4"/>
      <c r="F953" s="3"/>
      <c r="G953" s="3"/>
      <c r="H953" s="3"/>
      <c r="I953" s="1"/>
    </row>
    <row r="954" spans="1:9" ht="14.25" customHeight="1" x14ac:dyDescent="0.25">
      <c r="A954" s="3"/>
      <c r="B954" s="3"/>
      <c r="C954" s="3"/>
      <c r="D954" s="3"/>
      <c r="E954" s="4"/>
      <c r="F954" s="3"/>
      <c r="G954" s="3"/>
      <c r="H954" s="3"/>
      <c r="I954" s="1"/>
    </row>
    <row r="955" spans="1:9" ht="14.25" customHeight="1" x14ac:dyDescent="0.25">
      <c r="A955" s="3"/>
      <c r="B955" s="3"/>
      <c r="C955" s="3"/>
      <c r="D955" s="3"/>
      <c r="E955" s="4"/>
      <c r="F955" s="3"/>
      <c r="G955" s="3"/>
      <c r="H955" s="3"/>
      <c r="I955" s="1"/>
    </row>
    <row r="956" spans="1:9" ht="14.25" customHeight="1" x14ac:dyDescent="0.25">
      <c r="A956" s="3"/>
      <c r="B956" s="3"/>
      <c r="C956" s="3"/>
      <c r="D956" s="3"/>
      <c r="E956" s="4"/>
      <c r="F956" s="3"/>
      <c r="G956" s="3"/>
      <c r="H956" s="3"/>
      <c r="I956" s="1"/>
    </row>
    <row r="957" spans="1:9" ht="14.25" customHeight="1" x14ac:dyDescent="0.25">
      <c r="A957" s="3"/>
      <c r="B957" s="3"/>
      <c r="C957" s="3"/>
      <c r="D957" s="3"/>
      <c r="E957" s="4"/>
      <c r="F957" s="3"/>
      <c r="G957" s="3"/>
      <c r="H957" s="3"/>
      <c r="I957" s="1"/>
    </row>
    <row r="958" spans="1:9" ht="14.25" customHeight="1" x14ac:dyDescent="0.25">
      <c r="A958" s="3"/>
      <c r="B958" s="3"/>
      <c r="C958" s="3"/>
      <c r="D958" s="3"/>
      <c r="E958" s="4"/>
      <c r="F958" s="3"/>
      <c r="G958" s="3"/>
      <c r="H958" s="3"/>
      <c r="I958" s="1"/>
    </row>
    <row r="959" spans="1:9" ht="14.25" customHeight="1" x14ac:dyDescent="0.25">
      <c r="A959" s="3"/>
      <c r="B959" s="3"/>
      <c r="C959" s="3"/>
      <c r="D959" s="3"/>
      <c r="E959" s="4"/>
      <c r="F959" s="3"/>
      <c r="G959" s="3"/>
      <c r="H959" s="3"/>
      <c r="I959" s="1"/>
    </row>
    <row r="960" spans="1:9" ht="14.25" customHeight="1" x14ac:dyDescent="0.25">
      <c r="A960" s="3"/>
      <c r="B960" s="3"/>
      <c r="C960" s="3"/>
      <c r="D960" s="3"/>
      <c r="E960" s="4"/>
      <c r="F960" s="3"/>
      <c r="G960" s="3"/>
      <c r="H960" s="3"/>
      <c r="I960" s="1"/>
    </row>
    <row r="961" spans="1:9" ht="14.25" customHeight="1" x14ac:dyDescent="0.25">
      <c r="A961" s="3"/>
      <c r="B961" s="3"/>
      <c r="C961" s="3"/>
      <c r="D961" s="3"/>
      <c r="E961" s="4"/>
      <c r="F961" s="3"/>
      <c r="G961" s="3"/>
      <c r="H961" s="3"/>
      <c r="I961" s="1"/>
    </row>
    <row r="962" spans="1:9" ht="14.25" customHeight="1" x14ac:dyDescent="0.25">
      <c r="A962" s="3"/>
      <c r="B962" s="3"/>
      <c r="C962" s="3"/>
      <c r="D962" s="3"/>
      <c r="E962" s="4"/>
      <c r="F962" s="3"/>
      <c r="G962" s="3"/>
      <c r="H962" s="3"/>
      <c r="I962" s="1"/>
    </row>
    <row r="963" spans="1:9" ht="14.25" customHeight="1" x14ac:dyDescent="0.25">
      <c r="A963" s="3"/>
      <c r="B963" s="3"/>
      <c r="C963" s="3"/>
      <c r="D963" s="3"/>
      <c r="E963" s="4"/>
      <c r="F963" s="3"/>
      <c r="G963" s="3"/>
      <c r="H963" s="3"/>
      <c r="I963" s="1"/>
    </row>
    <row r="964" spans="1:9" ht="14.25" customHeight="1" x14ac:dyDescent="0.25">
      <c r="A964" s="3"/>
      <c r="B964" s="3"/>
      <c r="C964" s="3"/>
      <c r="D964" s="3"/>
      <c r="E964" s="4"/>
      <c r="F964" s="3"/>
      <c r="G964" s="3"/>
      <c r="H964" s="3"/>
      <c r="I964" s="1"/>
    </row>
    <row r="965" spans="1:9" ht="14.25" customHeight="1" x14ac:dyDescent="0.25">
      <c r="A965" s="3"/>
      <c r="B965" s="3"/>
      <c r="C965" s="3"/>
      <c r="D965" s="3"/>
      <c r="E965" s="4"/>
      <c r="F965" s="3"/>
      <c r="G965" s="3"/>
      <c r="H965" s="3"/>
      <c r="I965" s="1"/>
    </row>
    <row r="966" spans="1:9" ht="14.25" customHeight="1" x14ac:dyDescent="0.25">
      <c r="A966" s="3"/>
      <c r="B966" s="3"/>
      <c r="C966" s="3"/>
      <c r="D966" s="3"/>
      <c r="E966" s="4"/>
      <c r="F966" s="3"/>
      <c r="G966" s="3"/>
      <c r="H966" s="3"/>
      <c r="I966" s="1"/>
    </row>
    <row r="967" spans="1:9" ht="14.25" customHeight="1" x14ac:dyDescent="0.25">
      <c r="A967" s="3"/>
      <c r="B967" s="3"/>
      <c r="C967" s="3"/>
      <c r="D967" s="3"/>
      <c r="E967" s="4"/>
      <c r="F967" s="3"/>
      <c r="G967" s="3"/>
      <c r="H967" s="3"/>
      <c r="I967" s="1"/>
    </row>
    <row r="968" spans="1:9" ht="14.25" customHeight="1" x14ac:dyDescent="0.25">
      <c r="A968" s="3"/>
      <c r="B968" s="3"/>
      <c r="C968" s="3"/>
      <c r="D968" s="3"/>
      <c r="E968" s="4"/>
      <c r="F968" s="3"/>
      <c r="G968" s="3"/>
      <c r="H968" s="3"/>
      <c r="I968" s="1"/>
    </row>
    <row r="969" spans="1:9" ht="14.25" customHeight="1" x14ac:dyDescent="0.25">
      <c r="A969" s="3"/>
      <c r="B969" s="3"/>
      <c r="C969" s="3"/>
      <c r="D969" s="3"/>
      <c r="E969" s="4"/>
      <c r="F969" s="3"/>
      <c r="G969" s="3"/>
      <c r="H969" s="3"/>
      <c r="I969" s="1"/>
    </row>
    <row r="970" spans="1:9" ht="14.25" customHeight="1" x14ac:dyDescent="0.25">
      <c r="A970" s="3"/>
      <c r="B970" s="3"/>
      <c r="C970" s="3"/>
      <c r="D970" s="3"/>
      <c r="E970" s="4"/>
      <c r="F970" s="3"/>
      <c r="G970" s="3"/>
      <c r="H970" s="3"/>
      <c r="I970" s="1"/>
    </row>
    <row r="971" spans="1:9" ht="14.25" customHeight="1" x14ac:dyDescent="0.25">
      <c r="A971" s="3"/>
      <c r="B971" s="3"/>
      <c r="C971" s="3"/>
      <c r="D971" s="3"/>
      <c r="E971" s="4"/>
      <c r="F971" s="3"/>
      <c r="G971" s="3"/>
      <c r="H971" s="3"/>
      <c r="I971" s="1"/>
    </row>
    <row r="972" spans="1:9" ht="14.25" customHeight="1" x14ac:dyDescent="0.25">
      <c r="A972" s="3"/>
      <c r="B972" s="3"/>
      <c r="C972" s="3"/>
      <c r="D972" s="3"/>
      <c r="E972" s="4"/>
      <c r="F972" s="3"/>
      <c r="G972" s="3"/>
      <c r="H972" s="3"/>
      <c r="I972" s="1"/>
    </row>
    <row r="973" spans="1:9" ht="14.25" customHeight="1" x14ac:dyDescent="0.25">
      <c r="A973" s="3"/>
      <c r="B973" s="3"/>
      <c r="C973" s="3"/>
      <c r="D973" s="3"/>
      <c r="E973" s="4"/>
      <c r="F973" s="3"/>
      <c r="G973" s="3"/>
      <c r="H973" s="3"/>
      <c r="I973" s="1"/>
    </row>
    <row r="974" spans="1:9" ht="14.25" customHeight="1" x14ac:dyDescent="0.25">
      <c r="A974" s="3"/>
      <c r="B974" s="3"/>
      <c r="C974" s="3"/>
      <c r="D974" s="3"/>
      <c r="E974" s="4"/>
      <c r="F974" s="3"/>
      <c r="G974" s="3"/>
      <c r="H974" s="3"/>
      <c r="I974" s="1"/>
    </row>
    <row r="975" spans="1:9" ht="14.25" customHeight="1" x14ac:dyDescent="0.25">
      <c r="A975" s="3"/>
      <c r="B975" s="3"/>
      <c r="C975" s="3"/>
      <c r="D975" s="3"/>
      <c r="E975" s="4"/>
      <c r="F975" s="3"/>
      <c r="G975" s="3"/>
      <c r="H975" s="3"/>
      <c r="I975" s="1"/>
    </row>
    <row r="976" spans="1:9" ht="14.25" customHeight="1" x14ac:dyDescent="0.25">
      <c r="A976" s="3"/>
      <c r="B976" s="3"/>
      <c r="C976" s="3"/>
      <c r="D976" s="3"/>
      <c r="E976" s="4"/>
      <c r="F976" s="3"/>
      <c r="G976" s="3"/>
      <c r="H976" s="3"/>
      <c r="I976" s="1"/>
    </row>
    <row r="977" spans="1:9" ht="14.25" customHeight="1" x14ac:dyDescent="0.25">
      <c r="A977" s="3"/>
      <c r="B977" s="3"/>
      <c r="C977" s="3"/>
      <c r="D977" s="3"/>
      <c r="E977" s="4"/>
      <c r="F977" s="3"/>
      <c r="G977" s="3"/>
      <c r="H977" s="3"/>
      <c r="I977" s="1"/>
    </row>
    <row r="978" spans="1:9" ht="14.25" customHeight="1" x14ac:dyDescent="0.25">
      <c r="A978" s="3"/>
      <c r="B978" s="3"/>
      <c r="C978" s="3"/>
      <c r="D978" s="3"/>
      <c r="E978" s="4"/>
      <c r="F978" s="3"/>
      <c r="G978" s="3"/>
      <c r="H978" s="3"/>
      <c r="I978" s="1"/>
    </row>
    <row r="979" spans="1:9" ht="14.25" customHeight="1" x14ac:dyDescent="0.25">
      <c r="A979" s="3"/>
      <c r="B979" s="3"/>
      <c r="C979" s="3"/>
      <c r="D979" s="3"/>
      <c r="E979" s="4"/>
      <c r="F979" s="3"/>
      <c r="G979" s="3"/>
      <c r="H979" s="3"/>
      <c r="I979" s="1"/>
    </row>
    <row r="980" spans="1:9" ht="14.25" customHeight="1" x14ac:dyDescent="0.25">
      <c r="A980" s="3"/>
      <c r="B980" s="3"/>
      <c r="C980" s="3"/>
      <c r="D980" s="3"/>
      <c r="E980" s="4"/>
      <c r="F980" s="3"/>
      <c r="G980" s="3"/>
      <c r="H980" s="3"/>
      <c r="I980" s="1"/>
    </row>
    <row r="981" spans="1:9" ht="14.25" customHeight="1" x14ac:dyDescent="0.25">
      <c r="A981" s="3"/>
      <c r="B981" s="3"/>
      <c r="C981" s="3"/>
      <c r="D981" s="3"/>
      <c r="E981" s="4"/>
      <c r="F981" s="3"/>
      <c r="G981" s="3"/>
      <c r="H981" s="3"/>
      <c r="I981" s="1"/>
    </row>
    <row r="982" spans="1:9" ht="14.25" customHeight="1" x14ac:dyDescent="0.25">
      <c r="A982" s="3"/>
      <c r="B982" s="3"/>
      <c r="C982" s="3"/>
      <c r="D982" s="3"/>
      <c r="E982" s="4"/>
      <c r="F982" s="3"/>
      <c r="G982" s="3"/>
      <c r="H982" s="3"/>
      <c r="I982" s="1"/>
    </row>
    <row r="983" spans="1:9" ht="14.25" customHeight="1" x14ac:dyDescent="0.25">
      <c r="A983" s="3"/>
      <c r="B983" s="3"/>
      <c r="C983" s="3"/>
      <c r="D983" s="3"/>
      <c r="E983" s="4"/>
      <c r="F983" s="3"/>
      <c r="G983" s="3"/>
      <c r="H983" s="3"/>
      <c r="I983" s="1"/>
    </row>
    <row r="984" spans="1:9" ht="14.25" customHeight="1" x14ac:dyDescent="0.25">
      <c r="A984" s="3"/>
      <c r="B984" s="3"/>
      <c r="C984" s="3"/>
      <c r="D984" s="3"/>
      <c r="E984" s="4"/>
      <c r="F984" s="3"/>
      <c r="G984" s="3"/>
      <c r="H984" s="3"/>
      <c r="I984" s="1"/>
    </row>
    <row r="985" spans="1:9" ht="14.25" customHeight="1" x14ac:dyDescent="0.25">
      <c r="A985" s="3"/>
      <c r="B985" s="3"/>
      <c r="C985" s="3"/>
      <c r="D985" s="3"/>
      <c r="E985" s="4"/>
      <c r="F985" s="3"/>
      <c r="G985" s="3"/>
      <c r="H985" s="3"/>
      <c r="I985" s="1"/>
    </row>
    <row r="986" spans="1:9" ht="14.25" customHeight="1" x14ac:dyDescent="0.25">
      <c r="A986" s="3"/>
      <c r="B986" s="3"/>
      <c r="C986" s="3"/>
      <c r="D986" s="3"/>
      <c r="E986" s="4"/>
      <c r="F986" s="3"/>
      <c r="G986" s="3"/>
      <c r="H986" s="3"/>
      <c r="I986" s="1"/>
    </row>
    <row r="987" spans="1:9" ht="14.25" customHeight="1" x14ac:dyDescent="0.25">
      <c r="A987" s="3"/>
      <c r="B987" s="3"/>
      <c r="C987" s="3"/>
      <c r="D987" s="3"/>
      <c r="E987" s="4"/>
      <c r="F987" s="3"/>
      <c r="G987" s="3"/>
      <c r="H987" s="3"/>
      <c r="I987" s="1"/>
    </row>
    <row r="988" spans="1:9" ht="14.25" customHeight="1" x14ac:dyDescent="0.25">
      <c r="A988" s="3"/>
      <c r="B988" s="3"/>
      <c r="C988" s="3"/>
      <c r="D988" s="3"/>
      <c r="E988" s="4"/>
      <c r="F988" s="3"/>
      <c r="G988" s="3"/>
      <c r="H988" s="3"/>
      <c r="I988" s="1"/>
    </row>
    <row r="989" spans="1:9" ht="14.25" customHeight="1" x14ac:dyDescent="0.25">
      <c r="A989" s="3"/>
      <c r="B989" s="3"/>
      <c r="C989" s="3"/>
      <c r="D989" s="3"/>
      <c r="E989" s="4"/>
      <c r="F989" s="3"/>
      <c r="G989" s="3"/>
      <c r="H989" s="3"/>
      <c r="I989" s="1"/>
    </row>
    <row r="990" spans="1:9" ht="14.25" customHeight="1" x14ac:dyDescent="0.25">
      <c r="A990" s="3"/>
      <c r="B990" s="3"/>
      <c r="C990" s="3"/>
      <c r="D990" s="3"/>
      <c r="E990" s="4"/>
      <c r="F990" s="3"/>
      <c r="G990" s="3"/>
      <c r="H990" s="3"/>
      <c r="I990" s="1"/>
    </row>
    <row r="991" spans="1:9" ht="14.25" customHeight="1" x14ac:dyDescent="0.25">
      <c r="A991" s="3"/>
      <c r="B991" s="3"/>
      <c r="C991" s="3"/>
      <c r="D991" s="3"/>
      <c r="E991" s="4"/>
      <c r="F991" s="3"/>
      <c r="G991" s="3"/>
      <c r="H991" s="3"/>
      <c r="I991" s="1"/>
    </row>
    <row r="992" spans="1:9" ht="14.25" customHeight="1" x14ac:dyDescent="0.25">
      <c r="A992" s="3"/>
      <c r="B992" s="3"/>
      <c r="C992" s="3"/>
      <c r="D992" s="3"/>
      <c r="E992" s="4"/>
      <c r="F992" s="3"/>
      <c r="G992" s="3"/>
      <c r="H992" s="3"/>
      <c r="I992" s="1"/>
    </row>
    <row r="993" spans="1:9" ht="14.25" customHeight="1" x14ac:dyDescent="0.25">
      <c r="A993" s="3"/>
      <c r="B993" s="3"/>
      <c r="C993" s="3"/>
      <c r="D993" s="3"/>
      <c r="E993" s="4"/>
      <c r="F993" s="3"/>
      <c r="G993" s="3"/>
      <c r="H993" s="3"/>
      <c r="I993" s="1"/>
    </row>
    <row r="994" spans="1:9" ht="14.25" customHeight="1" x14ac:dyDescent="0.25">
      <c r="A994" s="3"/>
      <c r="B994" s="3"/>
      <c r="C994" s="3"/>
      <c r="D994" s="3"/>
      <c r="E994" s="4"/>
      <c r="F994" s="3"/>
      <c r="G994" s="3"/>
      <c r="H994" s="3"/>
      <c r="I994" s="1"/>
    </row>
    <row r="995" spans="1:9" ht="14.25" customHeight="1" x14ac:dyDescent="0.25">
      <c r="A995" s="3"/>
      <c r="B995" s="3"/>
      <c r="C995" s="3"/>
      <c r="D995" s="3"/>
      <c r="E995" s="4"/>
      <c r="F995" s="3"/>
      <c r="G995" s="3"/>
      <c r="H995" s="3"/>
      <c r="I995" s="1"/>
    </row>
    <row r="996" spans="1:9" ht="14.25" customHeight="1" x14ac:dyDescent="0.25">
      <c r="A996" s="3"/>
      <c r="B996" s="3"/>
      <c r="C996" s="3"/>
      <c r="D996" s="3"/>
      <c r="E996" s="4"/>
      <c r="F996" s="3"/>
      <c r="G996" s="3"/>
      <c r="H996" s="3"/>
      <c r="I996" s="1"/>
    </row>
    <row r="997" spans="1:9" ht="14.25" customHeight="1" x14ac:dyDescent="0.25">
      <c r="A997" s="3"/>
      <c r="B997" s="3"/>
      <c r="C997" s="3"/>
      <c r="D997" s="3"/>
      <c r="E997" s="4"/>
      <c r="F997" s="3"/>
      <c r="G997" s="3"/>
      <c r="H997" s="3"/>
      <c r="I997" s="1"/>
    </row>
    <row r="998" spans="1:9" ht="14.25" customHeight="1" x14ac:dyDescent="0.25">
      <c r="A998" s="3"/>
      <c r="B998" s="3"/>
      <c r="C998" s="3"/>
      <c r="D998" s="3"/>
      <c r="E998" s="4"/>
      <c r="F998" s="3"/>
      <c r="G998" s="3"/>
      <c r="H998" s="3"/>
      <c r="I998" s="1"/>
    </row>
    <row r="999" spans="1:9" ht="14.25" customHeight="1" x14ac:dyDescent="0.25">
      <c r="A999" s="3"/>
      <c r="B999" s="3"/>
      <c r="C999" s="3"/>
      <c r="D999" s="3"/>
      <c r="E999" s="4"/>
      <c r="F999" s="3"/>
      <c r="G999" s="3"/>
      <c r="H999" s="3"/>
      <c r="I999" s="1"/>
    </row>
    <row r="1000" spans="1:9" ht="14.25" customHeight="1" x14ac:dyDescent="0.25">
      <c r="A1000" s="3"/>
      <c r="B1000" s="3"/>
      <c r="C1000" s="3"/>
      <c r="D1000" s="3"/>
      <c r="E1000" s="4"/>
      <c r="F1000" s="3"/>
      <c r="G1000" s="3"/>
      <c r="H1000" s="3"/>
      <c r="I1000" s="1"/>
    </row>
    <row r="1001" spans="1:9" ht="14.25" customHeight="1" x14ac:dyDescent="0.25">
      <c r="A1001" s="3"/>
      <c r="B1001" s="3"/>
      <c r="C1001" s="3"/>
      <c r="D1001" s="3"/>
      <c r="E1001" s="4"/>
      <c r="F1001" s="3"/>
      <c r="G1001" s="3"/>
      <c r="H1001" s="3"/>
      <c r="I1001" s="1"/>
    </row>
    <row r="1002" spans="1:9" ht="14.25" customHeight="1" x14ac:dyDescent="0.25">
      <c r="A1002" s="3"/>
      <c r="B1002" s="3"/>
      <c r="C1002" s="3"/>
      <c r="D1002" s="3"/>
      <c r="E1002" s="4"/>
      <c r="F1002" s="3"/>
      <c r="G1002" s="3"/>
      <c r="H1002" s="3"/>
      <c r="I1002" s="1"/>
    </row>
    <row r="1003" spans="1:9" ht="14.25" customHeight="1" x14ac:dyDescent="0.25">
      <c r="A1003" s="3"/>
      <c r="B1003" s="3"/>
      <c r="C1003" s="3"/>
      <c r="D1003" s="3"/>
      <c r="E1003" s="4"/>
      <c r="F1003" s="3"/>
      <c r="G1003" s="3"/>
      <c r="H1003" s="3"/>
      <c r="I1003" s="1"/>
    </row>
    <row r="1004" spans="1:9" ht="14.25" customHeight="1" x14ac:dyDescent="0.25">
      <c r="A1004" s="3"/>
      <c r="B1004" s="3"/>
      <c r="C1004" s="3"/>
      <c r="D1004" s="3"/>
      <c r="E1004" s="4"/>
      <c r="F1004" s="3"/>
      <c r="G1004" s="3"/>
      <c r="H1004" s="3"/>
      <c r="I1004" s="1"/>
    </row>
    <row r="1005" spans="1:9" ht="14.25" customHeight="1" x14ac:dyDescent="0.25">
      <c r="A1005" s="3"/>
      <c r="B1005" s="3"/>
      <c r="C1005" s="3"/>
      <c r="D1005" s="3"/>
      <c r="E1005" s="4"/>
      <c r="F1005" s="3"/>
      <c r="G1005" s="3"/>
      <c r="H1005" s="3"/>
      <c r="I1005" s="1"/>
    </row>
    <row r="1006" spans="1:9" ht="14.25" customHeight="1" x14ac:dyDescent="0.25">
      <c r="A1006" s="3"/>
      <c r="B1006" s="3"/>
      <c r="C1006" s="3"/>
      <c r="D1006" s="3"/>
      <c r="E1006" s="4"/>
      <c r="F1006" s="3"/>
      <c r="G1006" s="3"/>
      <c r="H1006" s="3"/>
      <c r="I1006" s="1"/>
    </row>
    <row r="1007" spans="1:9" ht="14.25" customHeight="1" x14ac:dyDescent="0.25">
      <c r="A1007" s="3"/>
      <c r="B1007" s="3"/>
      <c r="C1007" s="3"/>
      <c r="D1007" s="3"/>
      <c r="E1007" s="4"/>
      <c r="F1007" s="3"/>
      <c r="G1007" s="3"/>
      <c r="H1007" s="3"/>
      <c r="I1007" s="1"/>
    </row>
    <row r="1008" spans="1:9" ht="14.25" customHeight="1" x14ac:dyDescent="0.25">
      <c r="A1008" s="3"/>
      <c r="B1008" s="3"/>
      <c r="C1008" s="3"/>
      <c r="D1008" s="3"/>
      <c r="E1008" s="4"/>
      <c r="F1008" s="3"/>
      <c r="G1008" s="3"/>
      <c r="H1008" s="3"/>
      <c r="I1008" s="1"/>
    </row>
    <row r="1009" spans="1:9" ht="14.25" customHeight="1" x14ac:dyDescent="0.25">
      <c r="A1009" s="3"/>
      <c r="B1009" s="3"/>
      <c r="C1009" s="3"/>
      <c r="D1009" s="3"/>
      <c r="E1009" s="4"/>
      <c r="F1009" s="3"/>
      <c r="G1009" s="3"/>
      <c r="H1009" s="3"/>
      <c r="I1009" s="1"/>
    </row>
    <row r="1010" spans="1:9" ht="14.25" customHeight="1" x14ac:dyDescent="0.25">
      <c r="A1010" s="3"/>
      <c r="B1010" s="3"/>
      <c r="C1010" s="3"/>
      <c r="D1010" s="3"/>
      <c r="E1010" s="4"/>
      <c r="F1010" s="3"/>
      <c r="G1010" s="3"/>
      <c r="H1010" s="3"/>
      <c r="I1010" s="1"/>
    </row>
    <row r="1011" spans="1:9" ht="14.25" customHeight="1" x14ac:dyDescent="0.25">
      <c r="A1011" s="3"/>
      <c r="B1011" s="3"/>
      <c r="C1011" s="3"/>
      <c r="D1011" s="3"/>
      <c r="E1011" s="4"/>
      <c r="F1011" s="3"/>
      <c r="G1011" s="3"/>
      <c r="H1011" s="3"/>
      <c r="I1011" s="1"/>
    </row>
    <row r="1012" spans="1:9" ht="14.25" customHeight="1" x14ac:dyDescent="0.25">
      <c r="A1012" s="3"/>
      <c r="B1012" s="3"/>
      <c r="C1012" s="3"/>
      <c r="D1012" s="3"/>
      <c r="E1012" s="4"/>
      <c r="F1012" s="3"/>
      <c r="G1012" s="3"/>
      <c r="H1012" s="3"/>
      <c r="I1012" s="1"/>
    </row>
  </sheetData>
  <phoneticPr fontId="16"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004"/>
  <sheetViews>
    <sheetView workbookViewId="0"/>
  </sheetViews>
  <sheetFormatPr defaultColWidth="14.42578125" defaultRowHeight="15" x14ac:dyDescent="0.25"/>
  <cols>
    <col min="1" max="4" width="8.7109375" customWidth="1"/>
    <col min="5" max="5" width="9.28515625" customWidth="1"/>
    <col min="6" max="29" width="8.7109375" customWidth="1"/>
  </cols>
  <sheetData>
    <row r="1" spans="1:9" ht="14.25" customHeight="1" x14ac:dyDescent="0.25">
      <c r="A1" s="36" t="s">
        <v>51</v>
      </c>
      <c r="B1" s="36" t="s">
        <v>52</v>
      </c>
      <c r="C1" s="36" t="s">
        <v>54</v>
      </c>
      <c r="D1" s="36" t="s">
        <v>55</v>
      </c>
      <c r="E1" s="17" t="s">
        <v>30</v>
      </c>
      <c r="F1" s="36" t="s">
        <v>60</v>
      </c>
      <c r="G1" s="36" t="s">
        <v>61</v>
      </c>
      <c r="H1" s="36" t="s">
        <v>56</v>
      </c>
      <c r="I1" s="30" t="s">
        <v>3</v>
      </c>
    </row>
    <row r="2" spans="1:9" ht="14.25" customHeight="1" x14ac:dyDescent="0.25">
      <c r="A2" s="36" t="s">
        <v>419</v>
      </c>
      <c r="B2" s="36">
        <v>2026</v>
      </c>
      <c r="C2" s="36" t="s">
        <v>65</v>
      </c>
      <c r="D2" s="36" t="s">
        <v>71</v>
      </c>
      <c r="E2" s="30">
        <v>300</v>
      </c>
      <c r="F2" s="36">
        <f t="shared" ref="F2:F24" si="0">IF(ISNUMBER(FIND("-", E2)), LEFT(E2, FIND("-", E2) - 1) * 1, E2 * 1)</f>
        <v>300</v>
      </c>
      <c r="G2" s="36">
        <f t="shared" ref="G2:G24" si="1">IF(ISNUMBER(FIND("-", E2)), MID(E2, FIND("-", E2) + 1, LEN(E2)) * 1, E2 * 1)</f>
        <v>300</v>
      </c>
      <c r="H2" s="36">
        <f t="shared" ref="H2:H24" si="2">IF(ISNUMBER(FIND("-",E2)),(LEFT(E2,FIND("-",E2)-1) + MID(E2,FIND("-",E2)+1,LEN(E2))) / 2,E2*1)</f>
        <v>300</v>
      </c>
      <c r="I2" s="30"/>
    </row>
    <row r="3" spans="1:9" ht="14.25" customHeight="1" x14ac:dyDescent="0.25">
      <c r="A3" s="36" t="s">
        <v>429</v>
      </c>
      <c r="B3" s="36">
        <v>2025</v>
      </c>
      <c r="C3" s="36" t="s">
        <v>142</v>
      </c>
      <c r="D3" s="36" t="s">
        <v>71</v>
      </c>
      <c r="E3" s="30" t="s">
        <v>475</v>
      </c>
      <c r="F3" s="36">
        <f t="shared" si="0"/>
        <v>304.8</v>
      </c>
      <c r="G3" s="36">
        <f t="shared" si="1"/>
        <v>609.6</v>
      </c>
      <c r="H3" s="36">
        <f t="shared" si="2"/>
        <v>457.20000000000005</v>
      </c>
      <c r="I3" s="30"/>
    </row>
    <row r="4" spans="1:9" ht="14.25" customHeight="1" x14ac:dyDescent="0.25">
      <c r="A4" s="36" t="s">
        <v>433</v>
      </c>
      <c r="B4" s="36">
        <v>2025</v>
      </c>
      <c r="C4" s="36" t="s">
        <v>88</v>
      </c>
      <c r="D4" s="36" t="s">
        <v>71</v>
      </c>
      <c r="E4" s="30">
        <v>3000</v>
      </c>
      <c r="F4" s="36">
        <f t="shared" si="0"/>
        <v>3000</v>
      </c>
      <c r="G4" s="36">
        <f t="shared" si="1"/>
        <v>3000</v>
      </c>
      <c r="H4" s="36">
        <f t="shared" si="2"/>
        <v>3000</v>
      </c>
      <c r="I4" s="30"/>
    </row>
    <row r="5" spans="1:9" ht="14.25" customHeight="1" x14ac:dyDescent="0.25">
      <c r="A5" s="36" t="s">
        <v>224</v>
      </c>
      <c r="B5" s="36">
        <v>2024</v>
      </c>
      <c r="C5" s="36" t="s">
        <v>65</v>
      </c>
      <c r="D5" s="36" t="s">
        <v>46</v>
      </c>
      <c r="E5" s="17">
        <v>90</v>
      </c>
      <c r="F5" s="36">
        <f t="shared" si="0"/>
        <v>90</v>
      </c>
      <c r="G5" s="36">
        <f t="shared" si="1"/>
        <v>90</v>
      </c>
      <c r="H5" s="36">
        <f t="shared" si="2"/>
        <v>90</v>
      </c>
      <c r="I5" s="30"/>
    </row>
    <row r="6" spans="1:9" ht="14.25" customHeight="1" x14ac:dyDescent="0.25">
      <c r="A6" s="36" t="s">
        <v>440</v>
      </c>
      <c r="B6" s="36">
        <v>2024</v>
      </c>
      <c r="C6" s="36" t="s">
        <v>441</v>
      </c>
      <c r="D6" s="36" t="s">
        <v>46</v>
      </c>
      <c r="E6" s="17">
        <v>150</v>
      </c>
      <c r="F6" s="36">
        <f t="shared" si="0"/>
        <v>150</v>
      </c>
      <c r="G6" s="36">
        <f t="shared" si="1"/>
        <v>150</v>
      </c>
      <c r="H6" s="36">
        <f t="shared" si="2"/>
        <v>150</v>
      </c>
      <c r="I6" s="30"/>
    </row>
    <row r="7" spans="1:9" ht="14.25" customHeight="1" x14ac:dyDescent="0.25">
      <c r="A7" s="36" t="s">
        <v>126</v>
      </c>
      <c r="B7" s="36">
        <v>2023</v>
      </c>
      <c r="C7" s="36" t="s">
        <v>70</v>
      </c>
      <c r="D7" s="36" t="s">
        <v>46</v>
      </c>
      <c r="E7" s="17">
        <v>600</v>
      </c>
      <c r="F7" s="36">
        <f t="shared" si="0"/>
        <v>600</v>
      </c>
      <c r="G7" s="36">
        <f t="shared" si="1"/>
        <v>600</v>
      </c>
      <c r="H7" s="36">
        <f t="shared" si="2"/>
        <v>600</v>
      </c>
      <c r="I7" s="30" t="s">
        <v>469</v>
      </c>
    </row>
    <row r="8" spans="1:9" ht="14.25" customHeight="1" x14ac:dyDescent="0.25">
      <c r="A8" s="36" t="s">
        <v>126</v>
      </c>
      <c r="B8" s="36">
        <v>2023</v>
      </c>
      <c r="C8" s="36" t="s">
        <v>70</v>
      </c>
      <c r="D8" s="36" t="s">
        <v>46</v>
      </c>
      <c r="E8" s="17">
        <v>600</v>
      </c>
      <c r="F8" s="36">
        <f t="shared" si="0"/>
        <v>600</v>
      </c>
      <c r="G8" s="36">
        <f t="shared" si="1"/>
        <v>600</v>
      </c>
      <c r="H8" s="36">
        <f t="shared" si="2"/>
        <v>600</v>
      </c>
      <c r="I8" s="30" t="s">
        <v>470</v>
      </c>
    </row>
    <row r="9" spans="1:9" ht="14.25" customHeight="1" x14ac:dyDescent="0.25">
      <c r="A9" s="36" t="s">
        <v>126</v>
      </c>
      <c r="B9" s="36">
        <v>2023</v>
      </c>
      <c r="C9" s="36" t="s">
        <v>70</v>
      </c>
      <c r="D9" s="36" t="s">
        <v>47</v>
      </c>
      <c r="E9" s="17">
        <v>600</v>
      </c>
      <c r="F9" s="36">
        <f t="shared" si="0"/>
        <v>600</v>
      </c>
      <c r="G9" s="36">
        <f t="shared" si="1"/>
        <v>600</v>
      </c>
      <c r="H9" s="36">
        <f t="shared" si="2"/>
        <v>600</v>
      </c>
      <c r="I9" s="30"/>
    </row>
    <row r="10" spans="1:9" ht="14.25" customHeight="1" x14ac:dyDescent="0.25">
      <c r="A10" s="36" t="s">
        <v>444</v>
      </c>
      <c r="B10" s="36">
        <v>2023</v>
      </c>
      <c r="C10" s="36" t="s">
        <v>142</v>
      </c>
      <c r="D10" s="36" t="s">
        <v>46</v>
      </c>
      <c r="E10" s="17">
        <v>150</v>
      </c>
      <c r="F10" s="36">
        <f t="shared" si="0"/>
        <v>150</v>
      </c>
      <c r="G10" s="36">
        <f t="shared" si="1"/>
        <v>150</v>
      </c>
      <c r="H10" s="36">
        <f t="shared" si="2"/>
        <v>150</v>
      </c>
      <c r="I10" s="30"/>
    </row>
    <row r="11" spans="1:9" ht="14.25" customHeight="1" x14ac:dyDescent="0.25">
      <c r="A11" s="36" t="s">
        <v>476</v>
      </c>
      <c r="B11" s="36">
        <v>2023</v>
      </c>
      <c r="C11" s="36" t="s">
        <v>142</v>
      </c>
      <c r="D11" s="36" t="s">
        <v>71</v>
      </c>
      <c r="E11" s="17" t="s">
        <v>114</v>
      </c>
      <c r="F11" s="36">
        <f t="shared" si="0"/>
        <v>10</v>
      </c>
      <c r="G11" s="36">
        <f t="shared" si="1"/>
        <v>20</v>
      </c>
      <c r="H11" s="36">
        <f t="shared" si="2"/>
        <v>15</v>
      </c>
      <c r="I11" s="30"/>
    </row>
    <row r="12" spans="1:9" ht="14.25" customHeight="1" x14ac:dyDescent="0.25">
      <c r="A12" s="36" t="s">
        <v>477</v>
      </c>
      <c r="B12" s="36">
        <v>2022</v>
      </c>
      <c r="C12" s="36" t="s">
        <v>142</v>
      </c>
      <c r="D12" s="36" t="s">
        <v>71</v>
      </c>
      <c r="E12" s="17" t="s">
        <v>478</v>
      </c>
      <c r="F12" s="36">
        <f t="shared" si="0"/>
        <v>200</v>
      </c>
      <c r="G12" s="36">
        <f t="shared" si="1"/>
        <v>200</v>
      </c>
      <c r="H12" s="36">
        <f t="shared" si="2"/>
        <v>200</v>
      </c>
      <c r="I12" s="30"/>
    </row>
    <row r="13" spans="1:9" ht="14.25" customHeight="1" x14ac:dyDescent="0.25">
      <c r="A13" s="36" t="s">
        <v>246</v>
      </c>
      <c r="B13" s="36">
        <v>2021</v>
      </c>
      <c r="C13" s="36" t="s">
        <v>75</v>
      </c>
      <c r="D13" s="36" t="s">
        <v>46</v>
      </c>
      <c r="E13" s="17" t="s">
        <v>479</v>
      </c>
      <c r="F13" s="36">
        <f t="shared" si="0"/>
        <v>152</v>
      </c>
      <c r="G13" s="36">
        <f t="shared" si="1"/>
        <v>1524</v>
      </c>
      <c r="H13" s="36">
        <f t="shared" si="2"/>
        <v>838</v>
      </c>
      <c r="I13" s="30"/>
    </row>
    <row r="14" spans="1:9" ht="14.25" customHeight="1" x14ac:dyDescent="0.25">
      <c r="A14" s="36" t="s">
        <v>246</v>
      </c>
      <c r="B14" s="36">
        <v>2021</v>
      </c>
      <c r="C14" s="36" t="s">
        <v>75</v>
      </c>
      <c r="D14" s="36" t="s">
        <v>48</v>
      </c>
      <c r="E14" s="17" t="s">
        <v>479</v>
      </c>
      <c r="F14" s="36">
        <f t="shared" si="0"/>
        <v>152</v>
      </c>
      <c r="G14" s="36">
        <f t="shared" si="1"/>
        <v>1524</v>
      </c>
      <c r="H14" s="36">
        <f t="shared" si="2"/>
        <v>838</v>
      </c>
      <c r="I14" s="30"/>
    </row>
    <row r="15" spans="1:9" ht="14.25" customHeight="1" x14ac:dyDescent="0.25">
      <c r="A15" s="36" t="s">
        <v>144</v>
      </c>
      <c r="B15" s="36">
        <v>2020</v>
      </c>
      <c r="C15" s="36" t="s">
        <v>142</v>
      </c>
      <c r="D15" s="36" t="s">
        <v>46</v>
      </c>
      <c r="E15" s="17" t="s">
        <v>480</v>
      </c>
      <c r="F15" s="36">
        <f t="shared" si="0"/>
        <v>800</v>
      </c>
      <c r="G15" s="36">
        <f t="shared" si="1"/>
        <v>800</v>
      </c>
      <c r="H15" s="36">
        <f t="shared" si="2"/>
        <v>800</v>
      </c>
      <c r="I15" s="30"/>
    </row>
    <row r="16" spans="1:9" ht="14.25" customHeight="1" x14ac:dyDescent="0.25">
      <c r="A16" s="36" t="s">
        <v>144</v>
      </c>
      <c r="B16" s="36">
        <v>2020</v>
      </c>
      <c r="C16" s="36" t="s">
        <v>142</v>
      </c>
      <c r="D16" s="36" t="s">
        <v>47</v>
      </c>
      <c r="E16" s="17" t="s">
        <v>480</v>
      </c>
      <c r="F16" s="36">
        <f t="shared" si="0"/>
        <v>800</v>
      </c>
      <c r="G16" s="36">
        <f t="shared" si="1"/>
        <v>800</v>
      </c>
      <c r="H16" s="36">
        <f t="shared" si="2"/>
        <v>800</v>
      </c>
      <c r="I16" s="30"/>
    </row>
    <row r="17" spans="1:9" ht="14.25" customHeight="1" x14ac:dyDescent="0.25">
      <c r="A17" s="36" t="s">
        <v>144</v>
      </c>
      <c r="B17" s="36">
        <v>2020</v>
      </c>
      <c r="C17" s="36" t="s">
        <v>142</v>
      </c>
      <c r="D17" s="36" t="s">
        <v>48</v>
      </c>
      <c r="E17" s="17" t="s">
        <v>480</v>
      </c>
      <c r="F17" s="36">
        <f t="shared" si="0"/>
        <v>800</v>
      </c>
      <c r="G17" s="36">
        <f t="shared" si="1"/>
        <v>800</v>
      </c>
      <c r="H17" s="36">
        <f t="shared" si="2"/>
        <v>800</v>
      </c>
      <c r="I17" s="30"/>
    </row>
    <row r="18" spans="1:9" ht="14.25" customHeight="1" x14ac:dyDescent="0.25">
      <c r="A18" s="36" t="s">
        <v>278</v>
      </c>
      <c r="B18" s="36">
        <v>2019</v>
      </c>
      <c r="C18" s="36" t="s">
        <v>146</v>
      </c>
      <c r="D18" s="36" t="s">
        <v>46</v>
      </c>
      <c r="E18" s="17" t="s">
        <v>481</v>
      </c>
      <c r="F18" s="36">
        <f t="shared" si="0"/>
        <v>600</v>
      </c>
      <c r="G18" s="36">
        <f t="shared" si="1"/>
        <v>600</v>
      </c>
      <c r="H18" s="36">
        <f t="shared" si="2"/>
        <v>600</v>
      </c>
      <c r="I18" s="30"/>
    </row>
    <row r="19" spans="1:9" ht="14.25" customHeight="1" x14ac:dyDescent="0.25">
      <c r="A19" s="36" t="s">
        <v>278</v>
      </c>
      <c r="B19" s="36">
        <v>2019</v>
      </c>
      <c r="C19" s="36" t="s">
        <v>146</v>
      </c>
      <c r="D19" s="36" t="s">
        <v>47</v>
      </c>
      <c r="E19" s="17" t="s">
        <v>481</v>
      </c>
      <c r="F19" s="36">
        <f t="shared" si="0"/>
        <v>600</v>
      </c>
      <c r="G19" s="36">
        <f t="shared" si="1"/>
        <v>600</v>
      </c>
      <c r="H19" s="36">
        <f t="shared" si="2"/>
        <v>600</v>
      </c>
      <c r="I19" s="30"/>
    </row>
    <row r="20" spans="1:9" ht="14.25" customHeight="1" x14ac:dyDescent="0.25">
      <c r="A20" s="36" t="s">
        <v>278</v>
      </c>
      <c r="B20" s="36">
        <v>2019</v>
      </c>
      <c r="C20" s="36" t="s">
        <v>146</v>
      </c>
      <c r="D20" s="36" t="s">
        <v>48</v>
      </c>
      <c r="E20" s="17" t="s">
        <v>481</v>
      </c>
      <c r="F20" s="36">
        <f t="shared" si="0"/>
        <v>600</v>
      </c>
      <c r="G20" s="36">
        <f t="shared" si="1"/>
        <v>600</v>
      </c>
      <c r="H20" s="36">
        <f t="shared" si="2"/>
        <v>600</v>
      </c>
      <c r="I20" s="30"/>
    </row>
    <row r="21" spans="1:9" ht="14.25" customHeight="1" x14ac:dyDescent="0.25">
      <c r="A21" s="36" t="s">
        <v>482</v>
      </c>
      <c r="B21" s="36">
        <v>2019</v>
      </c>
      <c r="C21" s="36" t="s">
        <v>483</v>
      </c>
      <c r="D21" s="36" t="s">
        <v>71</v>
      </c>
      <c r="E21" s="17" t="s">
        <v>484</v>
      </c>
      <c r="F21" s="36">
        <f t="shared" si="0"/>
        <v>243.84</v>
      </c>
      <c r="G21" s="36">
        <f t="shared" si="1"/>
        <v>304.8</v>
      </c>
      <c r="H21" s="36">
        <f t="shared" si="2"/>
        <v>274.32</v>
      </c>
      <c r="I21" s="30"/>
    </row>
    <row r="22" spans="1:9" ht="14.25" customHeight="1" x14ac:dyDescent="0.25">
      <c r="A22" s="36" t="s">
        <v>291</v>
      </c>
      <c r="B22" s="36">
        <v>2018</v>
      </c>
      <c r="C22" s="36" t="s">
        <v>75</v>
      </c>
      <c r="D22" s="36" t="s">
        <v>46</v>
      </c>
      <c r="E22" s="17" t="s">
        <v>479</v>
      </c>
      <c r="F22" s="36">
        <f t="shared" si="0"/>
        <v>152</v>
      </c>
      <c r="G22" s="36">
        <f t="shared" si="1"/>
        <v>1524</v>
      </c>
      <c r="H22" s="36">
        <f t="shared" si="2"/>
        <v>838</v>
      </c>
      <c r="I22" s="30"/>
    </row>
    <row r="23" spans="1:9" ht="14.25" customHeight="1" x14ac:dyDescent="0.25">
      <c r="A23" s="36" t="s">
        <v>291</v>
      </c>
      <c r="B23" s="36">
        <v>2018</v>
      </c>
      <c r="C23" s="36" t="s">
        <v>75</v>
      </c>
      <c r="D23" s="36" t="s">
        <v>48</v>
      </c>
      <c r="E23" s="17" t="s">
        <v>479</v>
      </c>
      <c r="F23" s="36">
        <f t="shared" si="0"/>
        <v>152</v>
      </c>
      <c r="G23" s="36">
        <f t="shared" si="1"/>
        <v>1524</v>
      </c>
      <c r="H23" s="36">
        <f t="shared" si="2"/>
        <v>838</v>
      </c>
      <c r="I23" s="30"/>
    </row>
    <row r="24" spans="1:9" ht="14.25" customHeight="1" x14ac:dyDescent="0.25">
      <c r="A24" s="36" t="s">
        <v>133</v>
      </c>
      <c r="B24" s="36">
        <v>2018</v>
      </c>
      <c r="C24" s="36" t="s">
        <v>75</v>
      </c>
      <c r="D24" s="36" t="s">
        <v>46</v>
      </c>
      <c r="E24" s="17" t="s">
        <v>485</v>
      </c>
      <c r="F24" s="36">
        <f t="shared" si="0"/>
        <v>250</v>
      </c>
      <c r="G24" s="36">
        <f t="shared" si="1"/>
        <v>1000</v>
      </c>
      <c r="H24" s="36">
        <f t="shared" si="2"/>
        <v>625</v>
      </c>
      <c r="I24" s="30"/>
    </row>
    <row r="25" spans="1:9" ht="14.25" customHeight="1" x14ac:dyDescent="0.25">
      <c r="A25" s="8"/>
      <c r="B25" s="8"/>
      <c r="C25" s="8"/>
      <c r="D25" s="8"/>
      <c r="E25" s="9"/>
      <c r="F25" s="8"/>
      <c r="G25" s="8"/>
      <c r="H25" s="8"/>
    </row>
    <row r="26" spans="1:9" ht="14.25" customHeight="1" x14ac:dyDescent="0.25">
      <c r="A26" s="8"/>
      <c r="B26" s="8"/>
      <c r="C26" s="8"/>
      <c r="D26" s="8"/>
      <c r="E26" s="9"/>
      <c r="F26" s="8"/>
      <c r="G26" s="8"/>
      <c r="H26" s="8"/>
    </row>
    <row r="27" spans="1:9" ht="14.25" customHeight="1" x14ac:dyDescent="0.25">
      <c r="A27" s="8"/>
      <c r="B27" s="8"/>
      <c r="C27" s="8"/>
      <c r="D27" s="8"/>
      <c r="E27" s="9"/>
      <c r="F27" s="8"/>
      <c r="G27" s="8"/>
      <c r="H27" s="8"/>
    </row>
    <row r="28" spans="1:9" ht="14.25" customHeight="1" x14ac:dyDescent="0.25">
      <c r="A28" s="8"/>
      <c r="B28" s="8"/>
      <c r="C28" s="8"/>
      <c r="D28" s="8"/>
      <c r="E28" s="9"/>
      <c r="F28" s="8"/>
      <c r="G28" s="8"/>
      <c r="H28" s="8"/>
    </row>
    <row r="29" spans="1:9" ht="14.25" customHeight="1" x14ac:dyDescent="0.25">
      <c r="A29" s="8"/>
      <c r="B29" s="8"/>
      <c r="C29" s="8"/>
      <c r="D29" s="8"/>
      <c r="E29" s="9"/>
      <c r="F29" s="8"/>
      <c r="G29" s="8"/>
      <c r="H29" s="8"/>
    </row>
    <row r="30" spans="1:9" ht="14.25" customHeight="1" x14ac:dyDescent="0.25">
      <c r="A30" s="8"/>
      <c r="B30" s="8"/>
      <c r="C30" s="8"/>
      <c r="D30" s="8"/>
      <c r="E30" s="9"/>
      <c r="F30" s="8"/>
      <c r="G30" s="8"/>
      <c r="H30" s="8"/>
    </row>
    <row r="31" spans="1:9" ht="14.25" customHeight="1" x14ac:dyDescent="0.25">
      <c r="A31" s="8"/>
      <c r="B31" s="8"/>
      <c r="C31" s="8"/>
      <c r="D31" s="8"/>
      <c r="E31" s="9"/>
      <c r="F31" s="8"/>
      <c r="G31" s="8"/>
      <c r="H31" s="8"/>
    </row>
    <row r="32" spans="1:9" ht="14.25" customHeight="1" x14ac:dyDescent="0.25">
      <c r="A32" s="8"/>
      <c r="B32" s="8"/>
      <c r="C32" s="8"/>
      <c r="D32" s="8"/>
      <c r="E32" s="9"/>
      <c r="F32" s="8"/>
      <c r="G32" s="8"/>
      <c r="H32" s="8"/>
    </row>
    <row r="33" spans="1:8" ht="14.25" customHeight="1" x14ac:dyDescent="0.25">
      <c r="A33" s="8"/>
      <c r="B33" s="8"/>
      <c r="C33" s="8"/>
      <c r="D33" s="8"/>
      <c r="E33" s="9"/>
      <c r="F33" s="8"/>
      <c r="G33" s="8"/>
      <c r="H33" s="8"/>
    </row>
    <row r="34" spans="1:8" ht="14.25" customHeight="1" x14ac:dyDescent="0.25">
      <c r="A34" s="8"/>
      <c r="B34" s="8"/>
      <c r="C34" s="8"/>
      <c r="D34" s="8"/>
      <c r="E34" s="9"/>
      <c r="F34" s="8"/>
      <c r="G34" s="8"/>
      <c r="H34" s="8"/>
    </row>
    <row r="35" spans="1:8" ht="14.25" customHeight="1" x14ac:dyDescent="0.25">
      <c r="A35" s="8"/>
      <c r="B35" s="8"/>
      <c r="C35" s="8"/>
      <c r="D35" s="8"/>
      <c r="E35" s="9"/>
      <c r="F35" s="8"/>
      <c r="G35" s="8"/>
      <c r="H35" s="8"/>
    </row>
    <row r="36" spans="1:8" ht="14.25" customHeight="1" x14ac:dyDescent="0.25">
      <c r="A36" s="8"/>
      <c r="B36" s="8"/>
      <c r="C36" s="8"/>
      <c r="D36" s="8"/>
      <c r="E36" s="9"/>
      <c r="F36" s="8"/>
      <c r="G36" s="8"/>
      <c r="H36" s="8"/>
    </row>
    <row r="37" spans="1:8" ht="14.25" customHeight="1" x14ac:dyDescent="0.25">
      <c r="A37" s="8"/>
      <c r="B37" s="8"/>
      <c r="C37" s="8"/>
      <c r="D37" s="8"/>
      <c r="E37" s="9"/>
      <c r="F37" s="8"/>
      <c r="G37" s="8"/>
      <c r="H37" s="8"/>
    </row>
    <row r="38" spans="1:8" ht="14.25" customHeight="1" x14ac:dyDescent="0.25">
      <c r="A38" s="8"/>
      <c r="B38" s="8"/>
      <c r="C38" s="8"/>
      <c r="D38" s="8"/>
      <c r="E38" s="9"/>
      <c r="F38" s="8"/>
      <c r="G38" s="8"/>
      <c r="H38" s="8"/>
    </row>
    <row r="39" spans="1:8" ht="14.25" customHeight="1" x14ac:dyDescent="0.25">
      <c r="A39" s="8"/>
      <c r="B39" s="8"/>
      <c r="C39" s="8"/>
      <c r="D39" s="8"/>
      <c r="E39" s="9"/>
      <c r="F39" s="8"/>
      <c r="G39" s="8"/>
      <c r="H39" s="8"/>
    </row>
    <row r="40" spans="1:8" ht="14.25" customHeight="1" x14ac:dyDescent="0.25">
      <c r="A40" s="8"/>
      <c r="B40" s="8"/>
      <c r="C40" s="8"/>
      <c r="D40" s="8"/>
      <c r="E40" s="9"/>
      <c r="F40" s="8"/>
      <c r="G40" s="8"/>
      <c r="H40" s="8"/>
    </row>
    <row r="41" spans="1:8" ht="14.25" customHeight="1" x14ac:dyDescent="0.25">
      <c r="A41" s="8"/>
      <c r="B41" s="8"/>
      <c r="C41" s="8"/>
      <c r="D41" s="8"/>
      <c r="E41" s="9"/>
      <c r="F41" s="8"/>
      <c r="G41" s="8"/>
      <c r="H41" s="8"/>
    </row>
    <row r="42" spans="1:8" ht="14.25" customHeight="1" x14ac:dyDescent="0.25">
      <c r="A42" s="8"/>
      <c r="B42" s="8"/>
      <c r="C42" s="8"/>
      <c r="D42" s="8"/>
      <c r="E42" s="9"/>
      <c r="F42" s="8"/>
      <c r="G42" s="8"/>
      <c r="H42" s="8"/>
    </row>
    <row r="43" spans="1:8" ht="14.25" customHeight="1" x14ac:dyDescent="0.25">
      <c r="A43" s="8"/>
      <c r="B43" s="8"/>
      <c r="C43" s="8"/>
      <c r="D43" s="8"/>
      <c r="E43" s="9"/>
      <c r="F43" s="8"/>
      <c r="G43" s="8"/>
      <c r="H43" s="8"/>
    </row>
    <row r="44" spans="1:8" ht="14.25" customHeight="1" x14ac:dyDescent="0.25">
      <c r="A44" s="8"/>
      <c r="B44" s="8"/>
      <c r="C44" s="8"/>
      <c r="D44" s="8"/>
      <c r="E44" s="9"/>
      <c r="F44" s="8"/>
      <c r="G44" s="8"/>
      <c r="H44" s="8"/>
    </row>
    <row r="45" spans="1:8" ht="14.25" customHeight="1" x14ac:dyDescent="0.25">
      <c r="A45" s="8"/>
      <c r="B45" s="8"/>
      <c r="C45" s="8"/>
      <c r="D45" s="8"/>
      <c r="E45" s="9"/>
      <c r="F45" s="8"/>
      <c r="G45" s="8"/>
      <c r="H45" s="8"/>
    </row>
    <row r="46" spans="1:8" ht="14.25" customHeight="1" x14ac:dyDescent="0.25">
      <c r="A46" s="8"/>
      <c r="B46" s="8"/>
      <c r="C46" s="8"/>
      <c r="D46" s="8"/>
      <c r="E46" s="9"/>
      <c r="F46" s="8"/>
      <c r="G46" s="8"/>
      <c r="H46" s="8"/>
    </row>
    <row r="47" spans="1:8" ht="14.25" customHeight="1" x14ac:dyDescent="0.25">
      <c r="A47" s="8"/>
      <c r="B47" s="8"/>
      <c r="C47" s="8"/>
      <c r="D47" s="8"/>
      <c r="E47" s="9"/>
      <c r="F47" s="8"/>
      <c r="G47" s="8"/>
      <c r="H47" s="8"/>
    </row>
    <row r="48" spans="1:8" ht="14.25" customHeight="1" x14ac:dyDescent="0.25">
      <c r="A48" s="8"/>
      <c r="B48" s="8"/>
      <c r="C48" s="8"/>
      <c r="D48" s="8"/>
      <c r="E48" s="9"/>
      <c r="F48" s="8"/>
      <c r="G48" s="8"/>
      <c r="H48" s="8"/>
    </row>
    <row r="49" spans="1:8" ht="14.25" customHeight="1" x14ac:dyDescent="0.25">
      <c r="A49" s="8"/>
      <c r="B49" s="8"/>
      <c r="C49" s="8"/>
      <c r="D49" s="8"/>
      <c r="E49" s="9"/>
      <c r="F49" s="8"/>
      <c r="G49" s="8"/>
      <c r="H49" s="8"/>
    </row>
    <row r="50" spans="1:8" ht="14.25" customHeight="1" x14ac:dyDescent="0.25">
      <c r="A50" s="8"/>
      <c r="B50" s="8"/>
      <c r="C50" s="8"/>
      <c r="D50" s="8"/>
      <c r="E50" s="9"/>
      <c r="F50" s="8"/>
      <c r="G50" s="8"/>
      <c r="H50" s="8"/>
    </row>
    <row r="51" spans="1:8" ht="14.25" customHeight="1" x14ac:dyDescent="0.25">
      <c r="A51" s="8"/>
      <c r="B51" s="8"/>
      <c r="C51" s="8"/>
      <c r="D51" s="8"/>
      <c r="E51" s="9"/>
      <c r="F51" s="8"/>
      <c r="G51" s="8"/>
      <c r="H51" s="8"/>
    </row>
    <row r="52" spans="1:8" ht="14.25" customHeight="1" x14ac:dyDescent="0.25">
      <c r="A52" s="8"/>
      <c r="B52" s="8"/>
      <c r="C52" s="8"/>
      <c r="D52" s="8"/>
      <c r="E52" s="9"/>
      <c r="F52" s="8"/>
      <c r="G52" s="8"/>
      <c r="H52" s="8"/>
    </row>
    <row r="53" spans="1:8" ht="14.25" customHeight="1" x14ac:dyDescent="0.25">
      <c r="A53" s="8"/>
      <c r="B53" s="8"/>
      <c r="C53" s="8"/>
      <c r="D53" s="8"/>
      <c r="E53" s="9"/>
      <c r="F53" s="8"/>
      <c r="G53" s="8"/>
      <c r="H53" s="8"/>
    </row>
    <row r="54" spans="1:8" ht="14.25" customHeight="1" x14ac:dyDescent="0.25">
      <c r="A54" s="8"/>
      <c r="B54" s="8"/>
      <c r="C54" s="8"/>
      <c r="D54" s="8"/>
      <c r="E54" s="9"/>
      <c r="F54" s="8"/>
      <c r="G54" s="8"/>
      <c r="H54" s="8"/>
    </row>
    <row r="55" spans="1:8" ht="14.25" customHeight="1" x14ac:dyDescent="0.25">
      <c r="A55" s="8"/>
      <c r="B55" s="8"/>
      <c r="C55" s="8"/>
      <c r="D55" s="8"/>
      <c r="E55" s="9"/>
      <c r="F55" s="8"/>
      <c r="G55" s="8"/>
      <c r="H55" s="8"/>
    </row>
    <row r="56" spans="1:8" ht="14.25" customHeight="1" x14ac:dyDescent="0.25">
      <c r="A56" s="8"/>
      <c r="B56" s="8"/>
      <c r="C56" s="8"/>
      <c r="D56" s="8"/>
      <c r="E56" s="9"/>
      <c r="F56" s="8"/>
      <c r="G56" s="8"/>
      <c r="H56" s="8"/>
    </row>
    <row r="57" spans="1:8" ht="14.25" customHeight="1" x14ac:dyDescent="0.25">
      <c r="A57" s="8"/>
      <c r="B57" s="8"/>
      <c r="C57" s="8"/>
      <c r="D57" s="8"/>
      <c r="E57" s="9"/>
      <c r="F57" s="8"/>
      <c r="G57" s="8"/>
      <c r="H57" s="8"/>
    </row>
    <row r="58" spans="1:8" ht="14.25" customHeight="1" x14ac:dyDescent="0.25">
      <c r="A58" s="8"/>
      <c r="B58" s="8"/>
      <c r="C58" s="8"/>
      <c r="D58" s="8"/>
      <c r="E58" s="9"/>
      <c r="F58" s="8"/>
      <c r="G58" s="8"/>
      <c r="H58" s="8"/>
    </row>
    <row r="59" spans="1:8" ht="14.25" customHeight="1" x14ac:dyDescent="0.25">
      <c r="A59" s="8"/>
      <c r="B59" s="8"/>
      <c r="C59" s="8"/>
      <c r="D59" s="8"/>
      <c r="E59" s="9"/>
      <c r="F59" s="8"/>
      <c r="G59" s="8"/>
      <c r="H59" s="8"/>
    </row>
    <row r="60" spans="1:8" ht="14.25" customHeight="1" x14ac:dyDescent="0.25">
      <c r="A60" s="8"/>
      <c r="B60" s="8"/>
      <c r="C60" s="8"/>
      <c r="D60" s="8"/>
      <c r="E60" s="9"/>
      <c r="F60" s="8"/>
      <c r="G60" s="8"/>
      <c r="H60" s="8"/>
    </row>
    <row r="61" spans="1:8" ht="14.25" customHeight="1" x14ac:dyDescent="0.25">
      <c r="A61" s="8"/>
      <c r="B61" s="8"/>
      <c r="C61" s="8"/>
      <c r="D61" s="8"/>
      <c r="E61" s="9"/>
      <c r="F61" s="8"/>
      <c r="G61" s="8"/>
      <c r="H61" s="8"/>
    </row>
    <row r="62" spans="1:8" ht="14.25" customHeight="1" x14ac:dyDescent="0.25">
      <c r="A62" s="8"/>
      <c r="B62" s="8"/>
      <c r="C62" s="8"/>
      <c r="D62" s="8"/>
      <c r="E62" s="9"/>
      <c r="F62" s="8"/>
      <c r="G62" s="8"/>
      <c r="H62" s="8"/>
    </row>
    <row r="63" spans="1:8" ht="14.25" customHeight="1" x14ac:dyDescent="0.25">
      <c r="A63" s="8"/>
      <c r="B63" s="8"/>
      <c r="C63" s="8"/>
      <c r="D63" s="8"/>
      <c r="E63" s="9"/>
      <c r="F63" s="8"/>
      <c r="G63" s="8"/>
      <c r="H63" s="8"/>
    </row>
    <row r="64" spans="1:8" ht="14.25" customHeight="1" x14ac:dyDescent="0.25">
      <c r="A64" s="8"/>
      <c r="B64" s="8"/>
      <c r="C64" s="8"/>
      <c r="D64" s="8"/>
      <c r="E64" s="9"/>
      <c r="F64" s="8"/>
      <c r="G64" s="8"/>
      <c r="H64" s="8"/>
    </row>
    <row r="65" spans="1:8" ht="14.25" customHeight="1" x14ac:dyDescent="0.25">
      <c r="A65" s="8"/>
      <c r="B65" s="8"/>
      <c r="C65" s="8"/>
      <c r="D65" s="8"/>
      <c r="E65" s="9"/>
      <c r="F65" s="8"/>
      <c r="G65" s="8"/>
      <c r="H65" s="8"/>
    </row>
    <row r="66" spans="1:8" ht="14.25" customHeight="1" x14ac:dyDescent="0.25">
      <c r="A66" s="8"/>
      <c r="B66" s="8"/>
      <c r="C66" s="8"/>
      <c r="D66" s="8"/>
      <c r="E66" s="9"/>
      <c r="F66" s="8"/>
      <c r="G66" s="8"/>
      <c r="H66" s="8"/>
    </row>
    <row r="67" spans="1:8" ht="14.25" customHeight="1" x14ac:dyDescent="0.25">
      <c r="A67" s="8"/>
      <c r="B67" s="8"/>
      <c r="C67" s="8"/>
      <c r="D67" s="8"/>
      <c r="E67" s="9"/>
      <c r="F67" s="8"/>
      <c r="G67" s="8"/>
      <c r="H67" s="8"/>
    </row>
    <row r="68" spans="1:8" ht="14.25" customHeight="1" x14ac:dyDescent="0.25">
      <c r="A68" s="8"/>
      <c r="B68" s="8"/>
      <c r="C68" s="8"/>
      <c r="D68" s="8"/>
      <c r="E68" s="9"/>
      <c r="F68" s="8"/>
      <c r="G68" s="8"/>
      <c r="H68" s="8"/>
    </row>
    <row r="69" spans="1:8" ht="14.25" customHeight="1" x14ac:dyDescent="0.25">
      <c r="A69" s="8"/>
      <c r="B69" s="8"/>
      <c r="C69" s="8"/>
      <c r="D69" s="8"/>
      <c r="E69" s="9"/>
      <c r="F69" s="8"/>
      <c r="G69" s="8"/>
      <c r="H69" s="8"/>
    </row>
    <row r="70" spans="1:8" ht="14.25" customHeight="1" x14ac:dyDescent="0.25">
      <c r="A70" s="8"/>
      <c r="B70" s="8"/>
      <c r="C70" s="8"/>
      <c r="D70" s="8"/>
      <c r="E70" s="9"/>
      <c r="F70" s="8"/>
      <c r="G70" s="8"/>
      <c r="H70" s="8"/>
    </row>
    <row r="71" spans="1:8" ht="14.25" customHeight="1" x14ac:dyDescent="0.25">
      <c r="A71" s="8"/>
      <c r="B71" s="8"/>
      <c r="C71" s="8"/>
      <c r="D71" s="8"/>
      <c r="E71" s="9"/>
      <c r="F71" s="8"/>
      <c r="G71" s="8"/>
      <c r="H71" s="8"/>
    </row>
    <row r="72" spans="1:8" ht="14.25" customHeight="1" x14ac:dyDescent="0.25">
      <c r="A72" s="8"/>
      <c r="B72" s="8"/>
      <c r="C72" s="8"/>
      <c r="D72" s="8"/>
      <c r="E72" s="9"/>
      <c r="F72" s="8"/>
      <c r="G72" s="8"/>
      <c r="H72" s="8"/>
    </row>
    <row r="73" spans="1:8" ht="14.25" customHeight="1" x14ac:dyDescent="0.25">
      <c r="A73" s="8"/>
      <c r="B73" s="8"/>
      <c r="C73" s="8"/>
      <c r="D73" s="8"/>
      <c r="E73" s="9"/>
      <c r="F73" s="8"/>
      <c r="G73" s="8"/>
      <c r="H73" s="8"/>
    </row>
    <row r="74" spans="1:8" ht="14.25" customHeight="1" x14ac:dyDescent="0.25">
      <c r="A74" s="8"/>
      <c r="B74" s="8"/>
      <c r="C74" s="8"/>
      <c r="D74" s="8"/>
      <c r="E74" s="9"/>
      <c r="F74" s="8"/>
      <c r="G74" s="8"/>
      <c r="H74" s="8"/>
    </row>
    <row r="75" spans="1:8" ht="14.25" customHeight="1" x14ac:dyDescent="0.25">
      <c r="A75" s="8"/>
      <c r="B75" s="8"/>
      <c r="C75" s="8"/>
      <c r="D75" s="8"/>
      <c r="E75" s="9"/>
      <c r="F75" s="8"/>
      <c r="G75" s="8"/>
      <c r="H75" s="8"/>
    </row>
    <row r="76" spans="1:8" ht="14.25" customHeight="1" x14ac:dyDescent="0.25">
      <c r="A76" s="8"/>
      <c r="B76" s="8"/>
      <c r="C76" s="8"/>
      <c r="D76" s="8"/>
      <c r="E76" s="9"/>
      <c r="F76" s="8"/>
      <c r="G76" s="8"/>
      <c r="H76" s="8"/>
    </row>
    <row r="77" spans="1:8" ht="14.25" customHeight="1" x14ac:dyDescent="0.25">
      <c r="A77" s="8"/>
      <c r="B77" s="8"/>
      <c r="C77" s="8"/>
      <c r="D77" s="8"/>
      <c r="E77" s="9"/>
      <c r="F77" s="8"/>
      <c r="G77" s="8"/>
      <c r="H77" s="8"/>
    </row>
    <row r="78" spans="1:8" ht="14.25" customHeight="1" x14ac:dyDescent="0.25">
      <c r="A78" s="8"/>
      <c r="B78" s="8"/>
      <c r="C78" s="8"/>
      <c r="D78" s="8"/>
      <c r="E78" s="9"/>
      <c r="F78" s="8"/>
      <c r="G78" s="8"/>
      <c r="H78" s="8"/>
    </row>
    <row r="79" spans="1:8" ht="14.25" customHeight="1" x14ac:dyDescent="0.25">
      <c r="A79" s="8"/>
      <c r="B79" s="8"/>
      <c r="C79" s="8"/>
      <c r="D79" s="8"/>
      <c r="E79" s="9"/>
      <c r="F79" s="8"/>
      <c r="G79" s="8"/>
      <c r="H79" s="8"/>
    </row>
    <row r="80" spans="1:8" ht="14.25" customHeight="1" x14ac:dyDescent="0.25">
      <c r="A80" s="8"/>
      <c r="B80" s="8"/>
      <c r="C80" s="8"/>
      <c r="D80" s="8"/>
      <c r="E80" s="9"/>
      <c r="F80" s="8"/>
      <c r="G80" s="8"/>
      <c r="H80" s="8"/>
    </row>
    <row r="81" spans="1:8" ht="14.25" customHeight="1" x14ac:dyDescent="0.25">
      <c r="A81" s="8"/>
      <c r="B81" s="8"/>
      <c r="C81" s="8"/>
      <c r="D81" s="8"/>
      <c r="E81" s="9"/>
      <c r="F81" s="8"/>
      <c r="G81" s="8"/>
      <c r="H81" s="8"/>
    </row>
    <row r="82" spans="1:8" ht="14.25" customHeight="1" x14ac:dyDescent="0.25">
      <c r="A82" s="8"/>
      <c r="B82" s="8"/>
      <c r="C82" s="8"/>
      <c r="D82" s="8"/>
      <c r="E82" s="9"/>
      <c r="F82" s="8"/>
      <c r="G82" s="8"/>
      <c r="H82" s="8"/>
    </row>
    <row r="83" spans="1:8" ht="14.25" customHeight="1" x14ac:dyDescent="0.25">
      <c r="A83" s="8"/>
      <c r="B83" s="8"/>
      <c r="C83" s="8"/>
      <c r="D83" s="8"/>
      <c r="E83" s="9"/>
      <c r="F83" s="8"/>
      <c r="G83" s="8"/>
      <c r="H83" s="8"/>
    </row>
    <row r="84" spans="1:8" ht="14.25" customHeight="1" x14ac:dyDescent="0.25">
      <c r="A84" s="8"/>
      <c r="B84" s="8"/>
      <c r="C84" s="8"/>
      <c r="D84" s="8"/>
      <c r="E84" s="9"/>
      <c r="F84" s="8"/>
      <c r="G84" s="8"/>
      <c r="H84" s="8"/>
    </row>
    <row r="85" spans="1:8" ht="14.25" customHeight="1" x14ac:dyDescent="0.25">
      <c r="A85" s="8"/>
      <c r="B85" s="8"/>
      <c r="C85" s="8"/>
      <c r="D85" s="8"/>
      <c r="E85" s="9"/>
      <c r="F85" s="8"/>
      <c r="G85" s="8"/>
      <c r="H85" s="8"/>
    </row>
    <row r="86" spans="1:8" ht="14.25" customHeight="1" x14ac:dyDescent="0.25">
      <c r="A86" s="8"/>
      <c r="B86" s="8"/>
      <c r="C86" s="8"/>
      <c r="D86" s="8"/>
      <c r="E86" s="9"/>
      <c r="F86" s="8"/>
      <c r="G86" s="8"/>
      <c r="H86" s="8"/>
    </row>
    <row r="87" spans="1:8" ht="14.25" customHeight="1" x14ac:dyDescent="0.25">
      <c r="A87" s="8"/>
      <c r="B87" s="8"/>
      <c r="C87" s="8"/>
      <c r="D87" s="8"/>
      <c r="E87" s="9"/>
      <c r="F87" s="8"/>
      <c r="G87" s="8"/>
      <c r="H87" s="8"/>
    </row>
    <row r="88" spans="1:8" ht="14.25" customHeight="1" x14ac:dyDescent="0.25">
      <c r="A88" s="8"/>
      <c r="B88" s="8"/>
      <c r="C88" s="8"/>
      <c r="D88" s="8"/>
      <c r="E88" s="9"/>
      <c r="F88" s="8"/>
      <c r="G88" s="8"/>
      <c r="H88" s="8"/>
    </row>
    <row r="89" spans="1:8" ht="14.25" customHeight="1" x14ac:dyDescent="0.25">
      <c r="A89" s="8"/>
      <c r="B89" s="8"/>
      <c r="C89" s="8"/>
      <c r="D89" s="8"/>
      <c r="E89" s="9"/>
      <c r="F89" s="8"/>
      <c r="G89" s="8"/>
      <c r="H89" s="8"/>
    </row>
    <row r="90" spans="1:8" ht="14.25" customHeight="1" x14ac:dyDescent="0.25">
      <c r="A90" s="8"/>
      <c r="B90" s="8"/>
      <c r="C90" s="8"/>
      <c r="D90" s="8"/>
      <c r="E90" s="9"/>
      <c r="F90" s="8"/>
      <c r="G90" s="8"/>
      <c r="H90" s="8"/>
    </row>
    <row r="91" spans="1:8" ht="14.25" customHeight="1" x14ac:dyDescent="0.25">
      <c r="A91" s="8"/>
      <c r="B91" s="8"/>
      <c r="C91" s="8"/>
      <c r="D91" s="8"/>
      <c r="E91" s="9"/>
      <c r="F91" s="8"/>
      <c r="G91" s="8"/>
      <c r="H91" s="8"/>
    </row>
    <row r="92" spans="1:8" ht="14.25" customHeight="1" x14ac:dyDescent="0.25">
      <c r="A92" s="8"/>
      <c r="B92" s="8"/>
      <c r="C92" s="8"/>
      <c r="D92" s="8"/>
      <c r="E92" s="9"/>
      <c r="F92" s="8"/>
      <c r="G92" s="8"/>
      <c r="H92" s="8"/>
    </row>
    <row r="93" spans="1:8" ht="14.25" customHeight="1" x14ac:dyDescent="0.25">
      <c r="A93" s="8"/>
      <c r="B93" s="8"/>
      <c r="C93" s="8"/>
      <c r="D93" s="8"/>
      <c r="E93" s="9"/>
      <c r="F93" s="8"/>
      <c r="G93" s="8"/>
      <c r="H93" s="8"/>
    </row>
    <row r="94" spans="1:8" ht="14.25" customHeight="1" x14ac:dyDescent="0.25">
      <c r="A94" s="8"/>
      <c r="B94" s="8"/>
      <c r="C94" s="8"/>
      <c r="D94" s="8"/>
      <c r="E94" s="9"/>
      <c r="F94" s="8"/>
      <c r="G94" s="8"/>
      <c r="H94" s="8"/>
    </row>
    <row r="95" spans="1:8" ht="14.25" customHeight="1" x14ac:dyDescent="0.25">
      <c r="A95" s="8"/>
      <c r="B95" s="8"/>
      <c r="C95" s="8"/>
      <c r="D95" s="8"/>
      <c r="E95" s="9"/>
      <c r="F95" s="8"/>
      <c r="G95" s="8"/>
      <c r="H95" s="8"/>
    </row>
    <row r="96" spans="1:8" ht="14.25" customHeight="1" x14ac:dyDescent="0.25">
      <c r="A96" s="8"/>
      <c r="B96" s="8"/>
      <c r="C96" s="8"/>
      <c r="D96" s="8"/>
      <c r="E96" s="9"/>
      <c r="F96" s="8"/>
      <c r="G96" s="8"/>
      <c r="H96" s="8"/>
    </row>
    <row r="97" spans="1:8" ht="14.25" customHeight="1" x14ac:dyDescent="0.25">
      <c r="A97" s="8"/>
      <c r="B97" s="8"/>
      <c r="C97" s="8"/>
      <c r="D97" s="8"/>
      <c r="E97" s="9"/>
      <c r="F97" s="8"/>
      <c r="G97" s="8"/>
      <c r="H97" s="8"/>
    </row>
    <row r="98" spans="1:8" ht="14.25" customHeight="1" x14ac:dyDescent="0.25">
      <c r="A98" s="8"/>
      <c r="B98" s="8"/>
      <c r="C98" s="8"/>
      <c r="D98" s="8"/>
      <c r="E98" s="9"/>
      <c r="F98" s="8"/>
      <c r="G98" s="8"/>
      <c r="H98" s="8"/>
    </row>
    <row r="99" spans="1:8" ht="14.25" customHeight="1" x14ac:dyDescent="0.25">
      <c r="A99" s="8"/>
      <c r="B99" s="8"/>
      <c r="C99" s="8"/>
      <c r="D99" s="8"/>
      <c r="E99" s="9"/>
      <c r="F99" s="8"/>
      <c r="G99" s="8"/>
      <c r="H99" s="8"/>
    </row>
    <row r="100" spans="1:8" ht="14.25" customHeight="1" x14ac:dyDescent="0.25">
      <c r="A100" s="8"/>
      <c r="B100" s="8"/>
      <c r="C100" s="8"/>
      <c r="D100" s="8"/>
      <c r="E100" s="9"/>
      <c r="F100" s="8"/>
      <c r="G100" s="8"/>
      <c r="H100" s="8"/>
    </row>
    <row r="101" spans="1:8" ht="14.25" customHeight="1" x14ac:dyDescent="0.25">
      <c r="A101" s="8"/>
      <c r="B101" s="8"/>
      <c r="C101" s="8"/>
      <c r="D101" s="8"/>
      <c r="E101" s="9"/>
      <c r="F101" s="8"/>
      <c r="G101" s="8"/>
      <c r="H101" s="8"/>
    </row>
    <row r="102" spans="1:8" ht="14.25" customHeight="1" x14ac:dyDescent="0.25">
      <c r="A102" s="8"/>
      <c r="B102" s="8"/>
      <c r="C102" s="8"/>
      <c r="D102" s="8"/>
      <c r="E102" s="9"/>
      <c r="F102" s="8"/>
      <c r="G102" s="8"/>
      <c r="H102" s="8"/>
    </row>
    <row r="103" spans="1:8" ht="14.25" customHeight="1" x14ac:dyDescent="0.25">
      <c r="A103" s="8"/>
      <c r="B103" s="8"/>
      <c r="C103" s="8"/>
      <c r="D103" s="8"/>
      <c r="E103" s="9"/>
      <c r="F103" s="8"/>
      <c r="G103" s="8"/>
      <c r="H103" s="8"/>
    </row>
    <row r="104" spans="1:8" ht="14.25" customHeight="1" x14ac:dyDescent="0.25">
      <c r="A104" s="8"/>
      <c r="B104" s="8"/>
      <c r="C104" s="8"/>
      <c r="D104" s="8"/>
      <c r="E104" s="9"/>
      <c r="F104" s="8"/>
      <c r="G104" s="8"/>
      <c r="H104" s="8"/>
    </row>
    <row r="105" spans="1:8" ht="14.25" customHeight="1" x14ac:dyDescent="0.25">
      <c r="A105" s="8"/>
      <c r="B105" s="8"/>
      <c r="C105" s="8"/>
      <c r="D105" s="8"/>
      <c r="E105" s="9"/>
      <c r="F105" s="8"/>
      <c r="G105" s="8"/>
      <c r="H105" s="8"/>
    </row>
    <row r="106" spans="1:8" ht="14.25" customHeight="1" x14ac:dyDescent="0.25">
      <c r="A106" s="8"/>
      <c r="B106" s="8"/>
      <c r="C106" s="8"/>
      <c r="D106" s="8"/>
      <c r="E106" s="9"/>
      <c r="F106" s="8"/>
      <c r="G106" s="8"/>
      <c r="H106" s="8"/>
    </row>
    <row r="107" spans="1:8" ht="14.25" customHeight="1" x14ac:dyDescent="0.25">
      <c r="A107" s="8"/>
      <c r="B107" s="8"/>
      <c r="C107" s="8"/>
      <c r="D107" s="8"/>
      <c r="E107" s="9"/>
      <c r="F107" s="8"/>
      <c r="G107" s="8"/>
      <c r="H107" s="8"/>
    </row>
    <row r="108" spans="1:8" ht="14.25" customHeight="1" x14ac:dyDescent="0.25">
      <c r="A108" s="8"/>
      <c r="B108" s="8"/>
      <c r="C108" s="8"/>
      <c r="D108" s="8"/>
      <c r="E108" s="9"/>
      <c r="F108" s="8"/>
      <c r="G108" s="8"/>
      <c r="H108" s="8"/>
    </row>
    <row r="109" spans="1:8" ht="14.25" customHeight="1" x14ac:dyDescent="0.25">
      <c r="A109" s="8"/>
      <c r="B109" s="8"/>
      <c r="C109" s="8"/>
      <c r="D109" s="8"/>
      <c r="E109" s="9"/>
      <c r="F109" s="8"/>
      <c r="G109" s="8"/>
      <c r="H109" s="8"/>
    </row>
    <row r="110" spans="1:8" ht="14.25" customHeight="1" x14ac:dyDescent="0.25">
      <c r="A110" s="8"/>
      <c r="B110" s="8"/>
      <c r="C110" s="8"/>
      <c r="D110" s="8"/>
      <c r="E110" s="9"/>
      <c r="F110" s="8"/>
      <c r="G110" s="8"/>
      <c r="H110" s="8"/>
    </row>
    <row r="111" spans="1:8" ht="14.25" customHeight="1" x14ac:dyDescent="0.25">
      <c r="A111" s="8"/>
      <c r="B111" s="8"/>
      <c r="C111" s="8"/>
      <c r="D111" s="8"/>
      <c r="E111" s="9"/>
      <c r="F111" s="8"/>
      <c r="G111" s="8"/>
      <c r="H111" s="8"/>
    </row>
    <row r="112" spans="1:8" ht="14.25" customHeight="1" x14ac:dyDescent="0.25">
      <c r="A112" s="8"/>
      <c r="B112" s="8"/>
      <c r="C112" s="8"/>
      <c r="D112" s="8"/>
      <c r="E112" s="9"/>
      <c r="F112" s="8"/>
      <c r="G112" s="8"/>
      <c r="H112" s="8"/>
    </row>
    <row r="113" spans="1:8" ht="14.25" customHeight="1" x14ac:dyDescent="0.25">
      <c r="A113" s="8"/>
      <c r="B113" s="8"/>
      <c r="C113" s="8"/>
      <c r="D113" s="8"/>
      <c r="E113" s="9"/>
      <c r="F113" s="8"/>
      <c r="G113" s="8"/>
      <c r="H113" s="8"/>
    </row>
    <row r="114" spans="1:8" ht="14.25" customHeight="1" x14ac:dyDescent="0.25">
      <c r="A114" s="8"/>
      <c r="B114" s="8"/>
      <c r="C114" s="8"/>
      <c r="D114" s="8"/>
      <c r="E114" s="9"/>
      <c r="F114" s="8"/>
      <c r="G114" s="8"/>
      <c r="H114" s="8"/>
    </row>
    <row r="115" spans="1:8" ht="14.25" customHeight="1" x14ac:dyDescent="0.25">
      <c r="A115" s="8"/>
      <c r="B115" s="8"/>
      <c r="C115" s="8"/>
      <c r="D115" s="8"/>
      <c r="E115" s="9"/>
      <c r="F115" s="8"/>
      <c r="G115" s="8"/>
      <c r="H115" s="8"/>
    </row>
    <row r="116" spans="1:8" ht="14.25" customHeight="1" x14ac:dyDescent="0.25">
      <c r="A116" s="8"/>
      <c r="B116" s="8"/>
      <c r="C116" s="8"/>
      <c r="D116" s="8"/>
      <c r="E116" s="9"/>
      <c r="F116" s="8"/>
      <c r="G116" s="8"/>
      <c r="H116" s="8"/>
    </row>
    <row r="117" spans="1:8" ht="14.25" customHeight="1" x14ac:dyDescent="0.25">
      <c r="A117" s="8"/>
      <c r="B117" s="8"/>
      <c r="C117" s="8"/>
      <c r="D117" s="8"/>
      <c r="E117" s="9"/>
      <c r="F117" s="8"/>
      <c r="G117" s="8"/>
      <c r="H117" s="8"/>
    </row>
    <row r="118" spans="1:8" ht="14.25" customHeight="1" x14ac:dyDescent="0.25">
      <c r="A118" s="8"/>
      <c r="B118" s="8"/>
      <c r="C118" s="8"/>
      <c r="D118" s="8"/>
      <c r="E118" s="9"/>
      <c r="F118" s="8"/>
      <c r="G118" s="8"/>
      <c r="H118" s="8"/>
    </row>
    <row r="119" spans="1:8" ht="14.25" customHeight="1" x14ac:dyDescent="0.25">
      <c r="A119" s="8"/>
      <c r="B119" s="8"/>
      <c r="C119" s="8"/>
      <c r="D119" s="8"/>
      <c r="E119" s="9"/>
      <c r="F119" s="8"/>
      <c r="G119" s="8"/>
      <c r="H119" s="8"/>
    </row>
    <row r="120" spans="1:8" ht="14.25" customHeight="1" x14ac:dyDescent="0.25">
      <c r="A120" s="8"/>
      <c r="B120" s="8"/>
      <c r="C120" s="8"/>
      <c r="D120" s="8"/>
      <c r="E120" s="9"/>
      <c r="F120" s="8"/>
      <c r="G120" s="8"/>
      <c r="H120" s="8"/>
    </row>
    <row r="121" spans="1:8" ht="14.25" customHeight="1" x14ac:dyDescent="0.25">
      <c r="A121" s="8"/>
      <c r="B121" s="8"/>
      <c r="C121" s="8"/>
      <c r="D121" s="8"/>
      <c r="E121" s="9"/>
      <c r="F121" s="8"/>
      <c r="G121" s="8"/>
      <c r="H121" s="8"/>
    </row>
    <row r="122" spans="1:8" ht="14.25" customHeight="1" x14ac:dyDescent="0.25">
      <c r="A122" s="8"/>
      <c r="B122" s="8"/>
      <c r="C122" s="8"/>
      <c r="D122" s="8"/>
      <c r="E122" s="9"/>
      <c r="F122" s="8"/>
      <c r="G122" s="8"/>
      <c r="H122" s="8"/>
    </row>
    <row r="123" spans="1:8" ht="14.25" customHeight="1" x14ac:dyDescent="0.25">
      <c r="A123" s="8"/>
      <c r="B123" s="8"/>
      <c r="C123" s="8"/>
      <c r="D123" s="8"/>
      <c r="E123" s="9"/>
      <c r="F123" s="8"/>
      <c r="G123" s="8"/>
      <c r="H123" s="8"/>
    </row>
    <row r="124" spans="1:8" ht="14.25" customHeight="1" x14ac:dyDescent="0.25">
      <c r="A124" s="8"/>
      <c r="B124" s="8"/>
      <c r="C124" s="8"/>
      <c r="D124" s="8"/>
      <c r="E124" s="9"/>
      <c r="F124" s="8"/>
      <c r="G124" s="8"/>
      <c r="H124" s="8"/>
    </row>
    <row r="125" spans="1:8" ht="14.25" customHeight="1" x14ac:dyDescent="0.25">
      <c r="A125" s="8"/>
      <c r="B125" s="8"/>
      <c r="C125" s="8"/>
      <c r="D125" s="8"/>
      <c r="E125" s="9"/>
      <c r="F125" s="8"/>
      <c r="G125" s="8"/>
      <c r="H125" s="8"/>
    </row>
    <row r="126" spans="1:8" ht="14.25" customHeight="1" x14ac:dyDescent="0.25">
      <c r="A126" s="8"/>
      <c r="B126" s="8"/>
      <c r="C126" s="8"/>
      <c r="D126" s="8"/>
      <c r="E126" s="9"/>
      <c r="F126" s="8"/>
      <c r="G126" s="8"/>
      <c r="H126" s="8"/>
    </row>
    <row r="127" spans="1:8" ht="14.25" customHeight="1" x14ac:dyDescent="0.25">
      <c r="A127" s="8"/>
      <c r="B127" s="8"/>
      <c r="C127" s="8"/>
      <c r="D127" s="8"/>
      <c r="E127" s="9"/>
      <c r="F127" s="8"/>
      <c r="G127" s="8"/>
      <c r="H127" s="8"/>
    </row>
    <row r="128" spans="1:8" ht="14.25" customHeight="1" x14ac:dyDescent="0.25">
      <c r="A128" s="8"/>
      <c r="B128" s="8"/>
      <c r="C128" s="8"/>
      <c r="D128" s="8"/>
      <c r="E128" s="9"/>
      <c r="F128" s="8"/>
      <c r="G128" s="8"/>
      <c r="H128" s="8"/>
    </row>
    <row r="129" spans="1:8" ht="14.25" customHeight="1" x14ac:dyDescent="0.25">
      <c r="A129" s="8"/>
      <c r="B129" s="8"/>
      <c r="C129" s="8"/>
      <c r="D129" s="8"/>
      <c r="E129" s="9"/>
      <c r="F129" s="8"/>
      <c r="G129" s="8"/>
      <c r="H129" s="8"/>
    </row>
    <row r="130" spans="1:8" ht="14.25" customHeight="1" x14ac:dyDescent="0.25">
      <c r="A130" s="8"/>
      <c r="B130" s="8"/>
      <c r="C130" s="8"/>
      <c r="D130" s="8"/>
      <c r="E130" s="9"/>
      <c r="F130" s="8"/>
      <c r="G130" s="8"/>
      <c r="H130" s="8"/>
    </row>
    <row r="131" spans="1:8" ht="14.25" customHeight="1" x14ac:dyDescent="0.25">
      <c r="A131" s="8"/>
      <c r="B131" s="8"/>
      <c r="C131" s="8"/>
      <c r="D131" s="8"/>
      <c r="E131" s="9"/>
      <c r="F131" s="8"/>
      <c r="G131" s="8"/>
      <c r="H131" s="8"/>
    </row>
    <row r="132" spans="1:8" ht="14.25" customHeight="1" x14ac:dyDescent="0.25">
      <c r="A132" s="8"/>
      <c r="B132" s="8"/>
      <c r="C132" s="8"/>
      <c r="D132" s="8"/>
      <c r="E132" s="9"/>
      <c r="F132" s="8"/>
      <c r="G132" s="8"/>
      <c r="H132" s="8"/>
    </row>
    <row r="133" spans="1:8" ht="14.25" customHeight="1" x14ac:dyDescent="0.25">
      <c r="A133" s="8"/>
      <c r="B133" s="8"/>
      <c r="C133" s="8"/>
      <c r="D133" s="8"/>
      <c r="E133" s="9"/>
      <c r="F133" s="8"/>
      <c r="G133" s="8"/>
      <c r="H133" s="8"/>
    </row>
    <row r="134" spans="1:8" ht="14.25" customHeight="1" x14ac:dyDescent="0.25">
      <c r="A134" s="8"/>
      <c r="B134" s="8"/>
      <c r="C134" s="8"/>
      <c r="D134" s="8"/>
      <c r="E134" s="9"/>
      <c r="F134" s="8"/>
      <c r="G134" s="8"/>
      <c r="H134" s="8"/>
    </row>
    <row r="135" spans="1:8" ht="14.25" customHeight="1" x14ac:dyDescent="0.25">
      <c r="A135" s="8"/>
      <c r="B135" s="8"/>
      <c r="C135" s="8"/>
      <c r="D135" s="8"/>
      <c r="E135" s="9"/>
      <c r="F135" s="8"/>
      <c r="G135" s="8"/>
      <c r="H135" s="8"/>
    </row>
    <row r="136" spans="1:8" ht="14.25" customHeight="1" x14ac:dyDescent="0.25">
      <c r="A136" s="8"/>
      <c r="B136" s="8"/>
      <c r="C136" s="8"/>
      <c r="D136" s="8"/>
      <c r="E136" s="9"/>
      <c r="F136" s="8"/>
      <c r="G136" s="8"/>
      <c r="H136" s="8"/>
    </row>
    <row r="137" spans="1:8" ht="14.25" customHeight="1" x14ac:dyDescent="0.25">
      <c r="A137" s="8"/>
      <c r="B137" s="8"/>
      <c r="C137" s="8"/>
      <c r="D137" s="8"/>
      <c r="E137" s="9"/>
      <c r="F137" s="8"/>
      <c r="G137" s="8"/>
      <c r="H137" s="8"/>
    </row>
    <row r="138" spans="1:8" ht="14.25" customHeight="1" x14ac:dyDescent="0.25">
      <c r="A138" s="8"/>
      <c r="B138" s="8"/>
      <c r="C138" s="8"/>
      <c r="D138" s="8"/>
      <c r="E138" s="9"/>
      <c r="F138" s="8"/>
      <c r="G138" s="8"/>
      <c r="H138" s="8"/>
    </row>
    <row r="139" spans="1:8" ht="14.25" customHeight="1" x14ac:dyDescent="0.25">
      <c r="A139" s="8"/>
      <c r="B139" s="8"/>
      <c r="C139" s="8"/>
      <c r="D139" s="8"/>
      <c r="E139" s="9"/>
      <c r="F139" s="8"/>
      <c r="G139" s="8"/>
      <c r="H139" s="8"/>
    </row>
    <row r="140" spans="1:8" ht="14.25" customHeight="1" x14ac:dyDescent="0.25">
      <c r="A140" s="8"/>
      <c r="B140" s="8"/>
      <c r="C140" s="8"/>
      <c r="D140" s="8"/>
      <c r="E140" s="9"/>
      <c r="F140" s="8"/>
      <c r="G140" s="8"/>
      <c r="H140" s="8"/>
    </row>
    <row r="141" spans="1:8" ht="14.25" customHeight="1" x14ac:dyDescent="0.25">
      <c r="A141" s="8"/>
      <c r="B141" s="8"/>
      <c r="C141" s="8"/>
      <c r="D141" s="8"/>
      <c r="E141" s="9"/>
      <c r="F141" s="8"/>
      <c r="G141" s="8"/>
      <c r="H141" s="8"/>
    </row>
    <row r="142" spans="1:8" ht="14.25" customHeight="1" x14ac:dyDescent="0.25">
      <c r="A142" s="8"/>
      <c r="B142" s="8"/>
      <c r="C142" s="8"/>
      <c r="D142" s="8"/>
      <c r="E142" s="9"/>
      <c r="F142" s="8"/>
      <c r="G142" s="8"/>
      <c r="H142" s="8"/>
    </row>
    <row r="143" spans="1:8" ht="14.25" customHeight="1" x14ac:dyDescent="0.25">
      <c r="A143" s="8"/>
      <c r="B143" s="8"/>
      <c r="C143" s="8"/>
      <c r="D143" s="8"/>
      <c r="E143" s="9"/>
      <c r="F143" s="8"/>
      <c r="G143" s="8"/>
      <c r="H143" s="8"/>
    </row>
    <row r="144" spans="1:8" ht="14.25" customHeight="1" x14ac:dyDescent="0.25">
      <c r="A144" s="8"/>
      <c r="B144" s="8"/>
      <c r="C144" s="8"/>
      <c r="D144" s="8"/>
      <c r="E144" s="9"/>
      <c r="F144" s="8"/>
      <c r="G144" s="8"/>
      <c r="H144" s="8"/>
    </row>
    <row r="145" spans="1:8" ht="14.25" customHeight="1" x14ac:dyDescent="0.25">
      <c r="A145" s="8"/>
      <c r="B145" s="8"/>
      <c r="C145" s="8"/>
      <c r="D145" s="8"/>
      <c r="E145" s="9"/>
      <c r="F145" s="8"/>
      <c r="G145" s="8"/>
      <c r="H145" s="8"/>
    </row>
    <row r="146" spans="1:8" ht="14.25" customHeight="1" x14ac:dyDescent="0.25">
      <c r="A146" s="8"/>
      <c r="B146" s="8"/>
      <c r="C146" s="8"/>
      <c r="D146" s="8"/>
      <c r="E146" s="9"/>
      <c r="F146" s="8"/>
      <c r="G146" s="8"/>
      <c r="H146" s="8"/>
    </row>
    <row r="147" spans="1:8" ht="14.25" customHeight="1" x14ac:dyDescent="0.25">
      <c r="A147" s="8"/>
      <c r="B147" s="8"/>
      <c r="C147" s="8"/>
      <c r="D147" s="8"/>
      <c r="E147" s="9"/>
      <c r="F147" s="8"/>
      <c r="G147" s="8"/>
      <c r="H147" s="8"/>
    </row>
    <row r="148" spans="1:8" ht="14.25" customHeight="1" x14ac:dyDescent="0.25">
      <c r="A148" s="8"/>
      <c r="B148" s="8"/>
      <c r="C148" s="8"/>
      <c r="D148" s="8"/>
      <c r="E148" s="9"/>
      <c r="F148" s="8"/>
      <c r="G148" s="8"/>
      <c r="H148" s="8"/>
    </row>
    <row r="149" spans="1:8" ht="14.25" customHeight="1" x14ac:dyDescent="0.25">
      <c r="A149" s="8"/>
      <c r="B149" s="8"/>
      <c r="C149" s="8"/>
      <c r="D149" s="8"/>
      <c r="E149" s="9"/>
      <c r="F149" s="8"/>
      <c r="G149" s="8"/>
      <c r="H149" s="8"/>
    </row>
    <row r="150" spans="1:8" ht="14.25" customHeight="1" x14ac:dyDescent="0.25">
      <c r="A150" s="8"/>
      <c r="B150" s="8"/>
      <c r="C150" s="8"/>
      <c r="D150" s="8"/>
      <c r="E150" s="9"/>
      <c r="F150" s="8"/>
      <c r="G150" s="8"/>
      <c r="H150" s="8"/>
    </row>
    <row r="151" spans="1:8" ht="14.25" customHeight="1" x14ac:dyDescent="0.25">
      <c r="A151" s="8"/>
      <c r="B151" s="8"/>
      <c r="C151" s="8"/>
      <c r="D151" s="8"/>
      <c r="E151" s="9"/>
      <c r="F151" s="8"/>
      <c r="G151" s="8"/>
      <c r="H151" s="8"/>
    </row>
    <row r="152" spans="1:8" ht="14.25" customHeight="1" x14ac:dyDescent="0.25">
      <c r="A152" s="8"/>
      <c r="B152" s="8"/>
      <c r="C152" s="8"/>
      <c r="D152" s="8"/>
      <c r="E152" s="9"/>
      <c r="F152" s="8"/>
      <c r="G152" s="8"/>
      <c r="H152" s="8"/>
    </row>
    <row r="153" spans="1:8" ht="14.25" customHeight="1" x14ac:dyDescent="0.25">
      <c r="A153" s="8"/>
      <c r="B153" s="8"/>
      <c r="C153" s="8"/>
      <c r="D153" s="8"/>
      <c r="E153" s="9"/>
      <c r="F153" s="8"/>
      <c r="G153" s="8"/>
      <c r="H153" s="8"/>
    </row>
    <row r="154" spans="1:8" ht="14.25" customHeight="1" x14ac:dyDescent="0.25">
      <c r="A154" s="8"/>
      <c r="B154" s="8"/>
      <c r="C154" s="8"/>
      <c r="D154" s="8"/>
      <c r="E154" s="9"/>
      <c r="F154" s="8"/>
      <c r="G154" s="8"/>
      <c r="H154" s="8"/>
    </row>
    <row r="155" spans="1:8" ht="14.25" customHeight="1" x14ac:dyDescent="0.25">
      <c r="A155" s="8"/>
      <c r="B155" s="8"/>
      <c r="C155" s="8"/>
      <c r="D155" s="8"/>
      <c r="E155" s="9"/>
      <c r="F155" s="8"/>
      <c r="G155" s="8"/>
      <c r="H155" s="8"/>
    </row>
    <row r="156" spans="1:8" ht="14.25" customHeight="1" x14ac:dyDescent="0.25">
      <c r="A156" s="8"/>
      <c r="B156" s="8"/>
      <c r="C156" s="8"/>
      <c r="D156" s="8"/>
      <c r="E156" s="9"/>
      <c r="F156" s="8"/>
      <c r="G156" s="8"/>
      <c r="H156" s="8"/>
    </row>
    <row r="157" spans="1:8" ht="14.25" customHeight="1" x14ac:dyDescent="0.25">
      <c r="A157" s="8"/>
      <c r="B157" s="8"/>
      <c r="C157" s="8"/>
      <c r="D157" s="8"/>
      <c r="E157" s="9"/>
      <c r="F157" s="8"/>
      <c r="G157" s="8"/>
      <c r="H157" s="8"/>
    </row>
    <row r="158" spans="1:8" ht="14.25" customHeight="1" x14ac:dyDescent="0.25">
      <c r="A158" s="8"/>
      <c r="B158" s="8"/>
      <c r="C158" s="8"/>
      <c r="D158" s="8"/>
      <c r="E158" s="9"/>
      <c r="F158" s="8"/>
      <c r="G158" s="8"/>
      <c r="H158" s="8"/>
    </row>
    <row r="159" spans="1:8" ht="14.25" customHeight="1" x14ac:dyDescent="0.25">
      <c r="A159" s="8"/>
      <c r="B159" s="8"/>
      <c r="C159" s="8"/>
      <c r="D159" s="8"/>
      <c r="E159" s="9"/>
      <c r="F159" s="8"/>
      <c r="G159" s="8"/>
      <c r="H159" s="8"/>
    </row>
    <row r="160" spans="1:8" ht="14.25" customHeight="1" x14ac:dyDescent="0.25">
      <c r="A160" s="8"/>
      <c r="B160" s="8"/>
      <c r="C160" s="8"/>
      <c r="D160" s="8"/>
      <c r="E160" s="9"/>
      <c r="F160" s="8"/>
      <c r="G160" s="8"/>
      <c r="H160" s="8"/>
    </row>
    <row r="161" spans="1:8" ht="14.25" customHeight="1" x14ac:dyDescent="0.25">
      <c r="A161" s="8"/>
      <c r="B161" s="8"/>
      <c r="C161" s="8"/>
      <c r="D161" s="8"/>
      <c r="E161" s="9"/>
      <c r="F161" s="8"/>
      <c r="G161" s="8"/>
      <c r="H161" s="8"/>
    </row>
    <row r="162" spans="1:8" ht="14.25" customHeight="1" x14ac:dyDescent="0.25">
      <c r="A162" s="8"/>
      <c r="B162" s="8"/>
      <c r="C162" s="8"/>
      <c r="D162" s="8"/>
      <c r="E162" s="9"/>
      <c r="F162" s="8"/>
      <c r="G162" s="8"/>
      <c r="H162" s="8"/>
    </row>
    <row r="163" spans="1:8" ht="14.25" customHeight="1" x14ac:dyDescent="0.25">
      <c r="A163" s="8"/>
      <c r="B163" s="8"/>
      <c r="C163" s="8"/>
      <c r="D163" s="8"/>
      <c r="E163" s="9"/>
      <c r="F163" s="8"/>
      <c r="G163" s="8"/>
      <c r="H163" s="8"/>
    </row>
    <row r="164" spans="1:8" ht="14.25" customHeight="1" x14ac:dyDescent="0.25">
      <c r="A164" s="8"/>
      <c r="B164" s="8"/>
      <c r="C164" s="8"/>
      <c r="D164" s="8"/>
      <c r="E164" s="9"/>
      <c r="F164" s="8"/>
      <c r="G164" s="8"/>
      <c r="H164" s="8"/>
    </row>
    <row r="165" spans="1:8" ht="14.25" customHeight="1" x14ac:dyDescent="0.25">
      <c r="A165" s="8"/>
      <c r="B165" s="8"/>
      <c r="C165" s="8"/>
      <c r="D165" s="8"/>
      <c r="E165" s="9"/>
      <c r="F165" s="8"/>
      <c r="G165" s="8"/>
      <c r="H165" s="8"/>
    </row>
    <row r="166" spans="1:8" ht="14.25" customHeight="1" x14ac:dyDescent="0.25">
      <c r="A166" s="8"/>
      <c r="B166" s="8"/>
      <c r="C166" s="8"/>
      <c r="D166" s="8"/>
      <c r="E166" s="9"/>
      <c r="F166" s="8"/>
      <c r="G166" s="8"/>
      <c r="H166" s="8"/>
    </row>
    <row r="167" spans="1:8" ht="14.25" customHeight="1" x14ac:dyDescent="0.25">
      <c r="A167" s="8"/>
      <c r="B167" s="8"/>
      <c r="C167" s="8"/>
      <c r="D167" s="8"/>
      <c r="E167" s="9"/>
      <c r="F167" s="8"/>
      <c r="G167" s="8"/>
      <c r="H167" s="8"/>
    </row>
    <row r="168" spans="1:8" ht="14.25" customHeight="1" x14ac:dyDescent="0.25">
      <c r="A168" s="8"/>
      <c r="B168" s="8"/>
      <c r="C168" s="8"/>
      <c r="D168" s="8"/>
      <c r="E168" s="9"/>
      <c r="F168" s="8"/>
      <c r="G168" s="8"/>
      <c r="H168" s="8"/>
    </row>
    <row r="169" spans="1:8" ht="14.25" customHeight="1" x14ac:dyDescent="0.25">
      <c r="A169" s="8"/>
      <c r="B169" s="8"/>
      <c r="C169" s="8"/>
      <c r="D169" s="8"/>
      <c r="E169" s="9"/>
      <c r="F169" s="8"/>
      <c r="G169" s="8"/>
      <c r="H169" s="8"/>
    </row>
    <row r="170" spans="1:8" ht="14.25" customHeight="1" x14ac:dyDescent="0.25">
      <c r="A170" s="8"/>
      <c r="B170" s="8"/>
      <c r="C170" s="8"/>
      <c r="D170" s="8"/>
      <c r="E170" s="9"/>
      <c r="F170" s="8"/>
      <c r="G170" s="8"/>
      <c r="H170" s="8"/>
    </row>
    <row r="171" spans="1:8" ht="14.25" customHeight="1" x14ac:dyDescent="0.25">
      <c r="A171" s="8"/>
      <c r="B171" s="8"/>
      <c r="C171" s="8"/>
      <c r="D171" s="8"/>
      <c r="E171" s="9"/>
      <c r="F171" s="8"/>
      <c r="G171" s="8"/>
      <c r="H171" s="8"/>
    </row>
    <row r="172" spans="1:8" ht="14.25" customHeight="1" x14ac:dyDescent="0.25">
      <c r="A172" s="8"/>
      <c r="B172" s="8"/>
      <c r="C172" s="8"/>
      <c r="D172" s="8"/>
      <c r="E172" s="9"/>
      <c r="F172" s="8"/>
      <c r="G172" s="8"/>
      <c r="H172" s="8"/>
    </row>
    <row r="173" spans="1:8" ht="14.25" customHeight="1" x14ac:dyDescent="0.25">
      <c r="A173" s="8"/>
      <c r="B173" s="8"/>
      <c r="C173" s="8"/>
      <c r="D173" s="8"/>
      <c r="E173" s="9"/>
      <c r="F173" s="8"/>
      <c r="G173" s="8"/>
      <c r="H173" s="8"/>
    </row>
    <row r="174" spans="1:8" ht="14.25" customHeight="1" x14ac:dyDescent="0.25">
      <c r="A174" s="8"/>
      <c r="B174" s="8"/>
      <c r="C174" s="8"/>
      <c r="D174" s="8"/>
      <c r="E174" s="9"/>
      <c r="F174" s="8"/>
      <c r="G174" s="8"/>
      <c r="H174" s="8"/>
    </row>
    <row r="175" spans="1:8" ht="14.25" customHeight="1" x14ac:dyDescent="0.25">
      <c r="A175" s="8"/>
      <c r="B175" s="8"/>
      <c r="C175" s="8"/>
      <c r="D175" s="8"/>
      <c r="E175" s="9"/>
      <c r="F175" s="8"/>
      <c r="G175" s="8"/>
      <c r="H175" s="8"/>
    </row>
    <row r="176" spans="1:8" ht="14.25" customHeight="1" x14ac:dyDescent="0.25">
      <c r="A176" s="8"/>
      <c r="B176" s="8"/>
      <c r="C176" s="8"/>
      <c r="D176" s="8"/>
      <c r="E176" s="9"/>
      <c r="F176" s="8"/>
      <c r="G176" s="8"/>
      <c r="H176" s="8"/>
    </row>
    <row r="177" spans="1:8" ht="14.25" customHeight="1" x14ac:dyDescent="0.25">
      <c r="A177" s="8"/>
      <c r="B177" s="8"/>
      <c r="C177" s="8"/>
      <c r="D177" s="8"/>
      <c r="E177" s="9"/>
      <c r="F177" s="8"/>
      <c r="G177" s="8"/>
      <c r="H177" s="8"/>
    </row>
    <row r="178" spans="1:8" ht="14.25" customHeight="1" x14ac:dyDescent="0.25">
      <c r="A178" s="8"/>
      <c r="B178" s="8"/>
      <c r="C178" s="8"/>
      <c r="D178" s="8"/>
      <c r="E178" s="9"/>
      <c r="F178" s="8"/>
      <c r="G178" s="8"/>
      <c r="H178" s="8"/>
    </row>
    <row r="179" spans="1:8" ht="14.25" customHeight="1" x14ac:dyDescent="0.25">
      <c r="A179" s="8"/>
      <c r="B179" s="8"/>
      <c r="C179" s="8"/>
      <c r="D179" s="8"/>
      <c r="E179" s="9"/>
      <c r="F179" s="8"/>
      <c r="G179" s="8"/>
      <c r="H179" s="8"/>
    </row>
    <row r="180" spans="1:8" ht="14.25" customHeight="1" x14ac:dyDescent="0.25">
      <c r="A180" s="8"/>
      <c r="B180" s="8"/>
      <c r="C180" s="8"/>
      <c r="D180" s="8"/>
      <c r="E180" s="9"/>
      <c r="F180" s="8"/>
      <c r="G180" s="8"/>
      <c r="H180" s="8"/>
    </row>
    <row r="181" spans="1:8" ht="14.25" customHeight="1" x14ac:dyDescent="0.25">
      <c r="A181" s="8"/>
      <c r="B181" s="8"/>
      <c r="C181" s="8"/>
      <c r="D181" s="8"/>
      <c r="E181" s="9"/>
      <c r="F181" s="8"/>
      <c r="G181" s="8"/>
      <c r="H181" s="8"/>
    </row>
    <row r="182" spans="1:8" ht="14.25" customHeight="1" x14ac:dyDescent="0.25">
      <c r="A182" s="8"/>
      <c r="B182" s="8"/>
      <c r="C182" s="8"/>
      <c r="D182" s="8"/>
      <c r="E182" s="9"/>
      <c r="F182" s="8"/>
      <c r="G182" s="8"/>
      <c r="H182" s="8"/>
    </row>
    <row r="183" spans="1:8" ht="14.25" customHeight="1" x14ac:dyDescent="0.25">
      <c r="A183" s="8"/>
      <c r="B183" s="8"/>
      <c r="C183" s="8"/>
      <c r="D183" s="8"/>
      <c r="E183" s="9"/>
      <c r="F183" s="8"/>
      <c r="G183" s="8"/>
      <c r="H183" s="8"/>
    </row>
    <row r="184" spans="1:8" ht="14.25" customHeight="1" x14ac:dyDescent="0.25">
      <c r="A184" s="8"/>
      <c r="B184" s="8"/>
      <c r="C184" s="8"/>
      <c r="D184" s="8"/>
      <c r="E184" s="9"/>
      <c r="F184" s="8"/>
      <c r="G184" s="8"/>
      <c r="H184" s="8"/>
    </row>
    <row r="185" spans="1:8" ht="14.25" customHeight="1" x14ac:dyDescent="0.25">
      <c r="A185" s="8"/>
      <c r="B185" s="8"/>
      <c r="C185" s="8"/>
      <c r="D185" s="8"/>
      <c r="E185" s="9"/>
      <c r="F185" s="8"/>
      <c r="G185" s="8"/>
      <c r="H185" s="8"/>
    </row>
    <row r="186" spans="1:8" ht="14.25" customHeight="1" x14ac:dyDescent="0.25">
      <c r="A186" s="8"/>
      <c r="B186" s="8"/>
      <c r="C186" s="8"/>
      <c r="D186" s="8"/>
      <c r="E186" s="9"/>
      <c r="F186" s="8"/>
      <c r="G186" s="8"/>
      <c r="H186" s="8"/>
    </row>
    <row r="187" spans="1:8" ht="14.25" customHeight="1" x14ac:dyDescent="0.25">
      <c r="A187" s="8"/>
      <c r="B187" s="8"/>
      <c r="C187" s="8"/>
      <c r="D187" s="8"/>
      <c r="E187" s="9"/>
      <c r="F187" s="8"/>
      <c r="G187" s="8"/>
      <c r="H187" s="8"/>
    </row>
    <row r="188" spans="1:8" ht="14.25" customHeight="1" x14ac:dyDescent="0.25">
      <c r="A188" s="8"/>
      <c r="B188" s="8"/>
      <c r="C188" s="8"/>
      <c r="D188" s="8"/>
      <c r="E188" s="9"/>
      <c r="F188" s="8"/>
      <c r="G188" s="8"/>
      <c r="H188" s="8"/>
    </row>
    <row r="189" spans="1:8" ht="14.25" customHeight="1" x14ac:dyDescent="0.25">
      <c r="A189" s="8"/>
      <c r="B189" s="8"/>
      <c r="C189" s="8"/>
      <c r="D189" s="8"/>
      <c r="E189" s="9"/>
      <c r="F189" s="8"/>
      <c r="G189" s="8"/>
      <c r="H189" s="8"/>
    </row>
    <row r="190" spans="1:8" ht="14.25" customHeight="1" x14ac:dyDescent="0.25">
      <c r="A190" s="8"/>
      <c r="B190" s="8"/>
      <c r="C190" s="8"/>
      <c r="D190" s="8"/>
      <c r="E190" s="9"/>
      <c r="F190" s="8"/>
      <c r="G190" s="8"/>
      <c r="H190" s="8"/>
    </row>
    <row r="191" spans="1:8" ht="14.25" customHeight="1" x14ac:dyDescent="0.25">
      <c r="A191" s="8"/>
      <c r="B191" s="8"/>
      <c r="C191" s="8"/>
      <c r="D191" s="8"/>
      <c r="E191" s="9"/>
      <c r="F191" s="8"/>
      <c r="G191" s="8"/>
      <c r="H191" s="8"/>
    </row>
    <row r="192" spans="1:8" ht="14.25" customHeight="1" x14ac:dyDescent="0.25">
      <c r="A192" s="8"/>
      <c r="B192" s="8"/>
      <c r="C192" s="8"/>
      <c r="D192" s="8"/>
      <c r="E192" s="9"/>
      <c r="F192" s="8"/>
      <c r="G192" s="8"/>
      <c r="H192" s="8"/>
    </row>
    <row r="193" spans="1:8" ht="14.25" customHeight="1" x14ac:dyDescent="0.25">
      <c r="A193" s="8"/>
      <c r="B193" s="8"/>
      <c r="C193" s="8"/>
      <c r="D193" s="8"/>
      <c r="E193" s="9"/>
      <c r="F193" s="8"/>
      <c r="G193" s="8"/>
      <c r="H193" s="8"/>
    </row>
    <row r="194" spans="1:8" ht="14.25" customHeight="1" x14ac:dyDescent="0.25">
      <c r="A194" s="8"/>
      <c r="B194" s="8"/>
      <c r="C194" s="8"/>
      <c r="D194" s="8"/>
      <c r="E194" s="9"/>
      <c r="F194" s="8"/>
      <c r="G194" s="8"/>
      <c r="H194" s="8"/>
    </row>
    <row r="195" spans="1:8" ht="14.25" customHeight="1" x14ac:dyDescent="0.25">
      <c r="A195" s="8"/>
      <c r="B195" s="8"/>
      <c r="C195" s="8"/>
      <c r="D195" s="8"/>
      <c r="E195" s="9"/>
      <c r="F195" s="8"/>
      <c r="G195" s="8"/>
      <c r="H195" s="8"/>
    </row>
    <row r="196" spans="1:8" ht="14.25" customHeight="1" x14ac:dyDescent="0.25">
      <c r="A196" s="8"/>
      <c r="B196" s="8"/>
      <c r="C196" s="8"/>
      <c r="D196" s="8"/>
      <c r="E196" s="9"/>
      <c r="F196" s="8"/>
      <c r="G196" s="8"/>
      <c r="H196" s="8"/>
    </row>
    <row r="197" spans="1:8" ht="14.25" customHeight="1" x14ac:dyDescent="0.25">
      <c r="A197" s="8"/>
      <c r="B197" s="8"/>
      <c r="C197" s="8"/>
      <c r="D197" s="8"/>
      <c r="E197" s="9"/>
      <c r="F197" s="8"/>
      <c r="G197" s="8"/>
      <c r="H197" s="8"/>
    </row>
    <row r="198" spans="1:8" ht="14.25" customHeight="1" x14ac:dyDescent="0.25">
      <c r="A198" s="8"/>
      <c r="B198" s="8"/>
      <c r="C198" s="8"/>
      <c r="D198" s="8"/>
      <c r="E198" s="9"/>
      <c r="F198" s="8"/>
      <c r="G198" s="8"/>
      <c r="H198" s="8"/>
    </row>
    <row r="199" spans="1:8" ht="14.25" customHeight="1" x14ac:dyDescent="0.25">
      <c r="A199" s="8"/>
      <c r="B199" s="8"/>
      <c r="C199" s="8"/>
      <c r="D199" s="8"/>
      <c r="E199" s="9"/>
      <c r="F199" s="8"/>
      <c r="G199" s="8"/>
      <c r="H199" s="8"/>
    </row>
    <row r="200" spans="1:8" ht="14.25" customHeight="1" x14ac:dyDescent="0.25">
      <c r="A200" s="8"/>
      <c r="B200" s="8"/>
      <c r="C200" s="8"/>
      <c r="D200" s="8"/>
      <c r="E200" s="9"/>
      <c r="F200" s="8"/>
      <c r="G200" s="8"/>
      <c r="H200" s="8"/>
    </row>
    <row r="201" spans="1:8" ht="14.25" customHeight="1" x14ac:dyDescent="0.25">
      <c r="A201" s="8"/>
      <c r="B201" s="8"/>
      <c r="C201" s="8"/>
      <c r="D201" s="8"/>
      <c r="E201" s="9"/>
      <c r="F201" s="8"/>
      <c r="G201" s="8"/>
      <c r="H201" s="8"/>
    </row>
    <row r="202" spans="1:8" ht="14.25" customHeight="1" x14ac:dyDescent="0.25">
      <c r="A202" s="8"/>
      <c r="B202" s="8"/>
      <c r="C202" s="8"/>
      <c r="D202" s="8"/>
      <c r="E202" s="9"/>
      <c r="F202" s="8"/>
      <c r="G202" s="8"/>
      <c r="H202" s="8"/>
    </row>
    <row r="203" spans="1:8" ht="14.25" customHeight="1" x14ac:dyDescent="0.25">
      <c r="A203" s="8"/>
      <c r="B203" s="8"/>
      <c r="C203" s="8"/>
      <c r="D203" s="8"/>
      <c r="E203" s="9"/>
      <c r="F203" s="8"/>
      <c r="G203" s="8"/>
      <c r="H203" s="8"/>
    </row>
    <row r="204" spans="1:8" ht="14.25" customHeight="1" x14ac:dyDescent="0.25">
      <c r="A204" s="8"/>
      <c r="B204" s="8"/>
      <c r="C204" s="8"/>
      <c r="D204" s="8"/>
      <c r="E204" s="9"/>
      <c r="F204" s="8"/>
      <c r="G204" s="8"/>
      <c r="H204" s="8"/>
    </row>
    <row r="205" spans="1:8" ht="14.25" customHeight="1" x14ac:dyDescent="0.25">
      <c r="A205" s="8"/>
      <c r="B205" s="8"/>
      <c r="C205" s="8"/>
      <c r="D205" s="8"/>
      <c r="E205" s="9"/>
      <c r="F205" s="8"/>
      <c r="G205" s="8"/>
      <c r="H205" s="8"/>
    </row>
    <row r="206" spans="1:8" ht="14.25" customHeight="1" x14ac:dyDescent="0.25">
      <c r="A206" s="8"/>
      <c r="B206" s="8"/>
      <c r="C206" s="8"/>
      <c r="D206" s="8"/>
      <c r="E206" s="9"/>
      <c r="F206" s="8"/>
      <c r="G206" s="8"/>
      <c r="H206" s="8"/>
    </row>
    <row r="207" spans="1:8" ht="14.25" customHeight="1" x14ac:dyDescent="0.25">
      <c r="A207" s="8"/>
      <c r="B207" s="8"/>
      <c r="C207" s="8"/>
      <c r="D207" s="8"/>
      <c r="E207" s="9"/>
      <c r="F207" s="8"/>
      <c r="G207" s="8"/>
      <c r="H207" s="8"/>
    </row>
    <row r="208" spans="1:8" ht="14.25" customHeight="1" x14ac:dyDescent="0.25">
      <c r="A208" s="8"/>
      <c r="B208" s="8"/>
      <c r="C208" s="8"/>
      <c r="D208" s="8"/>
      <c r="E208" s="9"/>
      <c r="F208" s="8"/>
      <c r="G208" s="8"/>
      <c r="H208" s="8"/>
    </row>
    <row r="209" spans="1:8" ht="14.25" customHeight="1" x14ac:dyDescent="0.25">
      <c r="A209" s="8"/>
      <c r="B209" s="8"/>
      <c r="C209" s="8"/>
      <c r="D209" s="8"/>
      <c r="E209" s="9"/>
      <c r="F209" s="8"/>
      <c r="G209" s="8"/>
      <c r="H209" s="8"/>
    </row>
    <row r="210" spans="1:8" ht="14.25" customHeight="1" x14ac:dyDescent="0.25">
      <c r="A210" s="8"/>
      <c r="B210" s="8"/>
      <c r="C210" s="8"/>
      <c r="D210" s="8"/>
      <c r="E210" s="9"/>
      <c r="F210" s="8"/>
      <c r="G210" s="8"/>
      <c r="H210" s="8"/>
    </row>
    <row r="211" spans="1:8" ht="14.25" customHeight="1" x14ac:dyDescent="0.25">
      <c r="A211" s="8"/>
      <c r="B211" s="8"/>
      <c r="C211" s="8"/>
      <c r="D211" s="8"/>
      <c r="E211" s="9"/>
      <c r="F211" s="8"/>
      <c r="G211" s="8"/>
      <c r="H211" s="8"/>
    </row>
    <row r="212" spans="1:8" ht="14.25" customHeight="1" x14ac:dyDescent="0.25">
      <c r="A212" s="8"/>
      <c r="B212" s="8"/>
      <c r="C212" s="8"/>
      <c r="D212" s="8"/>
      <c r="E212" s="9"/>
      <c r="F212" s="8"/>
      <c r="G212" s="8"/>
      <c r="H212" s="8"/>
    </row>
    <row r="213" spans="1:8" ht="14.25" customHeight="1" x14ac:dyDescent="0.25">
      <c r="A213" s="8"/>
      <c r="B213" s="8"/>
      <c r="C213" s="8"/>
      <c r="D213" s="8"/>
      <c r="E213" s="9"/>
      <c r="F213" s="8"/>
      <c r="G213" s="8"/>
      <c r="H213" s="8"/>
    </row>
    <row r="214" spans="1:8" ht="14.25" customHeight="1" x14ac:dyDescent="0.25">
      <c r="A214" s="8"/>
      <c r="B214" s="8"/>
      <c r="C214" s="8"/>
      <c r="D214" s="8"/>
      <c r="E214" s="9"/>
      <c r="F214" s="8"/>
      <c r="G214" s="8"/>
      <c r="H214" s="8"/>
    </row>
    <row r="215" spans="1:8" ht="14.25" customHeight="1" x14ac:dyDescent="0.25">
      <c r="A215" s="8"/>
      <c r="B215" s="8"/>
      <c r="C215" s="8"/>
      <c r="D215" s="8"/>
      <c r="E215" s="9"/>
      <c r="F215" s="8"/>
      <c r="G215" s="8"/>
      <c r="H215" s="8"/>
    </row>
    <row r="216" spans="1:8" ht="14.25" customHeight="1" x14ac:dyDescent="0.25">
      <c r="A216" s="8"/>
      <c r="B216" s="8"/>
      <c r="C216" s="8"/>
      <c r="D216" s="8"/>
      <c r="E216" s="9"/>
      <c r="F216" s="8"/>
      <c r="G216" s="8"/>
      <c r="H216" s="8"/>
    </row>
    <row r="217" spans="1:8" ht="14.25" customHeight="1" x14ac:dyDescent="0.25">
      <c r="A217" s="8"/>
      <c r="B217" s="8"/>
      <c r="C217" s="8"/>
      <c r="D217" s="8"/>
      <c r="E217" s="9"/>
      <c r="F217" s="8"/>
      <c r="G217" s="8"/>
      <c r="H217" s="8"/>
    </row>
    <row r="218" spans="1:8" ht="14.25" customHeight="1" x14ac:dyDescent="0.25">
      <c r="A218" s="8"/>
      <c r="B218" s="8"/>
      <c r="C218" s="8"/>
      <c r="D218" s="8"/>
      <c r="E218" s="9"/>
      <c r="F218" s="8"/>
      <c r="G218" s="8"/>
      <c r="H218" s="8"/>
    </row>
    <row r="219" spans="1:8" ht="14.25" customHeight="1" x14ac:dyDescent="0.25">
      <c r="A219" s="8"/>
      <c r="B219" s="8"/>
      <c r="C219" s="8"/>
      <c r="D219" s="8"/>
      <c r="E219" s="9"/>
      <c r="F219" s="8"/>
      <c r="G219" s="8"/>
      <c r="H219" s="8"/>
    </row>
    <row r="220" spans="1:8" ht="14.25" customHeight="1" x14ac:dyDescent="0.25">
      <c r="A220" s="8"/>
      <c r="B220" s="8"/>
      <c r="C220" s="8"/>
      <c r="D220" s="8"/>
      <c r="E220" s="9"/>
      <c r="F220" s="8"/>
      <c r="G220" s="8"/>
      <c r="H220" s="8"/>
    </row>
    <row r="221" spans="1:8" ht="14.25" customHeight="1" x14ac:dyDescent="0.25">
      <c r="A221" s="8"/>
      <c r="B221" s="8"/>
      <c r="C221" s="8"/>
      <c r="D221" s="8"/>
      <c r="E221" s="9"/>
      <c r="F221" s="8"/>
      <c r="G221" s="8"/>
      <c r="H221" s="8"/>
    </row>
    <row r="222" spans="1:8" ht="14.25" customHeight="1" x14ac:dyDescent="0.25">
      <c r="A222" s="8"/>
      <c r="B222" s="8"/>
      <c r="C222" s="8"/>
      <c r="D222" s="8"/>
      <c r="E222" s="9"/>
      <c r="F222" s="8"/>
      <c r="G222" s="8"/>
      <c r="H222" s="8"/>
    </row>
    <row r="223" spans="1:8" ht="14.25" customHeight="1" x14ac:dyDescent="0.25">
      <c r="A223" s="8"/>
      <c r="B223" s="8"/>
      <c r="C223" s="8"/>
      <c r="D223" s="8"/>
      <c r="E223" s="9"/>
      <c r="F223" s="8"/>
      <c r="G223" s="8"/>
      <c r="H223" s="8"/>
    </row>
    <row r="224" spans="1:8" ht="14.25" customHeight="1" x14ac:dyDescent="0.25">
      <c r="A224" s="8"/>
      <c r="B224" s="8"/>
      <c r="C224" s="8"/>
      <c r="D224" s="8"/>
      <c r="E224" s="9"/>
      <c r="F224" s="8"/>
      <c r="G224" s="8"/>
      <c r="H224" s="8"/>
    </row>
    <row r="225" spans="1:8" ht="14.25" customHeight="1" x14ac:dyDescent="0.25">
      <c r="A225" s="8"/>
      <c r="B225" s="8"/>
      <c r="C225" s="8"/>
      <c r="D225" s="8"/>
      <c r="E225" s="9"/>
      <c r="F225" s="8"/>
      <c r="G225" s="8"/>
      <c r="H225" s="8"/>
    </row>
    <row r="226" spans="1:8" ht="14.25" customHeight="1" x14ac:dyDescent="0.25">
      <c r="A226" s="8"/>
      <c r="B226" s="8"/>
      <c r="C226" s="8"/>
      <c r="D226" s="8"/>
      <c r="E226" s="9"/>
      <c r="F226" s="8"/>
      <c r="G226" s="8"/>
      <c r="H226" s="8"/>
    </row>
    <row r="227" spans="1:8" ht="14.25" customHeight="1" x14ac:dyDescent="0.25">
      <c r="A227" s="8"/>
      <c r="B227" s="8"/>
      <c r="C227" s="8"/>
      <c r="D227" s="8"/>
      <c r="E227" s="9"/>
      <c r="F227" s="8"/>
      <c r="G227" s="8"/>
      <c r="H227" s="8"/>
    </row>
    <row r="228" spans="1:8" ht="14.25" customHeight="1" x14ac:dyDescent="0.25">
      <c r="A228" s="8"/>
      <c r="B228" s="8"/>
      <c r="C228" s="8"/>
      <c r="D228" s="8"/>
      <c r="E228" s="9"/>
      <c r="F228" s="8"/>
      <c r="G228" s="8"/>
      <c r="H228" s="8"/>
    </row>
    <row r="229" spans="1:8" ht="14.25" customHeight="1" x14ac:dyDescent="0.25">
      <c r="A229" s="8"/>
      <c r="B229" s="8"/>
      <c r="C229" s="8"/>
      <c r="D229" s="8"/>
      <c r="E229" s="9"/>
      <c r="F229" s="8"/>
      <c r="G229" s="8"/>
      <c r="H229" s="8"/>
    </row>
    <row r="230" spans="1:8" ht="14.25" customHeight="1" x14ac:dyDescent="0.25">
      <c r="A230" s="8"/>
      <c r="B230" s="8"/>
      <c r="C230" s="8"/>
      <c r="D230" s="8"/>
      <c r="E230" s="9"/>
      <c r="F230" s="8"/>
      <c r="G230" s="8"/>
      <c r="H230" s="8"/>
    </row>
    <row r="231" spans="1:8" ht="14.25" customHeight="1" x14ac:dyDescent="0.25">
      <c r="A231" s="8"/>
      <c r="B231" s="8"/>
      <c r="C231" s="8"/>
      <c r="D231" s="8"/>
      <c r="E231" s="9"/>
      <c r="F231" s="8"/>
      <c r="G231" s="8"/>
      <c r="H231" s="8"/>
    </row>
    <row r="232" spans="1:8" ht="14.25" customHeight="1" x14ac:dyDescent="0.25">
      <c r="A232" s="8"/>
      <c r="B232" s="8"/>
      <c r="C232" s="8"/>
      <c r="D232" s="8"/>
      <c r="E232" s="9"/>
      <c r="F232" s="8"/>
      <c r="G232" s="8"/>
      <c r="H232" s="8"/>
    </row>
    <row r="233" spans="1:8" ht="14.25" customHeight="1" x14ac:dyDescent="0.25">
      <c r="A233" s="8"/>
      <c r="B233" s="8"/>
      <c r="C233" s="8"/>
      <c r="D233" s="8"/>
      <c r="E233" s="9"/>
      <c r="F233" s="8"/>
      <c r="G233" s="8"/>
      <c r="H233" s="8"/>
    </row>
    <row r="234" spans="1:8" ht="14.25" customHeight="1" x14ac:dyDescent="0.25">
      <c r="A234" s="8"/>
      <c r="B234" s="8"/>
      <c r="C234" s="8"/>
      <c r="D234" s="8"/>
      <c r="E234" s="9"/>
      <c r="F234" s="8"/>
      <c r="G234" s="8"/>
      <c r="H234" s="8"/>
    </row>
    <row r="235" spans="1:8" ht="14.25" customHeight="1" x14ac:dyDescent="0.25">
      <c r="A235" s="8"/>
      <c r="B235" s="8"/>
      <c r="C235" s="8"/>
      <c r="D235" s="8"/>
      <c r="E235" s="9"/>
      <c r="F235" s="8"/>
      <c r="G235" s="8"/>
      <c r="H235" s="8"/>
    </row>
    <row r="236" spans="1:8" ht="14.25" customHeight="1" x14ac:dyDescent="0.25">
      <c r="A236" s="8"/>
      <c r="B236" s="8"/>
      <c r="C236" s="8"/>
      <c r="D236" s="8"/>
      <c r="E236" s="9"/>
      <c r="F236" s="8"/>
      <c r="G236" s="8"/>
      <c r="H236" s="8"/>
    </row>
    <row r="237" spans="1:8" ht="14.25" customHeight="1" x14ac:dyDescent="0.25">
      <c r="A237" s="8"/>
      <c r="B237" s="8"/>
      <c r="C237" s="8"/>
      <c r="D237" s="8"/>
      <c r="E237" s="9"/>
      <c r="F237" s="8"/>
      <c r="G237" s="8"/>
      <c r="H237" s="8"/>
    </row>
    <row r="238" spans="1:8" ht="14.25" customHeight="1" x14ac:dyDescent="0.25">
      <c r="A238" s="8"/>
      <c r="B238" s="8"/>
      <c r="C238" s="8"/>
      <c r="D238" s="8"/>
      <c r="E238" s="9"/>
      <c r="F238" s="8"/>
      <c r="G238" s="8"/>
      <c r="H238" s="8"/>
    </row>
    <row r="239" spans="1:8" ht="14.25" customHeight="1" x14ac:dyDescent="0.25">
      <c r="A239" s="8"/>
      <c r="B239" s="8"/>
      <c r="C239" s="8"/>
      <c r="D239" s="8"/>
      <c r="E239" s="9"/>
      <c r="F239" s="8"/>
      <c r="G239" s="8"/>
      <c r="H239" s="8"/>
    </row>
    <row r="240" spans="1:8" ht="14.25" customHeight="1" x14ac:dyDescent="0.25">
      <c r="A240" s="8"/>
      <c r="B240" s="8"/>
      <c r="C240" s="8"/>
      <c r="D240" s="8"/>
      <c r="E240" s="9"/>
      <c r="F240" s="8"/>
      <c r="G240" s="8"/>
      <c r="H240" s="8"/>
    </row>
    <row r="241" spans="1:8" ht="14.25" customHeight="1" x14ac:dyDescent="0.25">
      <c r="A241" s="8"/>
      <c r="B241" s="8"/>
      <c r="C241" s="8"/>
      <c r="D241" s="8"/>
      <c r="E241" s="9"/>
      <c r="F241" s="8"/>
      <c r="G241" s="8"/>
      <c r="H241" s="8"/>
    </row>
    <row r="242" spans="1:8" ht="14.25" customHeight="1" x14ac:dyDescent="0.25">
      <c r="A242" s="8"/>
      <c r="B242" s="8"/>
      <c r="C242" s="8"/>
      <c r="D242" s="8"/>
      <c r="E242" s="9"/>
      <c r="F242" s="8"/>
      <c r="G242" s="8"/>
      <c r="H242" s="8"/>
    </row>
    <row r="243" spans="1:8" ht="14.25" customHeight="1" x14ac:dyDescent="0.25">
      <c r="A243" s="8"/>
      <c r="B243" s="8"/>
      <c r="C243" s="8"/>
      <c r="D243" s="8"/>
      <c r="E243" s="9"/>
      <c r="F243" s="8"/>
      <c r="G243" s="8"/>
      <c r="H243" s="8"/>
    </row>
    <row r="244" spans="1:8" ht="14.25" customHeight="1" x14ac:dyDescent="0.25">
      <c r="A244" s="8"/>
      <c r="B244" s="8"/>
      <c r="C244" s="8"/>
      <c r="D244" s="8"/>
      <c r="E244" s="9"/>
      <c r="F244" s="8"/>
      <c r="G244" s="8"/>
      <c r="H244" s="8"/>
    </row>
    <row r="245" spans="1:8" ht="14.25" customHeight="1" x14ac:dyDescent="0.25">
      <c r="A245" s="8"/>
      <c r="B245" s="8"/>
      <c r="C245" s="8"/>
      <c r="D245" s="8"/>
      <c r="E245" s="9"/>
      <c r="F245" s="8"/>
      <c r="G245" s="8"/>
      <c r="H245" s="8"/>
    </row>
    <row r="246" spans="1:8" ht="14.25" customHeight="1" x14ac:dyDescent="0.25">
      <c r="A246" s="8"/>
      <c r="B246" s="8"/>
      <c r="C246" s="8"/>
      <c r="D246" s="8"/>
      <c r="E246" s="9"/>
      <c r="F246" s="8"/>
      <c r="G246" s="8"/>
      <c r="H246" s="8"/>
    </row>
    <row r="247" spans="1:8" ht="14.25" customHeight="1" x14ac:dyDescent="0.25">
      <c r="A247" s="8"/>
      <c r="B247" s="8"/>
      <c r="C247" s="8"/>
      <c r="D247" s="8"/>
      <c r="E247" s="9"/>
      <c r="F247" s="8"/>
      <c r="G247" s="8"/>
      <c r="H247" s="8"/>
    </row>
    <row r="248" spans="1:8" ht="14.25" customHeight="1" x14ac:dyDescent="0.25">
      <c r="A248" s="8"/>
      <c r="B248" s="8"/>
      <c r="C248" s="8"/>
      <c r="D248" s="8"/>
      <c r="E248" s="9"/>
      <c r="F248" s="8"/>
      <c r="G248" s="8"/>
      <c r="H248" s="8"/>
    </row>
    <row r="249" spans="1:8" ht="14.25" customHeight="1" x14ac:dyDescent="0.25">
      <c r="A249" s="8"/>
      <c r="B249" s="8"/>
      <c r="C249" s="8"/>
      <c r="D249" s="8"/>
      <c r="E249" s="9"/>
      <c r="F249" s="8"/>
      <c r="G249" s="8"/>
      <c r="H249" s="8"/>
    </row>
    <row r="250" spans="1:8" ht="14.25" customHeight="1" x14ac:dyDescent="0.25">
      <c r="A250" s="8"/>
      <c r="B250" s="8"/>
      <c r="C250" s="8"/>
      <c r="D250" s="8"/>
      <c r="E250" s="9"/>
      <c r="F250" s="8"/>
      <c r="G250" s="8"/>
      <c r="H250" s="8"/>
    </row>
    <row r="251" spans="1:8" ht="14.25" customHeight="1" x14ac:dyDescent="0.25">
      <c r="A251" s="8"/>
      <c r="B251" s="8"/>
      <c r="C251" s="8"/>
      <c r="D251" s="8"/>
      <c r="E251" s="9"/>
      <c r="F251" s="8"/>
      <c r="G251" s="8"/>
      <c r="H251" s="8"/>
    </row>
    <row r="252" spans="1:8" ht="14.25" customHeight="1" x14ac:dyDescent="0.25">
      <c r="A252" s="8"/>
      <c r="B252" s="8"/>
      <c r="C252" s="8"/>
      <c r="D252" s="8"/>
      <c r="E252" s="9"/>
      <c r="F252" s="8"/>
      <c r="G252" s="8"/>
      <c r="H252" s="8"/>
    </row>
    <row r="253" spans="1:8" ht="14.25" customHeight="1" x14ac:dyDescent="0.25">
      <c r="A253" s="8"/>
      <c r="B253" s="8"/>
      <c r="C253" s="8"/>
      <c r="D253" s="8"/>
      <c r="E253" s="9"/>
      <c r="F253" s="8"/>
      <c r="G253" s="8"/>
      <c r="H253" s="8"/>
    </row>
    <row r="254" spans="1:8" ht="14.25" customHeight="1" x14ac:dyDescent="0.25">
      <c r="A254" s="8"/>
      <c r="B254" s="8"/>
      <c r="C254" s="8"/>
      <c r="D254" s="8"/>
      <c r="E254" s="9"/>
      <c r="F254" s="8"/>
      <c r="G254" s="8"/>
      <c r="H254" s="8"/>
    </row>
    <row r="255" spans="1:8" ht="14.25" customHeight="1" x14ac:dyDescent="0.25">
      <c r="A255" s="8"/>
      <c r="B255" s="8"/>
      <c r="C255" s="8"/>
      <c r="D255" s="8"/>
      <c r="E255" s="9"/>
      <c r="F255" s="8"/>
      <c r="G255" s="8"/>
      <c r="H255" s="8"/>
    </row>
    <row r="256" spans="1:8" ht="14.25" customHeight="1" x14ac:dyDescent="0.25">
      <c r="A256" s="8"/>
      <c r="B256" s="8"/>
      <c r="C256" s="8"/>
      <c r="D256" s="8"/>
      <c r="E256" s="9"/>
      <c r="F256" s="8"/>
      <c r="G256" s="8"/>
      <c r="H256" s="8"/>
    </row>
    <row r="257" spans="1:8" ht="14.25" customHeight="1" x14ac:dyDescent="0.25">
      <c r="A257" s="8"/>
      <c r="B257" s="8"/>
      <c r="C257" s="8"/>
      <c r="D257" s="8"/>
      <c r="E257" s="9"/>
      <c r="F257" s="8"/>
      <c r="G257" s="8"/>
      <c r="H257" s="8"/>
    </row>
    <row r="258" spans="1:8" ht="14.25" customHeight="1" x14ac:dyDescent="0.25">
      <c r="A258" s="8"/>
      <c r="B258" s="8"/>
      <c r="C258" s="8"/>
      <c r="D258" s="8"/>
      <c r="E258" s="9"/>
      <c r="F258" s="8"/>
      <c r="G258" s="8"/>
      <c r="H258" s="8"/>
    </row>
    <row r="259" spans="1:8" ht="14.25" customHeight="1" x14ac:dyDescent="0.25">
      <c r="A259" s="8"/>
      <c r="B259" s="8"/>
      <c r="C259" s="8"/>
      <c r="D259" s="8"/>
      <c r="E259" s="9"/>
      <c r="F259" s="8"/>
      <c r="G259" s="8"/>
      <c r="H259" s="8"/>
    </row>
    <row r="260" spans="1:8" ht="14.25" customHeight="1" x14ac:dyDescent="0.25">
      <c r="A260" s="8"/>
      <c r="B260" s="8"/>
      <c r="C260" s="8"/>
      <c r="D260" s="8"/>
      <c r="E260" s="9"/>
      <c r="F260" s="8"/>
      <c r="G260" s="8"/>
      <c r="H260" s="8"/>
    </row>
    <row r="261" spans="1:8" ht="14.25" customHeight="1" x14ac:dyDescent="0.25">
      <c r="A261" s="8"/>
      <c r="B261" s="8"/>
      <c r="C261" s="8"/>
      <c r="D261" s="8"/>
      <c r="E261" s="9"/>
      <c r="F261" s="8"/>
      <c r="G261" s="8"/>
      <c r="H261" s="8"/>
    </row>
    <row r="262" spans="1:8" ht="14.25" customHeight="1" x14ac:dyDescent="0.25">
      <c r="A262" s="8"/>
      <c r="B262" s="8"/>
      <c r="C262" s="8"/>
      <c r="D262" s="8"/>
      <c r="E262" s="9"/>
      <c r="F262" s="8"/>
      <c r="G262" s="8"/>
      <c r="H262" s="8"/>
    </row>
    <row r="263" spans="1:8" ht="14.25" customHeight="1" x14ac:dyDescent="0.25">
      <c r="A263" s="8"/>
      <c r="B263" s="8"/>
      <c r="C263" s="8"/>
      <c r="D263" s="8"/>
      <c r="E263" s="9"/>
      <c r="F263" s="8"/>
      <c r="G263" s="8"/>
      <c r="H263" s="8"/>
    </row>
    <row r="264" spans="1:8" ht="14.25" customHeight="1" x14ac:dyDescent="0.25">
      <c r="A264" s="8"/>
      <c r="B264" s="8"/>
      <c r="C264" s="8"/>
      <c r="D264" s="8"/>
      <c r="E264" s="9"/>
      <c r="F264" s="8"/>
      <c r="G264" s="8"/>
      <c r="H264" s="8"/>
    </row>
    <row r="265" spans="1:8" ht="14.25" customHeight="1" x14ac:dyDescent="0.25">
      <c r="A265" s="8"/>
      <c r="B265" s="8"/>
      <c r="C265" s="8"/>
      <c r="D265" s="8"/>
      <c r="E265" s="9"/>
      <c r="F265" s="8"/>
      <c r="G265" s="8"/>
      <c r="H265" s="8"/>
    </row>
    <row r="266" spans="1:8" ht="14.25" customHeight="1" x14ac:dyDescent="0.25">
      <c r="A266" s="8"/>
      <c r="B266" s="8"/>
      <c r="C266" s="8"/>
      <c r="D266" s="8"/>
      <c r="E266" s="9"/>
      <c r="F266" s="8"/>
      <c r="G266" s="8"/>
      <c r="H266" s="8"/>
    </row>
    <row r="267" spans="1:8" ht="14.25" customHeight="1" x14ac:dyDescent="0.25">
      <c r="A267" s="8"/>
      <c r="B267" s="8"/>
      <c r="C267" s="8"/>
      <c r="D267" s="8"/>
      <c r="E267" s="9"/>
      <c r="F267" s="8"/>
      <c r="G267" s="8"/>
      <c r="H267" s="8"/>
    </row>
    <row r="268" spans="1:8" ht="14.25" customHeight="1" x14ac:dyDescent="0.25">
      <c r="A268" s="8"/>
      <c r="B268" s="8"/>
      <c r="C268" s="8"/>
      <c r="D268" s="8"/>
      <c r="E268" s="9"/>
      <c r="F268" s="8"/>
      <c r="G268" s="8"/>
      <c r="H268" s="8"/>
    </row>
    <row r="269" spans="1:8" ht="14.25" customHeight="1" x14ac:dyDescent="0.25">
      <c r="A269" s="8"/>
      <c r="B269" s="8"/>
      <c r="C269" s="8"/>
      <c r="D269" s="8"/>
      <c r="E269" s="9"/>
      <c r="F269" s="8"/>
      <c r="G269" s="8"/>
      <c r="H269" s="8"/>
    </row>
    <row r="270" spans="1:8" ht="14.25" customHeight="1" x14ac:dyDescent="0.25">
      <c r="A270" s="8"/>
      <c r="B270" s="8"/>
      <c r="C270" s="8"/>
      <c r="D270" s="8"/>
      <c r="E270" s="9"/>
      <c r="F270" s="8"/>
      <c r="G270" s="8"/>
      <c r="H270" s="8"/>
    </row>
    <row r="271" spans="1:8" ht="14.25" customHeight="1" x14ac:dyDescent="0.25">
      <c r="A271" s="8"/>
      <c r="B271" s="8"/>
      <c r="C271" s="8"/>
      <c r="D271" s="8"/>
      <c r="E271" s="9"/>
      <c r="F271" s="8"/>
      <c r="G271" s="8"/>
      <c r="H271" s="8"/>
    </row>
    <row r="272" spans="1:8" ht="14.25" customHeight="1" x14ac:dyDescent="0.25">
      <c r="A272" s="8"/>
      <c r="B272" s="8"/>
      <c r="C272" s="8"/>
      <c r="D272" s="8"/>
      <c r="E272" s="9"/>
      <c r="F272" s="8"/>
      <c r="G272" s="8"/>
      <c r="H272" s="8"/>
    </row>
    <row r="273" spans="1:8" ht="14.25" customHeight="1" x14ac:dyDescent="0.25">
      <c r="A273" s="8"/>
      <c r="B273" s="8"/>
      <c r="C273" s="8"/>
      <c r="D273" s="8"/>
      <c r="E273" s="9"/>
      <c r="F273" s="8"/>
      <c r="G273" s="8"/>
      <c r="H273" s="8"/>
    </row>
    <row r="274" spans="1:8" ht="14.25" customHeight="1" x14ac:dyDescent="0.25">
      <c r="A274" s="8"/>
      <c r="B274" s="8"/>
      <c r="C274" s="8"/>
      <c r="D274" s="8"/>
      <c r="E274" s="9"/>
      <c r="F274" s="8"/>
      <c r="G274" s="8"/>
      <c r="H274" s="8"/>
    </row>
    <row r="275" spans="1:8" ht="14.25" customHeight="1" x14ac:dyDescent="0.25">
      <c r="A275" s="8"/>
      <c r="B275" s="8"/>
      <c r="C275" s="8"/>
      <c r="D275" s="8"/>
      <c r="E275" s="9"/>
      <c r="F275" s="8"/>
      <c r="G275" s="8"/>
      <c r="H275" s="8"/>
    </row>
    <row r="276" spans="1:8" ht="14.25" customHeight="1" x14ac:dyDescent="0.25">
      <c r="A276" s="8"/>
      <c r="B276" s="8"/>
      <c r="C276" s="8"/>
      <c r="D276" s="8"/>
      <c r="E276" s="9"/>
      <c r="F276" s="8"/>
      <c r="G276" s="8"/>
      <c r="H276" s="8"/>
    </row>
    <row r="277" spans="1:8" ht="14.25" customHeight="1" x14ac:dyDescent="0.25">
      <c r="A277" s="8"/>
      <c r="B277" s="8"/>
      <c r="C277" s="8"/>
      <c r="D277" s="8"/>
      <c r="E277" s="9"/>
      <c r="F277" s="8"/>
      <c r="G277" s="8"/>
      <c r="H277" s="8"/>
    </row>
    <row r="278" spans="1:8" ht="14.25" customHeight="1" x14ac:dyDescent="0.25">
      <c r="A278" s="8"/>
      <c r="B278" s="8"/>
      <c r="C278" s="8"/>
      <c r="D278" s="8"/>
      <c r="E278" s="9"/>
      <c r="F278" s="8"/>
      <c r="G278" s="8"/>
      <c r="H278" s="8"/>
    </row>
    <row r="279" spans="1:8" ht="14.25" customHeight="1" x14ac:dyDescent="0.25">
      <c r="A279" s="8"/>
      <c r="B279" s="8"/>
      <c r="C279" s="8"/>
      <c r="D279" s="8"/>
      <c r="E279" s="9"/>
      <c r="F279" s="8"/>
      <c r="G279" s="8"/>
      <c r="H279" s="8"/>
    </row>
    <row r="280" spans="1:8" ht="14.25" customHeight="1" x14ac:dyDescent="0.25">
      <c r="A280" s="8"/>
      <c r="B280" s="8"/>
      <c r="C280" s="8"/>
      <c r="D280" s="8"/>
      <c r="E280" s="9"/>
      <c r="F280" s="8"/>
      <c r="G280" s="8"/>
      <c r="H280" s="8"/>
    </row>
    <row r="281" spans="1:8" ht="14.25" customHeight="1" x14ac:dyDescent="0.25">
      <c r="A281" s="8"/>
      <c r="B281" s="8"/>
      <c r="C281" s="8"/>
      <c r="D281" s="8"/>
      <c r="E281" s="9"/>
      <c r="F281" s="8"/>
      <c r="G281" s="8"/>
      <c r="H281" s="8"/>
    </row>
    <row r="282" spans="1:8" ht="14.25" customHeight="1" x14ac:dyDescent="0.25">
      <c r="A282" s="8"/>
      <c r="B282" s="8"/>
      <c r="C282" s="8"/>
      <c r="D282" s="8"/>
      <c r="E282" s="9"/>
      <c r="F282" s="8"/>
      <c r="G282" s="8"/>
      <c r="H282" s="8"/>
    </row>
    <row r="283" spans="1:8" ht="14.25" customHeight="1" x14ac:dyDescent="0.25">
      <c r="A283" s="8"/>
      <c r="B283" s="8"/>
      <c r="C283" s="8"/>
      <c r="D283" s="8"/>
      <c r="E283" s="9"/>
      <c r="F283" s="8"/>
      <c r="G283" s="8"/>
      <c r="H283" s="8"/>
    </row>
    <row r="284" spans="1:8" ht="14.25" customHeight="1" x14ac:dyDescent="0.25">
      <c r="A284" s="8"/>
      <c r="B284" s="8"/>
      <c r="C284" s="8"/>
      <c r="D284" s="8"/>
      <c r="E284" s="9"/>
      <c r="F284" s="8"/>
      <c r="G284" s="8"/>
      <c r="H284" s="8"/>
    </row>
    <row r="285" spans="1:8" ht="14.25" customHeight="1" x14ac:dyDescent="0.25">
      <c r="A285" s="8"/>
      <c r="B285" s="8"/>
      <c r="C285" s="8"/>
      <c r="D285" s="8"/>
      <c r="E285" s="9"/>
      <c r="F285" s="8"/>
      <c r="G285" s="8"/>
      <c r="H285" s="8"/>
    </row>
    <row r="286" spans="1:8" ht="14.25" customHeight="1" x14ac:dyDescent="0.25">
      <c r="A286" s="8"/>
      <c r="B286" s="8"/>
      <c r="C286" s="8"/>
      <c r="D286" s="8"/>
      <c r="E286" s="9"/>
      <c r="F286" s="8"/>
      <c r="G286" s="8"/>
      <c r="H286" s="8"/>
    </row>
    <row r="287" spans="1:8" ht="14.25" customHeight="1" x14ac:dyDescent="0.25">
      <c r="A287" s="8"/>
      <c r="B287" s="8"/>
      <c r="C287" s="8"/>
      <c r="D287" s="8"/>
      <c r="E287" s="9"/>
      <c r="F287" s="8"/>
      <c r="G287" s="8"/>
      <c r="H287" s="8"/>
    </row>
    <row r="288" spans="1:8" ht="14.25" customHeight="1" x14ac:dyDescent="0.25">
      <c r="A288" s="8"/>
      <c r="B288" s="8"/>
      <c r="C288" s="8"/>
      <c r="D288" s="8"/>
      <c r="E288" s="9"/>
      <c r="F288" s="8"/>
      <c r="G288" s="8"/>
      <c r="H288" s="8"/>
    </row>
    <row r="289" spans="1:8" ht="14.25" customHeight="1" x14ac:dyDescent="0.25">
      <c r="A289" s="8"/>
      <c r="B289" s="8"/>
      <c r="C289" s="8"/>
      <c r="D289" s="8"/>
      <c r="E289" s="9"/>
      <c r="F289" s="8"/>
      <c r="G289" s="8"/>
      <c r="H289" s="8"/>
    </row>
    <row r="290" spans="1:8" ht="14.25" customHeight="1" x14ac:dyDescent="0.25">
      <c r="A290" s="8"/>
      <c r="B290" s="8"/>
      <c r="C290" s="8"/>
      <c r="D290" s="8"/>
      <c r="E290" s="9"/>
      <c r="F290" s="8"/>
      <c r="G290" s="8"/>
      <c r="H290" s="8"/>
    </row>
    <row r="291" spans="1:8" ht="14.25" customHeight="1" x14ac:dyDescent="0.25">
      <c r="A291" s="8"/>
      <c r="B291" s="8"/>
      <c r="C291" s="8"/>
      <c r="D291" s="8"/>
      <c r="E291" s="9"/>
      <c r="F291" s="8"/>
      <c r="G291" s="8"/>
      <c r="H291" s="8"/>
    </row>
    <row r="292" spans="1:8" ht="14.25" customHeight="1" x14ac:dyDescent="0.25">
      <c r="A292" s="8"/>
      <c r="B292" s="8"/>
      <c r="C292" s="8"/>
      <c r="D292" s="8"/>
      <c r="E292" s="9"/>
      <c r="F292" s="8"/>
      <c r="G292" s="8"/>
      <c r="H292" s="8"/>
    </row>
    <row r="293" spans="1:8" ht="14.25" customHeight="1" x14ac:dyDescent="0.25">
      <c r="A293" s="8"/>
      <c r="B293" s="8"/>
      <c r="C293" s="8"/>
      <c r="D293" s="8"/>
      <c r="E293" s="9"/>
      <c r="F293" s="8"/>
      <c r="G293" s="8"/>
      <c r="H293" s="8"/>
    </row>
    <row r="294" spans="1:8" ht="14.25" customHeight="1" x14ac:dyDescent="0.25">
      <c r="A294" s="8"/>
      <c r="B294" s="8"/>
      <c r="C294" s="8"/>
      <c r="D294" s="8"/>
      <c r="E294" s="9"/>
      <c r="F294" s="8"/>
      <c r="G294" s="8"/>
      <c r="H294" s="8"/>
    </row>
    <row r="295" spans="1:8" ht="14.25" customHeight="1" x14ac:dyDescent="0.25">
      <c r="A295" s="8"/>
      <c r="B295" s="8"/>
      <c r="C295" s="8"/>
      <c r="D295" s="8"/>
      <c r="E295" s="9"/>
      <c r="F295" s="8"/>
      <c r="G295" s="8"/>
      <c r="H295" s="8"/>
    </row>
    <row r="296" spans="1:8" ht="14.25" customHeight="1" x14ac:dyDescent="0.25">
      <c r="A296" s="8"/>
      <c r="B296" s="8"/>
      <c r="C296" s="8"/>
      <c r="D296" s="8"/>
      <c r="E296" s="9"/>
      <c r="F296" s="8"/>
      <c r="G296" s="8"/>
      <c r="H296" s="8"/>
    </row>
    <row r="297" spans="1:8" ht="14.25" customHeight="1" x14ac:dyDescent="0.25">
      <c r="A297" s="8"/>
      <c r="B297" s="8"/>
      <c r="C297" s="8"/>
      <c r="D297" s="8"/>
      <c r="E297" s="9"/>
      <c r="F297" s="8"/>
      <c r="G297" s="8"/>
      <c r="H297" s="8"/>
    </row>
    <row r="298" spans="1:8" ht="14.25" customHeight="1" x14ac:dyDescent="0.25">
      <c r="A298" s="8"/>
      <c r="B298" s="8"/>
      <c r="C298" s="8"/>
      <c r="D298" s="8"/>
      <c r="E298" s="9"/>
      <c r="F298" s="8"/>
      <c r="G298" s="8"/>
      <c r="H298" s="8"/>
    </row>
    <row r="299" spans="1:8" ht="14.25" customHeight="1" x14ac:dyDescent="0.25">
      <c r="A299" s="8"/>
      <c r="B299" s="8"/>
      <c r="C299" s="8"/>
      <c r="D299" s="8"/>
      <c r="E299" s="9"/>
      <c r="F299" s="8"/>
      <c r="G299" s="8"/>
      <c r="H299" s="8"/>
    </row>
    <row r="300" spans="1:8" ht="14.25" customHeight="1" x14ac:dyDescent="0.25">
      <c r="A300" s="8"/>
      <c r="B300" s="8"/>
      <c r="C300" s="8"/>
      <c r="D300" s="8"/>
      <c r="E300" s="9"/>
      <c r="F300" s="8"/>
      <c r="G300" s="8"/>
      <c r="H300" s="8"/>
    </row>
    <row r="301" spans="1:8" ht="14.25" customHeight="1" x14ac:dyDescent="0.25">
      <c r="A301" s="8"/>
      <c r="B301" s="8"/>
      <c r="C301" s="8"/>
      <c r="D301" s="8"/>
      <c r="E301" s="9"/>
      <c r="F301" s="8"/>
      <c r="G301" s="8"/>
      <c r="H301" s="8"/>
    </row>
    <row r="302" spans="1:8" ht="14.25" customHeight="1" x14ac:dyDescent="0.25">
      <c r="A302" s="8"/>
      <c r="B302" s="8"/>
      <c r="C302" s="8"/>
      <c r="D302" s="8"/>
      <c r="E302" s="9"/>
      <c r="F302" s="8"/>
      <c r="G302" s="8"/>
      <c r="H302" s="8"/>
    </row>
    <row r="303" spans="1:8" ht="14.25" customHeight="1" x14ac:dyDescent="0.25">
      <c r="A303" s="8"/>
      <c r="B303" s="8"/>
      <c r="C303" s="8"/>
      <c r="D303" s="8"/>
      <c r="E303" s="9"/>
      <c r="F303" s="8"/>
      <c r="G303" s="8"/>
      <c r="H303" s="8"/>
    </row>
    <row r="304" spans="1:8" ht="14.25" customHeight="1" x14ac:dyDescent="0.25">
      <c r="A304" s="8"/>
      <c r="B304" s="8"/>
      <c r="C304" s="8"/>
      <c r="D304" s="8"/>
      <c r="E304" s="9"/>
      <c r="F304" s="8"/>
      <c r="G304" s="8"/>
      <c r="H304" s="8"/>
    </row>
    <row r="305" spans="1:8" ht="14.25" customHeight="1" x14ac:dyDescent="0.25">
      <c r="A305" s="8"/>
      <c r="B305" s="8"/>
      <c r="C305" s="8"/>
      <c r="D305" s="8"/>
      <c r="E305" s="9"/>
      <c r="F305" s="8"/>
      <c r="G305" s="8"/>
      <c r="H305" s="8"/>
    </row>
    <row r="306" spans="1:8" ht="14.25" customHeight="1" x14ac:dyDescent="0.25">
      <c r="A306" s="8"/>
      <c r="B306" s="8"/>
      <c r="C306" s="8"/>
      <c r="D306" s="8"/>
      <c r="E306" s="9"/>
      <c r="F306" s="8"/>
      <c r="G306" s="8"/>
      <c r="H306" s="8"/>
    </row>
    <row r="307" spans="1:8" ht="14.25" customHeight="1" x14ac:dyDescent="0.25">
      <c r="A307" s="8"/>
      <c r="B307" s="8"/>
      <c r="C307" s="8"/>
      <c r="D307" s="8"/>
      <c r="E307" s="9"/>
      <c r="F307" s="8"/>
      <c r="G307" s="8"/>
      <c r="H307" s="8"/>
    </row>
    <row r="308" spans="1:8" ht="14.25" customHeight="1" x14ac:dyDescent="0.25">
      <c r="A308" s="8"/>
      <c r="B308" s="8"/>
      <c r="C308" s="8"/>
      <c r="D308" s="8"/>
      <c r="E308" s="9"/>
      <c r="F308" s="8"/>
      <c r="G308" s="8"/>
      <c r="H308" s="8"/>
    </row>
    <row r="309" spans="1:8" ht="14.25" customHeight="1" x14ac:dyDescent="0.25">
      <c r="A309" s="8"/>
      <c r="B309" s="8"/>
      <c r="C309" s="8"/>
      <c r="D309" s="8"/>
      <c r="E309" s="9"/>
      <c r="F309" s="8"/>
      <c r="G309" s="8"/>
      <c r="H309" s="8"/>
    </row>
    <row r="310" spans="1:8" ht="14.25" customHeight="1" x14ac:dyDescent="0.25">
      <c r="A310" s="8"/>
      <c r="B310" s="8"/>
      <c r="C310" s="8"/>
      <c r="D310" s="8"/>
      <c r="E310" s="9"/>
      <c r="F310" s="8"/>
      <c r="G310" s="8"/>
      <c r="H310" s="8"/>
    </row>
    <row r="311" spans="1:8" ht="14.25" customHeight="1" x14ac:dyDescent="0.25">
      <c r="A311" s="8"/>
      <c r="B311" s="8"/>
      <c r="C311" s="8"/>
      <c r="D311" s="8"/>
      <c r="E311" s="9"/>
      <c r="F311" s="8"/>
      <c r="G311" s="8"/>
      <c r="H311" s="8"/>
    </row>
    <row r="312" spans="1:8" ht="14.25" customHeight="1" x14ac:dyDescent="0.25">
      <c r="A312" s="8"/>
      <c r="B312" s="8"/>
      <c r="C312" s="8"/>
      <c r="D312" s="8"/>
      <c r="E312" s="9"/>
      <c r="F312" s="8"/>
      <c r="G312" s="8"/>
      <c r="H312" s="8"/>
    </row>
    <row r="313" spans="1:8" ht="14.25" customHeight="1" x14ac:dyDescent="0.25">
      <c r="A313" s="8"/>
      <c r="B313" s="8"/>
      <c r="C313" s="8"/>
      <c r="D313" s="8"/>
      <c r="E313" s="9"/>
      <c r="F313" s="8"/>
      <c r="G313" s="8"/>
      <c r="H313" s="8"/>
    </row>
    <row r="314" spans="1:8" ht="14.25" customHeight="1" x14ac:dyDescent="0.25">
      <c r="A314" s="8"/>
      <c r="B314" s="8"/>
      <c r="C314" s="8"/>
      <c r="D314" s="8"/>
      <c r="E314" s="9"/>
      <c r="F314" s="8"/>
      <c r="G314" s="8"/>
      <c r="H314" s="8"/>
    </row>
    <row r="315" spans="1:8" ht="14.25" customHeight="1" x14ac:dyDescent="0.25">
      <c r="A315" s="8"/>
      <c r="B315" s="8"/>
      <c r="C315" s="8"/>
      <c r="D315" s="8"/>
      <c r="E315" s="9"/>
      <c r="F315" s="8"/>
      <c r="G315" s="8"/>
      <c r="H315" s="8"/>
    </row>
    <row r="316" spans="1:8" ht="14.25" customHeight="1" x14ac:dyDescent="0.25">
      <c r="A316" s="8"/>
      <c r="B316" s="8"/>
      <c r="C316" s="8"/>
      <c r="D316" s="8"/>
      <c r="E316" s="9"/>
      <c r="F316" s="8"/>
      <c r="G316" s="8"/>
      <c r="H316" s="8"/>
    </row>
    <row r="317" spans="1:8" ht="14.25" customHeight="1" x14ac:dyDescent="0.25">
      <c r="A317" s="8"/>
      <c r="B317" s="8"/>
      <c r="C317" s="8"/>
      <c r="D317" s="8"/>
      <c r="E317" s="9"/>
      <c r="F317" s="8"/>
      <c r="G317" s="8"/>
      <c r="H317" s="8"/>
    </row>
    <row r="318" spans="1:8" ht="14.25" customHeight="1" x14ac:dyDescent="0.25">
      <c r="A318" s="8"/>
      <c r="B318" s="8"/>
      <c r="C318" s="8"/>
      <c r="D318" s="8"/>
      <c r="E318" s="9"/>
      <c r="F318" s="8"/>
      <c r="G318" s="8"/>
      <c r="H318" s="8"/>
    </row>
    <row r="319" spans="1:8" ht="14.25" customHeight="1" x14ac:dyDescent="0.25">
      <c r="A319" s="8"/>
      <c r="B319" s="8"/>
      <c r="C319" s="8"/>
      <c r="D319" s="8"/>
      <c r="E319" s="9"/>
      <c r="F319" s="8"/>
      <c r="G319" s="8"/>
      <c r="H319" s="8"/>
    </row>
    <row r="320" spans="1:8" ht="14.25" customHeight="1" x14ac:dyDescent="0.25">
      <c r="A320" s="8"/>
      <c r="B320" s="8"/>
      <c r="C320" s="8"/>
      <c r="D320" s="8"/>
      <c r="E320" s="9"/>
      <c r="F320" s="8"/>
      <c r="G320" s="8"/>
      <c r="H320" s="8"/>
    </row>
    <row r="321" spans="1:8" ht="14.25" customHeight="1" x14ac:dyDescent="0.25">
      <c r="A321" s="8"/>
      <c r="B321" s="8"/>
      <c r="C321" s="8"/>
      <c r="D321" s="8"/>
      <c r="E321" s="9"/>
      <c r="F321" s="8"/>
      <c r="G321" s="8"/>
      <c r="H321" s="8"/>
    </row>
    <row r="322" spans="1:8" ht="14.25" customHeight="1" x14ac:dyDescent="0.25">
      <c r="A322" s="8"/>
      <c r="B322" s="8"/>
      <c r="C322" s="8"/>
      <c r="D322" s="8"/>
      <c r="E322" s="9"/>
      <c r="F322" s="8"/>
      <c r="G322" s="8"/>
      <c r="H322" s="8"/>
    </row>
    <row r="323" spans="1:8" ht="14.25" customHeight="1" x14ac:dyDescent="0.25">
      <c r="A323" s="8"/>
      <c r="B323" s="8"/>
      <c r="C323" s="8"/>
      <c r="D323" s="8"/>
      <c r="E323" s="9"/>
      <c r="F323" s="8"/>
      <c r="G323" s="8"/>
      <c r="H323" s="8"/>
    </row>
    <row r="324" spans="1:8" ht="14.25" customHeight="1" x14ac:dyDescent="0.25">
      <c r="A324" s="8"/>
      <c r="B324" s="8"/>
      <c r="C324" s="8"/>
      <c r="D324" s="8"/>
      <c r="E324" s="9"/>
      <c r="F324" s="8"/>
      <c r="G324" s="8"/>
      <c r="H324" s="8"/>
    </row>
    <row r="325" spans="1:8" ht="14.25" customHeight="1" x14ac:dyDescent="0.25">
      <c r="A325" s="8"/>
      <c r="B325" s="8"/>
      <c r="C325" s="8"/>
      <c r="D325" s="8"/>
      <c r="E325" s="9"/>
      <c r="F325" s="8"/>
      <c r="G325" s="8"/>
      <c r="H325" s="8"/>
    </row>
    <row r="326" spans="1:8" ht="14.25" customHeight="1" x14ac:dyDescent="0.25">
      <c r="A326" s="8"/>
      <c r="B326" s="8"/>
      <c r="C326" s="8"/>
      <c r="D326" s="8"/>
      <c r="E326" s="9"/>
      <c r="F326" s="8"/>
      <c r="G326" s="8"/>
      <c r="H326" s="8"/>
    </row>
    <row r="327" spans="1:8" ht="14.25" customHeight="1" x14ac:dyDescent="0.25">
      <c r="A327" s="8"/>
      <c r="B327" s="8"/>
      <c r="C327" s="8"/>
      <c r="D327" s="8"/>
      <c r="E327" s="9"/>
      <c r="F327" s="8"/>
      <c r="G327" s="8"/>
      <c r="H327" s="8"/>
    </row>
    <row r="328" spans="1:8" ht="14.25" customHeight="1" x14ac:dyDescent="0.25">
      <c r="A328" s="8"/>
      <c r="B328" s="8"/>
      <c r="C328" s="8"/>
      <c r="D328" s="8"/>
      <c r="E328" s="9"/>
      <c r="F328" s="8"/>
      <c r="G328" s="8"/>
      <c r="H328" s="8"/>
    </row>
    <row r="329" spans="1:8" ht="14.25" customHeight="1" x14ac:dyDescent="0.25">
      <c r="A329" s="8"/>
      <c r="B329" s="8"/>
      <c r="C329" s="8"/>
      <c r="D329" s="8"/>
      <c r="E329" s="9"/>
      <c r="F329" s="8"/>
      <c r="G329" s="8"/>
      <c r="H329" s="8"/>
    </row>
    <row r="330" spans="1:8" ht="14.25" customHeight="1" x14ac:dyDescent="0.25">
      <c r="A330" s="8"/>
      <c r="B330" s="8"/>
      <c r="C330" s="8"/>
      <c r="D330" s="8"/>
      <c r="E330" s="9"/>
      <c r="F330" s="8"/>
      <c r="G330" s="8"/>
      <c r="H330" s="8"/>
    </row>
    <row r="331" spans="1:8" ht="14.25" customHeight="1" x14ac:dyDescent="0.25">
      <c r="A331" s="8"/>
      <c r="B331" s="8"/>
      <c r="C331" s="8"/>
      <c r="D331" s="8"/>
      <c r="E331" s="9"/>
      <c r="F331" s="8"/>
      <c r="G331" s="8"/>
      <c r="H331" s="8"/>
    </row>
    <row r="332" spans="1:8" ht="14.25" customHeight="1" x14ac:dyDescent="0.25">
      <c r="A332" s="8"/>
      <c r="B332" s="8"/>
      <c r="C332" s="8"/>
      <c r="D332" s="8"/>
      <c r="E332" s="9"/>
      <c r="F332" s="8"/>
      <c r="G332" s="8"/>
      <c r="H332" s="8"/>
    </row>
    <row r="333" spans="1:8" ht="14.25" customHeight="1" x14ac:dyDescent="0.25">
      <c r="A333" s="8"/>
      <c r="B333" s="8"/>
      <c r="C333" s="8"/>
      <c r="D333" s="8"/>
      <c r="E333" s="9"/>
      <c r="F333" s="8"/>
      <c r="G333" s="8"/>
      <c r="H333" s="8"/>
    </row>
    <row r="334" spans="1:8" ht="14.25" customHeight="1" x14ac:dyDescent="0.25">
      <c r="A334" s="8"/>
      <c r="B334" s="8"/>
      <c r="C334" s="8"/>
      <c r="D334" s="8"/>
      <c r="E334" s="9"/>
      <c r="F334" s="8"/>
      <c r="G334" s="8"/>
      <c r="H334" s="8"/>
    </row>
    <row r="335" spans="1:8" ht="14.25" customHeight="1" x14ac:dyDescent="0.25">
      <c r="A335" s="8"/>
      <c r="B335" s="8"/>
      <c r="C335" s="8"/>
      <c r="D335" s="8"/>
      <c r="E335" s="9"/>
      <c r="F335" s="8"/>
      <c r="G335" s="8"/>
      <c r="H335" s="8"/>
    </row>
    <row r="336" spans="1:8" ht="14.25" customHeight="1" x14ac:dyDescent="0.25">
      <c r="A336" s="8"/>
      <c r="B336" s="8"/>
      <c r="C336" s="8"/>
      <c r="D336" s="8"/>
      <c r="E336" s="9"/>
      <c r="F336" s="8"/>
      <c r="G336" s="8"/>
      <c r="H336" s="8"/>
    </row>
    <row r="337" spans="1:8" ht="14.25" customHeight="1" x14ac:dyDescent="0.25">
      <c r="A337" s="8"/>
      <c r="B337" s="8"/>
      <c r="C337" s="8"/>
      <c r="D337" s="8"/>
      <c r="E337" s="9"/>
      <c r="F337" s="8"/>
      <c r="G337" s="8"/>
      <c r="H337" s="8"/>
    </row>
    <row r="338" spans="1:8" ht="14.25" customHeight="1" x14ac:dyDescent="0.25">
      <c r="A338" s="8"/>
      <c r="B338" s="8"/>
      <c r="C338" s="8"/>
      <c r="D338" s="8"/>
      <c r="E338" s="9"/>
      <c r="F338" s="8"/>
      <c r="G338" s="8"/>
      <c r="H338" s="8"/>
    </row>
    <row r="339" spans="1:8" ht="14.25" customHeight="1" x14ac:dyDescent="0.25">
      <c r="A339" s="8"/>
      <c r="B339" s="8"/>
      <c r="C339" s="8"/>
      <c r="D339" s="8"/>
      <c r="E339" s="9"/>
      <c r="F339" s="8"/>
      <c r="G339" s="8"/>
      <c r="H339" s="8"/>
    </row>
    <row r="340" spans="1:8" ht="14.25" customHeight="1" x14ac:dyDescent="0.25">
      <c r="A340" s="8"/>
      <c r="B340" s="8"/>
      <c r="C340" s="8"/>
      <c r="D340" s="8"/>
      <c r="E340" s="9"/>
      <c r="F340" s="8"/>
      <c r="G340" s="8"/>
      <c r="H340" s="8"/>
    </row>
    <row r="341" spans="1:8" ht="14.25" customHeight="1" x14ac:dyDescent="0.25">
      <c r="A341" s="8"/>
      <c r="B341" s="8"/>
      <c r="C341" s="8"/>
      <c r="D341" s="8"/>
      <c r="E341" s="9"/>
      <c r="F341" s="8"/>
      <c r="G341" s="8"/>
      <c r="H341" s="8"/>
    </row>
    <row r="342" spans="1:8" ht="14.25" customHeight="1" x14ac:dyDescent="0.25">
      <c r="A342" s="8"/>
      <c r="B342" s="8"/>
      <c r="C342" s="8"/>
      <c r="D342" s="8"/>
      <c r="E342" s="9"/>
      <c r="F342" s="8"/>
      <c r="G342" s="8"/>
      <c r="H342" s="8"/>
    </row>
    <row r="343" spans="1:8" ht="14.25" customHeight="1" x14ac:dyDescent="0.25">
      <c r="A343" s="8"/>
      <c r="B343" s="8"/>
      <c r="C343" s="8"/>
      <c r="D343" s="8"/>
      <c r="E343" s="9"/>
      <c r="F343" s="8"/>
      <c r="G343" s="8"/>
      <c r="H343" s="8"/>
    </row>
    <row r="344" spans="1:8" ht="14.25" customHeight="1" x14ac:dyDescent="0.25">
      <c r="A344" s="8"/>
      <c r="B344" s="8"/>
      <c r="C344" s="8"/>
      <c r="D344" s="8"/>
      <c r="E344" s="9"/>
      <c r="F344" s="8"/>
      <c r="G344" s="8"/>
      <c r="H344" s="8"/>
    </row>
    <row r="345" spans="1:8" ht="14.25" customHeight="1" x14ac:dyDescent="0.25">
      <c r="A345" s="8"/>
      <c r="B345" s="8"/>
      <c r="C345" s="8"/>
      <c r="D345" s="8"/>
      <c r="E345" s="9"/>
      <c r="F345" s="8"/>
      <c r="G345" s="8"/>
      <c r="H345" s="8"/>
    </row>
    <row r="346" spans="1:8" ht="14.25" customHeight="1" x14ac:dyDescent="0.25">
      <c r="A346" s="8"/>
      <c r="B346" s="8"/>
      <c r="C346" s="8"/>
      <c r="D346" s="8"/>
      <c r="E346" s="9"/>
      <c r="F346" s="8"/>
      <c r="G346" s="8"/>
      <c r="H346" s="8"/>
    </row>
    <row r="347" spans="1:8" ht="14.25" customHeight="1" x14ac:dyDescent="0.25">
      <c r="A347" s="8"/>
      <c r="B347" s="8"/>
      <c r="C347" s="8"/>
      <c r="D347" s="8"/>
      <c r="E347" s="9"/>
      <c r="F347" s="8"/>
      <c r="G347" s="8"/>
      <c r="H347" s="8"/>
    </row>
    <row r="348" spans="1:8" ht="14.25" customHeight="1" x14ac:dyDescent="0.25">
      <c r="A348" s="8"/>
      <c r="B348" s="8"/>
      <c r="C348" s="8"/>
      <c r="D348" s="8"/>
      <c r="E348" s="9"/>
      <c r="F348" s="8"/>
      <c r="G348" s="8"/>
      <c r="H348" s="8"/>
    </row>
    <row r="349" spans="1:8" ht="14.25" customHeight="1" x14ac:dyDescent="0.25">
      <c r="A349" s="8"/>
      <c r="B349" s="8"/>
      <c r="C349" s="8"/>
      <c r="D349" s="8"/>
      <c r="E349" s="9"/>
      <c r="F349" s="8"/>
      <c r="G349" s="8"/>
      <c r="H349" s="8"/>
    </row>
    <row r="350" spans="1:8" ht="14.25" customHeight="1" x14ac:dyDescent="0.25">
      <c r="A350" s="8"/>
      <c r="B350" s="8"/>
      <c r="C350" s="8"/>
      <c r="D350" s="8"/>
      <c r="E350" s="9"/>
      <c r="F350" s="8"/>
      <c r="G350" s="8"/>
      <c r="H350" s="8"/>
    </row>
    <row r="351" spans="1:8" ht="14.25" customHeight="1" x14ac:dyDescent="0.25">
      <c r="A351" s="8"/>
      <c r="B351" s="8"/>
      <c r="C351" s="8"/>
      <c r="D351" s="8"/>
      <c r="E351" s="9"/>
      <c r="F351" s="8"/>
      <c r="G351" s="8"/>
      <c r="H351" s="8"/>
    </row>
    <row r="352" spans="1:8" ht="14.25" customHeight="1" x14ac:dyDescent="0.25">
      <c r="A352" s="8"/>
      <c r="B352" s="8"/>
      <c r="C352" s="8"/>
      <c r="D352" s="8"/>
      <c r="E352" s="9"/>
      <c r="F352" s="8"/>
      <c r="G352" s="8"/>
      <c r="H352" s="8"/>
    </row>
    <row r="353" spans="1:8" ht="14.25" customHeight="1" x14ac:dyDescent="0.25">
      <c r="A353" s="8"/>
      <c r="B353" s="8"/>
      <c r="C353" s="8"/>
      <c r="D353" s="8"/>
      <c r="E353" s="9"/>
      <c r="F353" s="8"/>
      <c r="G353" s="8"/>
      <c r="H353" s="8"/>
    </row>
    <row r="354" spans="1:8" ht="14.25" customHeight="1" x14ac:dyDescent="0.25">
      <c r="A354" s="8"/>
      <c r="B354" s="8"/>
      <c r="C354" s="8"/>
      <c r="D354" s="8"/>
      <c r="E354" s="9"/>
      <c r="F354" s="8"/>
      <c r="G354" s="8"/>
      <c r="H354" s="8"/>
    </row>
    <row r="355" spans="1:8" ht="14.25" customHeight="1" x14ac:dyDescent="0.25">
      <c r="A355" s="8"/>
      <c r="B355" s="8"/>
      <c r="C355" s="8"/>
      <c r="D355" s="8"/>
      <c r="E355" s="9"/>
      <c r="F355" s="8"/>
      <c r="G355" s="8"/>
      <c r="H355" s="8"/>
    </row>
    <row r="356" spans="1:8" ht="14.25" customHeight="1" x14ac:dyDescent="0.25">
      <c r="A356" s="8"/>
      <c r="B356" s="8"/>
      <c r="C356" s="8"/>
      <c r="D356" s="8"/>
      <c r="E356" s="9"/>
      <c r="F356" s="8"/>
      <c r="G356" s="8"/>
      <c r="H356" s="8"/>
    </row>
    <row r="357" spans="1:8" ht="14.25" customHeight="1" x14ac:dyDescent="0.25">
      <c r="A357" s="8"/>
      <c r="B357" s="8"/>
      <c r="C357" s="8"/>
      <c r="D357" s="8"/>
      <c r="E357" s="9"/>
      <c r="F357" s="8"/>
      <c r="G357" s="8"/>
      <c r="H357" s="8"/>
    </row>
    <row r="358" spans="1:8" ht="14.25" customHeight="1" x14ac:dyDescent="0.25">
      <c r="A358" s="8"/>
      <c r="B358" s="8"/>
      <c r="C358" s="8"/>
      <c r="D358" s="8"/>
      <c r="E358" s="9"/>
      <c r="F358" s="8"/>
      <c r="G358" s="8"/>
      <c r="H358" s="8"/>
    </row>
    <row r="359" spans="1:8" ht="14.25" customHeight="1" x14ac:dyDescent="0.25">
      <c r="A359" s="8"/>
      <c r="B359" s="8"/>
      <c r="C359" s="8"/>
      <c r="D359" s="8"/>
      <c r="E359" s="9"/>
      <c r="F359" s="8"/>
      <c r="G359" s="8"/>
      <c r="H359" s="8"/>
    </row>
    <row r="360" spans="1:8" ht="14.25" customHeight="1" x14ac:dyDescent="0.25">
      <c r="A360" s="8"/>
      <c r="B360" s="8"/>
      <c r="C360" s="8"/>
      <c r="D360" s="8"/>
      <c r="E360" s="9"/>
      <c r="F360" s="8"/>
      <c r="G360" s="8"/>
      <c r="H360" s="8"/>
    </row>
    <row r="361" spans="1:8" ht="14.25" customHeight="1" x14ac:dyDescent="0.25">
      <c r="A361" s="8"/>
      <c r="B361" s="8"/>
      <c r="C361" s="8"/>
      <c r="D361" s="8"/>
      <c r="E361" s="9"/>
      <c r="F361" s="8"/>
      <c r="G361" s="8"/>
      <c r="H361" s="8"/>
    </row>
    <row r="362" spans="1:8" ht="14.25" customHeight="1" x14ac:dyDescent="0.25">
      <c r="A362" s="8"/>
      <c r="B362" s="8"/>
      <c r="C362" s="8"/>
      <c r="D362" s="8"/>
      <c r="E362" s="9"/>
      <c r="F362" s="8"/>
      <c r="G362" s="8"/>
      <c r="H362" s="8"/>
    </row>
    <row r="363" spans="1:8" ht="14.25" customHeight="1" x14ac:dyDescent="0.25">
      <c r="A363" s="8"/>
      <c r="B363" s="8"/>
      <c r="C363" s="8"/>
      <c r="D363" s="8"/>
      <c r="E363" s="9"/>
      <c r="F363" s="8"/>
      <c r="G363" s="8"/>
      <c r="H363" s="8"/>
    </row>
    <row r="364" spans="1:8" ht="14.25" customHeight="1" x14ac:dyDescent="0.25">
      <c r="A364" s="8"/>
      <c r="B364" s="8"/>
      <c r="C364" s="8"/>
      <c r="D364" s="8"/>
      <c r="E364" s="9"/>
      <c r="F364" s="8"/>
      <c r="G364" s="8"/>
      <c r="H364" s="8"/>
    </row>
    <row r="365" spans="1:8" ht="14.25" customHeight="1" x14ac:dyDescent="0.25">
      <c r="A365" s="8"/>
      <c r="B365" s="8"/>
      <c r="C365" s="8"/>
      <c r="D365" s="8"/>
      <c r="E365" s="9"/>
      <c r="F365" s="8"/>
      <c r="G365" s="8"/>
      <c r="H365" s="8"/>
    </row>
    <row r="366" spans="1:8" ht="14.25" customHeight="1" x14ac:dyDescent="0.25">
      <c r="A366" s="8"/>
      <c r="B366" s="8"/>
      <c r="C366" s="8"/>
      <c r="D366" s="8"/>
      <c r="E366" s="9"/>
      <c r="F366" s="8"/>
      <c r="G366" s="8"/>
      <c r="H366" s="8"/>
    </row>
    <row r="367" spans="1:8" ht="14.25" customHeight="1" x14ac:dyDescent="0.25">
      <c r="A367" s="8"/>
      <c r="B367" s="8"/>
      <c r="C367" s="8"/>
      <c r="D367" s="8"/>
      <c r="E367" s="9"/>
      <c r="F367" s="8"/>
      <c r="G367" s="8"/>
      <c r="H367" s="8"/>
    </row>
    <row r="368" spans="1:8" ht="14.25" customHeight="1" x14ac:dyDescent="0.25">
      <c r="A368" s="8"/>
      <c r="B368" s="8"/>
      <c r="C368" s="8"/>
      <c r="D368" s="8"/>
      <c r="E368" s="9"/>
      <c r="F368" s="8"/>
      <c r="G368" s="8"/>
      <c r="H368" s="8"/>
    </row>
    <row r="369" spans="1:8" ht="14.25" customHeight="1" x14ac:dyDescent="0.25">
      <c r="A369" s="8"/>
      <c r="B369" s="8"/>
      <c r="C369" s="8"/>
      <c r="D369" s="8"/>
      <c r="E369" s="9"/>
      <c r="F369" s="8"/>
      <c r="G369" s="8"/>
      <c r="H369" s="8"/>
    </row>
    <row r="370" spans="1:8" ht="14.25" customHeight="1" x14ac:dyDescent="0.25">
      <c r="A370" s="8"/>
      <c r="B370" s="8"/>
      <c r="C370" s="8"/>
      <c r="D370" s="8"/>
      <c r="E370" s="9"/>
      <c r="F370" s="8"/>
      <c r="G370" s="8"/>
      <c r="H370" s="8"/>
    </row>
    <row r="371" spans="1:8" ht="14.25" customHeight="1" x14ac:dyDescent="0.25">
      <c r="A371" s="8"/>
      <c r="B371" s="8"/>
      <c r="C371" s="8"/>
      <c r="D371" s="8"/>
      <c r="E371" s="9"/>
      <c r="F371" s="8"/>
      <c r="G371" s="8"/>
      <c r="H371" s="8"/>
    </row>
    <row r="372" spans="1:8" ht="14.25" customHeight="1" x14ac:dyDescent="0.25">
      <c r="A372" s="8"/>
      <c r="B372" s="8"/>
      <c r="C372" s="8"/>
      <c r="D372" s="8"/>
      <c r="E372" s="9"/>
      <c r="F372" s="8"/>
      <c r="G372" s="8"/>
      <c r="H372" s="8"/>
    </row>
    <row r="373" spans="1:8" ht="14.25" customHeight="1" x14ac:dyDescent="0.25">
      <c r="A373" s="8"/>
      <c r="B373" s="8"/>
      <c r="C373" s="8"/>
      <c r="D373" s="8"/>
      <c r="E373" s="9"/>
      <c r="F373" s="8"/>
      <c r="G373" s="8"/>
      <c r="H373" s="8"/>
    </row>
    <row r="374" spans="1:8" ht="14.25" customHeight="1" x14ac:dyDescent="0.25">
      <c r="A374" s="8"/>
      <c r="B374" s="8"/>
      <c r="C374" s="8"/>
      <c r="D374" s="8"/>
      <c r="E374" s="9"/>
      <c r="F374" s="8"/>
      <c r="G374" s="8"/>
      <c r="H374" s="8"/>
    </row>
    <row r="375" spans="1:8" ht="14.25" customHeight="1" x14ac:dyDescent="0.25">
      <c r="A375" s="8"/>
      <c r="B375" s="8"/>
      <c r="C375" s="8"/>
      <c r="D375" s="8"/>
      <c r="E375" s="9"/>
      <c r="F375" s="8"/>
      <c r="G375" s="8"/>
      <c r="H375" s="8"/>
    </row>
    <row r="376" spans="1:8" ht="14.25" customHeight="1" x14ac:dyDescent="0.25">
      <c r="A376" s="8"/>
      <c r="B376" s="8"/>
      <c r="C376" s="8"/>
      <c r="D376" s="8"/>
      <c r="E376" s="9"/>
      <c r="F376" s="8"/>
      <c r="G376" s="8"/>
      <c r="H376" s="8"/>
    </row>
    <row r="377" spans="1:8" ht="14.25" customHeight="1" x14ac:dyDescent="0.25">
      <c r="A377" s="8"/>
      <c r="B377" s="8"/>
      <c r="C377" s="8"/>
      <c r="D377" s="8"/>
      <c r="E377" s="9"/>
      <c r="F377" s="8"/>
      <c r="G377" s="8"/>
      <c r="H377" s="8"/>
    </row>
    <row r="378" spans="1:8" ht="14.25" customHeight="1" x14ac:dyDescent="0.25">
      <c r="A378" s="8"/>
      <c r="B378" s="8"/>
      <c r="C378" s="8"/>
      <c r="D378" s="8"/>
      <c r="E378" s="9"/>
      <c r="F378" s="8"/>
      <c r="G378" s="8"/>
      <c r="H378" s="8"/>
    </row>
    <row r="379" spans="1:8" ht="14.25" customHeight="1" x14ac:dyDescent="0.25">
      <c r="A379" s="8"/>
      <c r="B379" s="8"/>
      <c r="C379" s="8"/>
      <c r="D379" s="8"/>
      <c r="E379" s="9"/>
      <c r="F379" s="8"/>
      <c r="G379" s="8"/>
      <c r="H379" s="8"/>
    </row>
    <row r="380" spans="1:8" ht="14.25" customHeight="1" x14ac:dyDescent="0.25">
      <c r="A380" s="8"/>
      <c r="B380" s="8"/>
      <c r="C380" s="8"/>
      <c r="D380" s="8"/>
      <c r="E380" s="9"/>
      <c r="F380" s="8"/>
      <c r="G380" s="8"/>
      <c r="H380" s="8"/>
    </row>
    <row r="381" spans="1:8" ht="14.25" customHeight="1" x14ac:dyDescent="0.25">
      <c r="A381" s="8"/>
      <c r="B381" s="8"/>
      <c r="C381" s="8"/>
      <c r="D381" s="8"/>
      <c r="E381" s="9"/>
      <c r="F381" s="8"/>
      <c r="G381" s="8"/>
      <c r="H381" s="8"/>
    </row>
    <row r="382" spans="1:8" ht="14.25" customHeight="1" x14ac:dyDescent="0.25">
      <c r="A382" s="8"/>
      <c r="B382" s="8"/>
      <c r="C382" s="8"/>
      <c r="D382" s="8"/>
      <c r="E382" s="9"/>
      <c r="F382" s="8"/>
      <c r="G382" s="8"/>
      <c r="H382" s="8"/>
    </row>
    <row r="383" spans="1:8" ht="14.25" customHeight="1" x14ac:dyDescent="0.25">
      <c r="A383" s="8"/>
      <c r="B383" s="8"/>
      <c r="C383" s="8"/>
      <c r="D383" s="8"/>
      <c r="E383" s="9"/>
      <c r="F383" s="8"/>
      <c r="G383" s="8"/>
      <c r="H383" s="8"/>
    </row>
    <row r="384" spans="1:8" ht="14.25" customHeight="1" x14ac:dyDescent="0.25">
      <c r="A384" s="8"/>
      <c r="B384" s="8"/>
      <c r="C384" s="8"/>
      <c r="D384" s="8"/>
      <c r="E384" s="9"/>
      <c r="F384" s="8"/>
      <c r="G384" s="8"/>
      <c r="H384" s="8"/>
    </row>
    <row r="385" spans="1:8" ht="14.25" customHeight="1" x14ac:dyDescent="0.25">
      <c r="A385" s="8"/>
      <c r="B385" s="8"/>
      <c r="C385" s="8"/>
      <c r="D385" s="8"/>
      <c r="E385" s="9"/>
      <c r="F385" s="8"/>
      <c r="G385" s="8"/>
      <c r="H385" s="8"/>
    </row>
    <row r="386" spans="1:8" ht="14.25" customHeight="1" x14ac:dyDescent="0.25">
      <c r="A386" s="8"/>
      <c r="B386" s="8"/>
      <c r="C386" s="8"/>
      <c r="D386" s="8"/>
      <c r="E386" s="9"/>
      <c r="F386" s="8"/>
      <c r="G386" s="8"/>
      <c r="H386" s="8"/>
    </row>
    <row r="387" spans="1:8" ht="14.25" customHeight="1" x14ac:dyDescent="0.25">
      <c r="A387" s="8"/>
      <c r="B387" s="8"/>
      <c r="C387" s="8"/>
      <c r="D387" s="8"/>
      <c r="E387" s="9"/>
      <c r="F387" s="8"/>
      <c r="G387" s="8"/>
      <c r="H387" s="8"/>
    </row>
    <row r="388" spans="1:8" ht="14.25" customHeight="1" x14ac:dyDescent="0.25">
      <c r="A388" s="8"/>
      <c r="B388" s="8"/>
      <c r="C388" s="8"/>
      <c r="D388" s="8"/>
      <c r="E388" s="9"/>
      <c r="F388" s="8"/>
      <c r="G388" s="8"/>
      <c r="H388" s="8"/>
    </row>
    <row r="389" spans="1:8" ht="14.25" customHeight="1" x14ac:dyDescent="0.25">
      <c r="A389" s="8"/>
      <c r="B389" s="8"/>
      <c r="C389" s="8"/>
      <c r="D389" s="8"/>
      <c r="E389" s="9"/>
      <c r="F389" s="8"/>
      <c r="G389" s="8"/>
      <c r="H389" s="8"/>
    </row>
    <row r="390" spans="1:8" ht="14.25" customHeight="1" x14ac:dyDescent="0.25">
      <c r="A390" s="8"/>
      <c r="B390" s="8"/>
      <c r="C390" s="8"/>
      <c r="D390" s="8"/>
      <c r="E390" s="9"/>
      <c r="F390" s="8"/>
      <c r="G390" s="8"/>
      <c r="H390" s="8"/>
    </row>
    <row r="391" spans="1:8" ht="14.25" customHeight="1" x14ac:dyDescent="0.25">
      <c r="A391" s="8"/>
      <c r="B391" s="8"/>
      <c r="C391" s="8"/>
      <c r="D391" s="8"/>
      <c r="E391" s="9"/>
      <c r="F391" s="8"/>
      <c r="G391" s="8"/>
      <c r="H391" s="8"/>
    </row>
    <row r="392" spans="1:8" ht="14.25" customHeight="1" x14ac:dyDescent="0.25">
      <c r="A392" s="8"/>
      <c r="B392" s="8"/>
      <c r="C392" s="8"/>
      <c r="D392" s="8"/>
      <c r="E392" s="9"/>
      <c r="F392" s="8"/>
      <c r="G392" s="8"/>
      <c r="H392" s="8"/>
    </row>
    <row r="393" spans="1:8" ht="14.25" customHeight="1" x14ac:dyDescent="0.25">
      <c r="A393" s="8"/>
      <c r="B393" s="8"/>
      <c r="C393" s="8"/>
      <c r="D393" s="8"/>
      <c r="E393" s="9"/>
      <c r="F393" s="8"/>
      <c r="G393" s="8"/>
      <c r="H393" s="8"/>
    </row>
    <row r="394" spans="1:8" ht="14.25" customHeight="1" x14ac:dyDescent="0.25">
      <c r="A394" s="8"/>
      <c r="B394" s="8"/>
      <c r="C394" s="8"/>
      <c r="D394" s="8"/>
      <c r="E394" s="9"/>
      <c r="F394" s="8"/>
      <c r="G394" s="8"/>
      <c r="H394" s="8"/>
    </row>
    <row r="395" spans="1:8" ht="14.25" customHeight="1" x14ac:dyDescent="0.25">
      <c r="A395" s="8"/>
      <c r="B395" s="8"/>
      <c r="C395" s="8"/>
      <c r="D395" s="8"/>
      <c r="E395" s="9"/>
      <c r="F395" s="8"/>
      <c r="G395" s="8"/>
      <c r="H395" s="8"/>
    </row>
    <row r="396" spans="1:8" ht="14.25" customHeight="1" x14ac:dyDescent="0.25">
      <c r="A396" s="8"/>
      <c r="B396" s="8"/>
      <c r="C396" s="8"/>
      <c r="D396" s="8"/>
      <c r="E396" s="9"/>
      <c r="F396" s="8"/>
      <c r="G396" s="8"/>
      <c r="H396" s="8"/>
    </row>
    <row r="397" spans="1:8" ht="14.25" customHeight="1" x14ac:dyDescent="0.25">
      <c r="A397" s="8"/>
      <c r="B397" s="8"/>
      <c r="C397" s="8"/>
      <c r="D397" s="8"/>
      <c r="E397" s="9"/>
      <c r="F397" s="8"/>
      <c r="G397" s="8"/>
      <c r="H397" s="8"/>
    </row>
    <row r="398" spans="1:8" ht="14.25" customHeight="1" x14ac:dyDescent="0.25">
      <c r="A398" s="8"/>
      <c r="B398" s="8"/>
      <c r="C398" s="8"/>
      <c r="D398" s="8"/>
      <c r="E398" s="9"/>
      <c r="F398" s="8"/>
      <c r="G398" s="8"/>
      <c r="H398" s="8"/>
    </row>
    <row r="399" spans="1:8" ht="14.25" customHeight="1" x14ac:dyDescent="0.25">
      <c r="A399" s="8"/>
      <c r="B399" s="8"/>
      <c r="C399" s="8"/>
      <c r="D399" s="8"/>
      <c r="E399" s="9"/>
      <c r="F399" s="8"/>
      <c r="G399" s="8"/>
      <c r="H399" s="8"/>
    </row>
    <row r="400" spans="1:8" ht="14.25" customHeight="1" x14ac:dyDescent="0.25">
      <c r="A400" s="8"/>
      <c r="B400" s="8"/>
      <c r="C400" s="8"/>
      <c r="D400" s="8"/>
      <c r="E400" s="9"/>
      <c r="F400" s="8"/>
      <c r="G400" s="8"/>
      <c r="H400" s="8"/>
    </row>
    <row r="401" spans="1:8" ht="14.25" customHeight="1" x14ac:dyDescent="0.25">
      <c r="A401" s="8"/>
      <c r="B401" s="8"/>
      <c r="C401" s="8"/>
      <c r="D401" s="8"/>
      <c r="E401" s="9"/>
      <c r="F401" s="8"/>
      <c r="G401" s="8"/>
      <c r="H401" s="8"/>
    </row>
    <row r="402" spans="1:8" ht="14.25" customHeight="1" x14ac:dyDescent="0.25">
      <c r="A402" s="8"/>
      <c r="B402" s="8"/>
      <c r="C402" s="8"/>
      <c r="D402" s="8"/>
      <c r="E402" s="9"/>
      <c r="F402" s="8"/>
      <c r="G402" s="8"/>
      <c r="H402" s="8"/>
    </row>
    <row r="403" spans="1:8" ht="14.25" customHeight="1" x14ac:dyDescent="0.25">
      <c r="A403" s="8"/>
      <c r="B403" s="8"/>
      <c r="C403" s="8"/>
      <c r="D403" s="8"/>
      <c r="E403" s="9"/>
      <c r="F403" s="8"/>
      <c r="G403" s="8"/>
      <c r="H403" s="8"/>
    </row>
    <row r="404" spans="1:8" ht="14.25" customHeight="1" x14ac:dyDescent="0.25">
      <c r="A404" s="8"/>
      <c r="B404" s="8"/>
      <c r="C404" s="8"/>
      <c r="D404" s="8"/>
      <c r="E404" s="9"/>
      <c r="F404" s="8"/>
      <c r="G404" s="8"/>
      <c r="H404" s="8"/>
    </row>
    <row r="405" spans="1:8" ht="14.25" customHeight="1" x14ac:dyDescent="0.25">
      <c r="A405" s="8"/>
      <c r="B405" s="8"/>
      <c r="C405" s="8"/>
      <c r="D405" s="8"/>
      <c r="E405" s="9"/>
      <c r="F405" s="8"/>
      <c r="G405" s="8"/>
      <c r="H405" s="8"/>
    </row>
    <row r="406" spans="1:8" ht="14.25" customHeight="1" x14ac:dyDescent="0.25">
      <c r="A406" s="8"/>
      <c r="B406" s="8"/>
      <c r="C406" s="8"/>
      <c r="D406" s="8"/>
      <c r="E406" s="9"/>
      <c r="F406" s="8"/>
      <c r="G406" s="8"/>
      <c r="H406" s="8"/>
    </row>
    <row r="407" spans="1:8" ht="14.25" customHeight="1" x14ac:dyDescent="0.25">
      <c r="A407" s="8"/>
      <c r="B407" s="8"/>
      <c r="C407" s="8"/>
      <c r="D407" s="8"/>
      <c r="E407" s="9"/>
      <c r="F407" s="8"/>
      <c r="G407" s="8"/>
      <c r="H407" s="8"/>
    </row>
    <row r="408" spans="1:8" ht="14.25" customHeight="1" x14ac:dyDescent="0.25">
      <c r="A408" s="8"/>
      <c r="B408" s="8"/>
      <c r="C408" s="8"/>
      <c r="D408" s="8"/>
      <c r="E408" s="9"/>
      <c r="F408" s="8"/>
      <c r="G408" s="8"/>
      <c r="H408" s="8"/>
    </row>
    <row r="409" spans="1:8" ht="14.25" customHeight="1" x14ac:dyDescent="0.25">
      <c r="A409" s="8"/>
      <c r="B409" s="8"/>
      <c r="C409" s="8"/>
      <c r="D409" s="8"/>
      <c r="E409" s="9"/>
      <c r="F409" s="8"/>
      <c r="G409" s="8"/>
      <c r="H409" s="8"/>
    </row>
    <row r="410" spans="1:8" ht="14.25" customHeight="1" x14ac:dyDescent="0.25">
      <c r="A410" s="8"/>
      <c r="B410" s="8"/>
      <c r="C410" s="8"/>
      <c r="D410" s="8"/>
      <c r="E410" s="9"/>
      <c r="F410" s="8"/>
      <c r="G410" s="8"/>
      <c r="H410" s="8"/>
    </row>
    <row r="411" spans="1:8" ht="14.25" customHeight="1" x14ac:dyDescent="0.25">
      <c r="A411" s="8"/>
      <c r="B411" s="8"/>
      <c r="C411" s="8"/>
      <c r="D411" s="8"/>
      <c r="E411" s="9"/>
      <c r="F411" s="8"/>
      <c r="G411" s="8"/>
      <c r="H411" s="8"/>
    </row>
    <row r="412" spans="1:8" ht="14.25" customHeight="1" x14ac:dyDescent="0.25">
      <c r="A412" s="8"/>
      <c r="B412" s="8"/>
      <c r="C412" s="8"/>
      <c r="D412" s="8"/>
      <c r="E412" s="9"/>
      <c r="F412" s="8"/>
      <c r="G412" s="8"/>
      <c r="H412" s="8"/>
    </row>
    <row r="413" spans="1:8" ht="14.25" customHeight="1" x14ac:dyDescent="0.25">
      <c r="A413" s="8"/>
      <c r="B413" s="8"/>
      <c r="C413" s="8"/>
      <c r="D413" s="8"/>
      <c r="E413" s="9"/>
      <c r="F413" s="8"/>
      <c r="G413" s="8"/>
      <c r="H413" s="8"/>
    </row>
    <row r="414" spans="1:8" ht="14.25" customHeight="1" x14ac:dyDescent="0.25">
      <c r="A414" s="8"/>
      <c r="B414" s="8"/>
      <c r="C414" s="8"/>
      <c r="D414" s="8"/>
      <c r="E414" s="9"/>
      <c r="F414" s="8"/>
      <c r="G414" s="8"/>
      <c r="H414" s="8"/>
    </row>
    <row r="415" spans="1:8" ht="14.25" customHeight="1" x14ac:dyDescent="0.25">
      <c r="A415" s="8"/>
      <c r="B415" s="8"/>
      <c r="C415" s="8"/>
      <c r="D415" s="8"/>
      <c r="E415" s="9"/>
      <c r="F415" s="8"/>
      <c r="G415" s="8"/>
      <c r="H415" s="8"/>
    </row>
    <row r="416" spans="1:8" ht="14.25" customHeight="1" x14ac:dyDescent="0.25">
      <c r="A416" s="8"/>
      <c r="B416" s="8"/>
      <c r="C416" s="8"/>
      <c r="D416" s="8"/>
      <c r="E416" s="9"/>
      <c r="F416" s="8"/>
      <c r="G416" s="8"/>
      <c r="H416" s="8"/>
    </row>
    <row r="417" spans="1:8" ht="14.25" customHeight="1" x14ac:dyDescent="0.25">
      <c r="A417" s="8"/>
      <c r="B417" s="8"/>
      <c r="C417" s="8"/>
      <c r="D417" s="8"/>
      <c r="E417" s="9"/>
      <c r="F417" s="8"/>
      <c r="G417" s="8"/>
      <c r="H417" s="8"/>
    </row>
    <row r="418" spans="1:8" ht="14.25" customHeight="1" x14ac:dyDescent="0.25">
      <c r="A418" s="8"/>
      <c r="B418" s="8"/>
      <c r="C418" s="8"/>
      <c r="D418" s="8"/>
      <c r="E418" s="9"/>
      <c r="F418" s="8"/>
      <c r="G418" s="8"/>
      <c r="H418" s="8"/>
    </row>
    <row r="419" spans="1:8" ht="14.25" customHeight="1" x14ac:dyDescent="0.25">
      <c r="A419" s="8"/>
      <c r="B419" s="8"/>
      <c r="C419" s="8"/>
      <c r="D419" s="8"/>
      <c r="E419" s="9"/>
      <c r="F419" s="8"/>
      <c r="G419" s="8"/>
      <c r="H419" s="8"/>
    </row>
    <row r="420" spans="1:8" ht="14.25" customHeight="1" x14ac:dyDescent="0.25">
      <c r="A420" s="8"/>
      <c r="B420" s="8"/>
      <c r="C420" s="8"/>
      <c r="D420" s="8"/>
      <c r="E420" s="9"/>
      <c r="F420" s="8"/>
      <c r="G420" s="8"/>
      <c r="H420" s="8"/>
    </row>
    <row r="421" spans="1:8" ht="14.25" customHeight="1" x14ac:dyDescent="0.25">
      <c r="A421" s="8"/>
      <c r="B421" s="8"/>
      <c r="C421" s="8"/>
      <c r="D421" s="8"/>
      <c r="E421" s="9"/>
      <c r="F421" s="8"/>
      <c r="G421" s="8"/>
      <c r="H421" s="8"/>
    </row>
    <row r="422" spans="1:8" ht="14.25" customHeight="1" x14ac:dyDescent="0.25">
      <c r="A422" s="8"/>
      <c r="B422" s="8"/>
      <c r="C422" s="8"/>
      <c r="D422" s="8"/>
      <c r="E422" s="9"/>
      <c r="F422" s="8"/>
      <c r="G422" s="8"/>
      <c r="H422" s="8"/>
    </row>
    <row r="423" spans="1:8" ht="14.25" customHeight="1" x14ac:dyDescent="0.25">
      <c r="A423" s="8"/>
      <c r="B423" s="8"/>
      <c r="C423" s="8"/>
      <c r="D423" s="8"/>
      <c r="E423" s="9"/>
      <c r="F423" s="8"/>
      <c r="G423" s="8"/>
      <c r="H423" s="8"/>
    </row>
    <row r="424" spans="1:8" ht="14.25" customHeight="1" x14ac:dyDescent="0.25">
      <c r="A424" s="8"/>
      <c r="B424" s="8"/>
      <c r="C424" s="8"/>
      <c r="D424" s="8"/>
      <c r="E424" s="9"/>
      <c r="F424" s="8"/>
      <c r="G424" s="8"/>
      <c r="H424" s="8"/>
    </row>
    <row r="425" spans="1:8" ht="14.25" customHeight="1" x14ac:dyDescent="0.25">
      <c r="A425" s="8"/>
      <c r="B425" s="8"/>
      <c r="C425" s="8"/>
      <c r="D425" s="8"/>
      <c r="E425" s="9"/>
      <c r="F425" s="8"/>
      <c r="G425" s="8"/>
      <c r="H425" s="8"/>
    </row>
    <row r="426" spans="1:8" ht="14.25" customHeight="1" x14ac:dyDescent="0.25">
      <c r="A426" s="8"/>
      <c r="B426" s="8"/>
      <c r="C426" s="8"/>
      <c r="D426" s="8"/>
      <c r="E426" s="9"/>
      <c r="F426" s="8"/>
      <c r="G426" s="8"/>
      <c r="H426" s="8"/>
    </row>
    <row r="427" spans="1:8" ht="14.25" customHeight="1" x14ac:dyDescent="0.25">
      <c r="A427" s="8"/>
      <c r="B427" s="8"/>
      <c r="C427" s="8"/>
      <c r="D427" s="8"/>
      <c r="E427" s="9"/>
      <c r="F427" s="8"/>
      <c r="G427" s="8"/>
      <c r="H427" s="8"/>
    </row>
    <row r="428" spans="1:8" ht="14.25" customHeight="1" x14ac:dyDescent="0.25">
      <c r="A428" s="8"/>
      <c r="B428" s="8"/>
      <c r="C428" s="8"/>
      <c r="D428" s="8"/>
      <c r="E428" s="9"/>
      <c r="F428" s="8"/>
      <c r="G428" s="8"/>
      <c r="H428" s="8"/>
    </row>
    <row r="429" spans="1:8" ht="14.25" customHeight="1" x14ac:dyDescent="0.25">
      <c r="A429" s="8"/>
      <c r="B429" s="8"/>
      <c r="C429" s="8"/>
      <c r="D429" s="8"/>
      <c r="E429" s="9"/>
      <c r="F429" s="8"/>
      <c r="G429" s="8"/>
      <c r="H429" s="8"/>
    </row>
    <row r="430" spans="1:8" ht="14.25" customHeight="1" x14ac:dyDescent="0.25">
      <c r="A430" s="8"/>
      <c r="B430" s="8"/>
      <c r="C430" s="8"/>
      <c r="D430" s="8"/>
      <c r="E430" s="9"/>
      <c r="F430" s="8"/>
      <c r="G430" s="8"/>
      <c r="H430" s="8"/>
    </row>
    <row r="431" spans="1:8" ht="14.25" customHeight="1" x14ac:dyDescent="0.25">
      <c r="A431" s="8"/>
      <c r="B431" s="8"/>
      <c r="C431" s="8"/>
      <c r="D431" s="8"/>
      <c r="E431" s="9"/>
      <c r="F431" s="8"/>
      <c r="G431" s="8"/>
      <c r="H431" s="8"/>
    </row>
    <row r="432" spans="1:8" ht="14.25" customHeight="1" x14ac:dyDescent="0.25">
      <c r="A432" s="8"/>
      <c r="B432" s="8"/>
      <c r="C432" s="8"/>
      <c r="D432" s="8"/>
      <c r="E432" s="9"/>
      <c r="F432" s="8"/>
      <c r="G432" s="8"/>
      <c r="H432" s="8"/>
    </row>
    <row r="433" spans="1:8" ht="14.25" customHeight="1" x14ac:dyDescent="0.25">
      <c r="A433" s="8"/>
      <c r="B433" s="8"/>
      <c r="C433" s="8"/>
      <c r="D433" s="8"/>
      <c r="E433" s="9"/>
      <c r="F433" s="8"/>
      <c r="G433" s="8"/>
      <c r="H433" s="8"/>
    </row>
    <row r="434" spans="1:8" ht="14.25" customHeight="1" x14ac:dyDescent="0.25">
      <c r="A434" s="8"/>
      <c r="B434" s="8"/>
      <c r="C434" s="8"/>
      <c r="D434" s="8"/>
      <c r="E434" s="9"/>
      <c r="F434" s="8"/>
      <c r="G434" s="8"/>
      <c r="H434" s="8"/>
    </row>
    <row r="435" spans="1:8" ht="14.25" customHeight="1" x14ac:dyDescent="0.25">
      <c r="A435" s="8"/>
      <c r="B435" s="8"/>
      <c r="C435" s="8"/>
      <c r="D435" s="8"/>
      <c r="E435" s="9"/>
      <c r="F435" s="8"/>
      <c r="G435" s="8"/>
      <c r="H435" s="8"/>
    </row>
    <row r="436" spans="1:8" ht="14.25" customHeight="1" x14ac:dyDescent="0.25">
      <c r="A436" s="8"/>
      <c r="B436" s="8"/>
      <c r="C436" s="8"/>
      <c r="D436" s="8"/>
      <c r="E436" s="9"/>
      <c r="F436" s="8"/>
      <c r="G436" s="8"/>
      <c r="H436" s="8"/>
    </row>
    <row r="437" spans="1:8" ht="14.25" customHeight="1" x14ac:dyDescent="0.25">
      <c r="A437" s="8"/>
      <c r="B437" s="8"/>
      <c r="C437" s="8"/>
      <c r="D437" s="8"/>
      <c r="E437" s="9"/>
      <c r="F437" s="8"/>
      <c r="G437" s="8"/>
      <c r="H437" s="8"/>
    </row>
    <row r="438" spans="1:8" ht="14.25" customHeight="1" x14ac:dyDescent="0.25">
      <c r="A438" s="8"/>
      <c r="B438" s="8"/>
      <c r="C438" s="8"/>
      <c r="D438" s="8"/>
      <c r="E438" s="9"/>
      <c r="F438" s="8"/>
      <c r="G438" s="8"/>
      <c r="H438" s="8"/>
    </row>
    <row r="439" spans="1:8" ht="14.25" customHeight="1" x14ac:dyDescent="0.25">
      <c r="A439" s="8"/>
      <c r="B439" s="8"/>
      <c r="C439" s="8"/>
      <c r="D439" s="8"/>
      <c r="E439" s="9"/>
      <c r="F439" s="8"/>
      <c r="G439" s="8"/>
      <c r="H439" s="8"/>
    </row>
    <row r="440" spans="1:8" ht="14.25" customHeight="1" x14ac:dyDescent="0.25">
      <c r="A440" s="8"/>
      <c r="B440" s="8"/>
      <c r="C440" s="8"/>
      <c r="D440" s="8"/>
      <c r="E440" s="9"/>
      <c r="F440" s="8"/>
      <c r="G440" s="8"/>
      <c r="H440" s="8"/>
    </row>
    <row r="441" spans="1:8" ht="14.25" customHeight="1" x14ac:dyDescent="0.25">
      <c r="A441" s="8"/>
      <c r="B441" s="8"/>
      <c r="C441" s="8"/>
      <c r="D441" s="8"/>
      <c r="E441" s="9"/>
      <c r="F441" s="8"/>
      <c r="G441" s="8"/>
      <c r="H441" s="8"/>
    </row>
    <row r="442" spans="1:8" ht="14.25" customHeight="1" x14ac:dyDescent="0.25">
      <c r="A442" s="8"/>
      <c r="B442" s="8"/>
      <c r="C442" s="8"/>
      <c r="D442" s="8"/>
      <c r="E442" s="9"/>
      <c r="F442" s="8"/>
      <c r="G442" s="8"/>
      <c r="H442" s="8"/>
    </row>
    <row r="443" spans="1:8" ht="14.25" customHeight="1" x14ac:dyDescent="0.25">
      <c r="A443" s="8"/>
      <c r="B443" s="8"/>
      <c r="C443" s="8"/>
      <c r="D443" s="8"/>
      <c r="E443" s="9"/>
      <c r="F443" s="8"/>
      <c r="G443" s="8"/>
      <c r="H443" s="8"/>
    </row>
    <row r="444" spans="1:8" ht="14.25" customHeight="1" x14ac:dyDescent="0.25">
      <c r="A444" s="8"/>
      <c r="B444" s="8"/>
      <c r="C444" s="8"/>
      <c r="D444" s="8"/>
      <c r="E444" s="9"/>
      <c r="F444" s="8"/>
      <c r="G444" s="8"/>
      <c r="H444" s="8"/>
    </row>
    <row r="445" spans="1:8" ht="14.25" customHeight="1" x14ac:dyDescent="0.25">
      <c r="A445" s="8"/>
      <c r="B445" s="8"/>
      <c r="C445" s="8"/>
      <c r="D445" s="8"/>
      <c r="E445" s="9"/>
      <c r="F445" s="8"/>
      <c r="G445" s="8"/>
      <c r="H445" s="8"/>
    </row>
    <row r="446" spans="1:8" ht="14.25" customHeight="1" x14ac:dyDescent="0.25">
      <c r="A446" s="8"/>
      <c r="B446" s="8"/>
      <c r="C446" s="8"/>
      <c r="D446" s="8"/>
      <c r="E446" s="9"/>
      <c r="F446" s="8"/>
      <c r="G446" s="8"/>
      <c r="H446" s="8"/>
    </row>
    <row r="447" spans="1:8" ht="14.25" customHeight="1" x14ac:dyDescent="0.25">
      <c r="A447" s="8"/>
      <c r="B447" s="8"/>
      <c r="C447" s="8"/>
      <c r="D447" s="8"/>
      <c r="E447" s="9"/>
      <c r="F447" s="8"/>
      <c r="G447" s="8"/>
      <c r="H447" s="8"/>
    </row>
    <row r="448" spans="1:8" ht="14.25" customHeight="1" x14ac:dyDescent="0.25">
      <c r="A448" s="8"/>
      <c r="B448" s="8"/>
      <c r="C448" s="8"/>
      <c r="D448" s="8"/>
      <c r="E448" s="9"/>
      <c r="F448" s="8"/>
      <c r="G448" s="8"/>
      <c r="H448" s="8"/>
    </row>
    <row r="449" spans="1:8" ht="14.25" customHeight="1" x14ac:dyDescent="0.25">
      <c r="A449" s="8"/>
      <c r="B449" s="8"/>
      <c r="C449" s="8"/>
      <c r="D449" s="8"/>
      <c r="E449" s="9"/>
      <c r="F449" s="8"/>
      <c r="G449" s="8"/>
      <c r="H449" s="8"/>
    </row>
    <row r="450" spans="1:8" ht="14.25" customHeight="1" x14ac:dyDescent="0.25">
      <c r="A450" s="8"/>
      <c r="B450" s="8"/>
      <c r="C450" s="8"/>
      <c r="D450" s="8"/>
      <c r="E450" s="9"/>
      <c r="F450" s="8"/>
      <c r="G450" s="8"/>
      <c r="H450" s="8"/>
    </row>
    <row r="451" spans="1:8" ht="14.25" customHeight="1" x14ac:dyDescent="0.25">
      <c r="A451" s="8"/>
      <c r="B451" s="8"/>
      <c r="C451" s="8"/>
      <c r="D451" s="8"/>
      <c r="E451" s="9"/>
      <c r="F451" s="8"/>
      <c r="G451" s="8"/>
      <c r="H451" s="8"/>
    </row>
    <row r="452" spans="1:8" ht="14.25" customHeight="1" x14ac:dyDescent="0.25">
      <c r="A452" s="8"/>
      <c r="B452" s="8"/>
      <c r="C452" s="8"/>
      <c r="D452" s="8"/>
      <c r="E452" s="9"/>
      <c r="F452" s="8"/>
      <c r="G452" s="8"/>
      <c r="H452" s="8"/>
    </row>
    <row r="453" spans="1:8" ht="14.25" customHeight="1" x14ac:dyDescent="0.25">
      <c r="A453" s="8"/>
      <c r="B453" s="8"/>
      <c r="C453" s="8"/>
      <c r="D453" s="8"/>
      <c r="E453" s="9"/>
      <c r="F453" s="8"/>
      <c r="G453" s="8"/>
      <c r="H453" s="8"/>
    </row>
    <row r="454" spans="1:8" ht="14.25" customHeight="1" x14ac:dyDescent="0.25">
      <c r="A454" s="8"/>
      <c r="B454" s="8"/>
      <c r="C454" s="8"/>
      <c r="D454" s="8"/>
      <c r="E454" s="9"/>
      <c r="F454" s="8"/>
      <c r="G454" s="8"/>
      <c r="H454" s="8"/>
    </row>
    <row r="455" spans="1:8" ht="14.25" customHeight="1" x14ac:dyDescent="0.25">
      <c r="A455" s="8"/>
      <c r="B455" s="8"/>
      <c r="C455" s="8"/>
      <c r="D455" s="8"/>
      <c r="E455" s="9"/>
      <c r="F455" s="8"/>
      <c r="G455" s="8"/>
      <c r="H455" s="8"/>
    </row>
    <row r="456" spans="1:8" ht="14.25" customHeight="1" x14ac:dyDescent="0.25">
      <c r="A456" s="8"/>
      <c r="B456" s="8"/>
      <c r="C456" s="8"/>
      <c r="D456" s="8"/>
      <c r="E456" s="9"/>
      <c r="F456" s="8"/>
      <c r="G456" s="8"/>
      <c r="H456" s="8"/>
    </row>
    <row r="457" spans="1:8" ht="14.25" customHeight="1" x14ac:dyDescent="0.25">
      <c r="A457" s="8"/>
      <c r="B457" s="8"/>
      <c r="C457" s="8"/>
      <c r="D457" s="8"/>
      <c r="E457" s="9"/>
      <c r="F457" s="8"/>
      <c r="G457" s="8"/>
      <c r="H457" s="8"/>
    </row>
    <row r="458" spans="1:8" ht="14.25" customHeight="1" x14ac:dyDescent="0.25">
      <c r="A458" s="8"/>
      <c r="B458" s="8"/>
      <c r="C458" s="8"/>
      <c r="D458" s="8"/>
      <c r="E458" s="9"/>
      <c r="F458" s="8"/>
      <c r="G458" s="8"/>
      <c r="H458" s="8"/>
    </row>
    <row r="459" spans="1:8" ht="14.25" customHeight="1" x14ac:dyDescent="0.25">
      <c r="A459" s="8"/>
      <c r="B459" s="8"/>
      <c r="C459" s="8"/>
      <c r="D459" s="8"/>
      <c r="E459" s="9"/>
      <c r="F459" s="8"/>
      <c r="G459" s="8"/>
      <c r="H459" s="8"/>
    </row>
    <row r="460" spans="1:8" ht="14.25" customHeight="1" x14ac:dyDescent="0.25">
      <c r="A460" s="8"/>
      <c r="B460" s="8"/>
      <c r="C460" s="8"/>
      <c r="D460" s="8"/>
      <c r="E460" s="9"/>
      <c r="F460" s="8"/>
      <c r="G460" s="8"/>
      <c r="H460" s="8"/>
    </row>
    <row r="461" spans="1:8" ht="14.25" customHeight="1" x14ac:dyDescent="0.25">
      <c r="A461" s="8"/>
      <c r="B461" s="8"/>
      <c r="C461" s="8"/>
      <c r="D461" s="8"/>
      <c r="E461" s="9"/>
      <c r="F461" s="8"/>
      <c r="G461" s="8"/>
      <c r="H461" s="8"/>
    </row>
    <row r="462" spans="1:8" ht="14.25" customHeight="1" x14ac:dyDescent="0.25">
      <c r="A462" s="8"/>
      <c r="B462" s="8"/>
      <c r="C462" s="8"/>
      <c r="D462" s="8"/>
      <c r="E462" s="9"/>
      <c r="F462" s="8"/>
      <c r="G462" s="8"/>
      <c r="H462" s="8"/>
    </row>
    <row r="463" spans="1:8" ht="14.25" customHeight="1" x14ac:dyDescent="0.25">
      <c r="A463" s="8"/>
      <c r="B463" s="8"/>
      <c r="C463" s="8"/>
      <c r="D463" s="8"/>
      <c r="E463" s="9"/>
      <c r="F463" s="8"/>
      <c r="G463" s="8"/>
      <c r="H463" s="8"/>
    </row>
    <row r="464" spans="1:8" ht="14.25" customHeight="1" x14ac:dyDescent="0.25">
      <c r="A464" s="8"/>
      <c r="B464" s="8"/>
      <c r="C464" s="8"/>
      <c r="D464" s="8"/>
      <c r="E464" s="9"/>
      <c r="F464" s="8"/>
      <c r="G464" s="8"/>
      <c r="H464" s="8"/>
    </row>
    <row r="465" spans="1:8" ht="14.25" customHeight="1" x14ac:dyDescent="0.25">
      <c r="A465" s="8"/>
      <c r="B465" s="8"/>
      <c r="C465" s="8"/>
      <c r="D465" s="8"/>
      <c r="E465" s="9"/>
      <c r="F465" s="8"/>
      <c r="G465" s="8"/>
      <c r="H465" s="8"/>
    </row>
    <row r="466" spans="1:8" ht="14.25" customHeight="1" x14ac:dyDescent="0.25">
      <c r="A466" s="8"/>
      <c r="B466" s="8"/>
      <c r="C466" s="8"/>
      <c r="D466" s="8"/>
      <c r="E466" s="9"/>
      <c r="F466" s="8"/>
      <c r="G466" s="8"/>
      <c r="H466" s="8"/>
    </row>
    <row r="467" spans="1:8" ht="14.25" customHeight="1" x14ac:dyDescent="0.25">
      <c r="A467" s="8"/>
      <c r="B467" s="8"/>
      <c r="C467" s="8"/>
      <c r="D467" s="8"/>
      <c r="E467" s="9"/>
      <c r="F467" s="8"/>
      <c r="G467" s="8"/>
      <c r="H467" s="8"/>
    </row>
    <row r="468" spans="1:8" ht="14.25" customHeight="1" x14ac:dyDescent="0.25">
      <c r="A468" s="8"/>
      <c r="B468" s="8"/>
      <c r="C468" s="8"/>
      <c r="D468" s="8"/>
      <c r="E468" s="9"/>
      <c r="F468" s="8"/>
      <c r="G468" s="8"/>
      <c r="H468" s="8"/>
    </row>
    <row r="469" spans="1:8" ht="14.25" customHeight="1" x14ac:dyDescent="0.25">
      <c r="A469" s="8"/>
      <c r="B469" s="8"/>
      <c r="C469" s="8"/>
      <c r="D469" s="8"/>
      <c r="E469" s="9"/>
      <c r="F469" s="8"/>
      <c r="G469" s="8"/>
      <c r="H469" s="8"/>
    </row>
    <row r="470" spans="1:8" ht="14.25" customHeight="1" x14ac:dyDescent="0.25">
      <c r="A470" s="8"/>
      <c r="B470" s="8"/>
      <c r="C470" s="8"/>
      <c r="D470" s="8"/>
      <c r="E470" s="9"/>
      <c r="F470" s="8"/>
      <c r="G470" s="8"/>
      <c r="H470" s="8"/>
    </row>
    <row r="471" spans="1:8" ht="14.25" customHeight="1" x14ac:dyDescent="0.25">
      <c r="A471" s="8"/>
      <c r="B471" s="8"/>
      <c r="C471" s="8"/>
      <c r="D471" s="8"/>
      <c r="E471" s="9"/>
      <c r="F471" s="8"/>
      <c r="G471" s="8"/>
      <c r="H471" s="8"/>
    </row>
    <row r="472" spans="1:8" ht="14.25" customHeight="1" x14ac:dyDescent="0.25">
      <c r="A472" s="8"/>
      <c r="B472" s="8"/>
      <c r="C472" s="8"/>
      <c r="D472" s="8"/>
      <c r="E472" s="9"/>
      <c r="F472" s="8"/>
      <c r="G472" s="8"/>
      <c r="H472" s="8"/>
    </row>
    <row r="473" spans="1:8" ht="14.25" customHeight="1" x14ac:dyDescent="0.25">
      <c r="A473" s="8"/>
      <c r="B473" s="8"/>
      <c r="C473" s="8"/>
      <c r="D473" s="8"/>
      <c r="E473" s="9"/>
      <c r="F473" s="8"/>
      <c r="G473" s="8"/>
      <c r="H473" s="8"/>
    </row>
    <row r="474" spans="1:8" ht="14.25" customHeight="1" x14ac:dyDescent="0.25">
      <c r="A474" s="8"/>
      <c r="B474" s="8"/>
      <c r="C474" s="8"/>
      <c r="D474" s="8"/>
      <c r="E474" s="9"/>
      <c r="F474" s="8"/>
      <c r="G474" s="8"/>
      <c r="H474" s="8"/>
    </row>
    <row r="475" spans="1:8" ht="14.25" customHeight="1" x14ac:dyDescent="0.25">
      <c r="A475" s="8"/>
      <c r="B475" s="8"/>
      <c r="C475" s="8"/>
      <c r="D475" s="8"/>
      <c r="E475" s="9"/>
      <c r="F475" s="8"/>
      <c r="G475" s="8"/>
      <c r="H475" s="8"/>
    </row>
    <row r="476" spans="1:8" ht="14.25" customHeight="1" x14ac:dyDescent="0.25">
      <c r="A476" s="8"/>
      <c r="B476" s="8"/>
      <c r="C476" s="8"/>
      <c r="D476" s="8"/>
      <c r="E476" s="9"/>
      <c r="F476" s="8"/>
      <c r="G476" s="8"/>
      <c r="H476" s="8"/>
    </row>
    <row r="477" spans="1:8" ht="14.25" customHeight="1" x14ac:dyDescent="0.25">
      <c r="A477" s="8"/>
      <c r="B477" s="8"/>
      <c r="C477" s="8"/>
      <c r="D477" s="8"/>
      <c r="E477" s="9"/>
      <c r="F477" s="8"/>
      <c r="G477" s="8"/>
      <c r="H477" s="8"/>
    </row>
    <row r="478" spans="1:8" ht="14.25" customHeight="1" x14ac:dyDescent="0.25">
      <c r="A478" s="8"/>
      <c r="B478" s="8"/>
      <c r="C478" s="8"/>
      <c r="D478" s="8"/>
      <c r="E478" s="9"/>
      <c r="F478" s="8"/>
      <c r="G478" s="8"/>
      <c r="H478" s="8"/>
    </row>
    <row r="479" spans="1:8" ht="14.25" customHeight="1" x14ac:dyDescent="0.25">
      <c r="A479" s="8"/>
      <c r="B479" s="8"/>
      <c r="C479" s="8"/>
      <c r="D479" s="8"/>
      <c r="E479" s="9"/>
      <c r="F479" s="8"/>
      <c r="G479" s="8"/>
      <c r="H479" s="8"/>
    </row>
    <row r="480" spans="1:8" ht="14.25" customHeight="1" x14ac:dyDescent="0.25">
      <c r="A480" s="8"/>
      <c r="B480" s="8"/>
      <c r="C480" s="8"/>
      <c r="D480" s="8"/>
      <c r="E480" s="9"/>
      <c r="F480" s="8"/>
      <c r="G480" s="8"/>
      <c r="H480" s="8"/>
    </row>
    <row r="481" spans="1:8" ht="14.25" customHeight="1" x14ac:dyDescent="0.25">
      <c r="A481" s="8"/>
      <c r="B481" s="8"/>
      <c r="C481" s="8"/>
      <c r="D481" s="8"/>
      <c r="E481" s="9"/>
      <c r="F481" s="8"/>
      <c r="G481" s="8"/>
      <c r="H481" s="8"/>
    </row>
    <row r="482" spans="1:8" ht="14.25" customHeight="1" x14ac:dyDescent="0.25">
      <c r="A482" s="8"/>
      <c r="B482" s="8"/>
      <c r="C482" s="8"/>
      <c r="D482" s="8"/>
      <c r="E482" s="9"/>
      <c r="F482" s="8"/>
      <c r="G482" s="8"/>
      <c r="H482" s="8"/>
    </row>
    <row r="483" spans="1:8" ht="14.25" customHeight="1" x14ac:dyDescent="0.25">
      <c r="A483" s="8"/>
      <c r="B483" s="8"/>
      <c r="C483" s="8"/>
      <c r="D483" s="8"/>
      <c r="E483" s="9"/>
      <c r="F483" s="8"/>
      <c r="G483" s="8"/>
      <c r="H483" s="8"/>
    </row>
    <row r="484" spans="1:8" ht="14.25" customHeight="1" x14ac:dyDescent="0.25">
      <c r="A484" s="8"/>
      <c r="B484" s="8"/>
      <c r="C484" s="8"/>
      <c r="D484" s="8"/>
      <c r="E484" s="9"/>
      <c r="F484" s="8"/>
      <c r="G484" s="8"/>
      <c r="H484" s="8"/>
    </row>
    <row r="485" spans="1:8" ht="14.25" customHeight="1" x14ac:dyDescent="0.25">
      <c r="A485" s="8"/>
      <c r="B485" s="8"/>
      <c r="C485" s="8"/>
      <c r="D485" s="8"/>
      <c r="E485" s="9"/>
      <c r="F485" s="8"/>
      <c r="G485" s="8"/>
      <c r="H485" s="8"/>
    </row>
    <row r="486" spans="1:8" ht="14.25" customHeight="1" x14ac:dyDescent="0.25">
      <c r="A486" s="8"/>
      <c r="B486" s="8"/>
      <c r="C486" s="8"/>
      <c r="D486" s="8"/>
      <c r="E486" s="9"/>
      <c r="F486" s="8"/>
      <c r="G486" s="8"/>
      <c r="H486" s="8"/>
    </row>
    <row r="487" spans="1:8" ht="14.25" customHeight="1" x14ac:dyDescent="0.25">
      <c r="A487" s="8"/>
      <c r="B487" s="8"/>
      <c r="C487" s="8"/>
      <c r="D487" s="8"/>
      <c r="E487" s="9"/>
      <c r="F487" s="8"/>
      <c r="G487" s="8"/>
      <c r="H487" s="8"/>
    </row>
    <row r="488" spans="1:8" ht="14.25" customHeight="1" x14ac:dyDescent="0.25">
      <c r="A488" s="8"/>
      <c r="B488" s="8"/>
      <c r="C488" s="8"/>
      <c r="D488" s="8"/>
      <c r="E488" s="9"/>
      <c r="F488" s="8"/>
      <c r="G488" s="8"/>
      <c r="H488" s="8"/>
    </row>
    <row r="489" spans="1:8" ht="14.25" customHeight="1" x14ac:dyDescent="0.25">
      <c r="A489" s="8"/>
      <c r="B489" s="8"/>
      <c r="C489" s="8"/>
      <c r="D489" s="8"/>
      <c r="E489" s="9"/>
      <c r="F489" s="8"/>
      <c r="G489" s="8"/>
      <c r="H489" s="8"/>
    </row>
    <row r="490" spans="1:8" ht="14.25" customHeight="1" x14ac:dyDescent="0.25">
      <c r="A490" s="8"/>
      <c r="B490" s="8"/>
      <c r="C490" s="8"/>
      <c r="D490" s="8"/>
      <c r="E490" s="9"/>
      <c r="F490" s="8"/>
      <c r="G490" s="8"/>
      <c r="H490" s="8"/>
    </row>
    <row r="491" spans="1:8" ht="14.25" customHeight="1" x14ac:dyDescent="0.25">
      <c r="A491" s="8"/>
      <c r="B491" s="8"/>
      <c r="C491" s="8"/>
      <c r="D491" s="8"/>
      <c r="E491" s="9"/>
      <c r="F491" s="8"/>
      <c r="G491" s="8"/>
      <c r="H491" s="8"/>
    </row>
    <row r="492" spans="1:8" ht="14.25" customHeight="1" x14ac:dyDescent="0.25">
      <c r="A492" s="8"/>
      <c r="B492" s="8"/>
      <c r="C492" s="8"/>
      <c r="D492" s="8"/>
      <c r="E492" s="9"/>
      <c r="F492" s="8"/>
      <c r="G492" s="8"/>
      <c r="H492" s="8"/>
    </row>
    <row r="493" spans="1:8" ht="14.25" customHeight="1" x14ac:dyDescent="0.25">
      <c r="A493" s="8"/>
      <c r="B493" s="8"/>
      <c r="C493" s="8"/>
      <c r="D493" s="8"/>
      <c r="E493" s="9"/>
      <c r="F493" s="8"/>
      <c r="G493" s="8"/>
      <c r="H493" s="8"/>
    </row>
    <row r="494" spans="1:8" ht="14.25" customHeight="1" x14ac:dyDescent="0.25">
      <c r="A494" s="8"/>
      <c r="B494" s="8"/>
      <c r="C494" s="8"/>
      <c r="D494" s="8"/>
      <c r="E494" s="9"/>
      <c r="F494" s="8"/>
      <c r="G494" s="8"/>
      <c r="H494" s="8"/>
    </row>
    <row r="495" spans="1:8" ht="14.25" customHeight="1" x14ac:dyDescent="0.25">
      <c r="A495" s="8"/>
      <c r="B495" s="8"/>
      <c r="C495" s="8"/>
      <c r="D495" s="8"/>
      <c r="E495" s="9"/>
      <c r="F495" s="8"/>
      <c r="G495" s="8"/>
      <c r="H495" s="8"/>
    </row>
    <row r="496" spans="1:8" ht="14.25" customHeight="1" x14ac:dyDescent="0.25">
      <c r="A496" s="8"/>
      <c r="B496" s="8"/>
      <c r="C496" s="8"/>
      <c r="D496" s="8"/>
      <c r="E496" s="9"/>
      <c r="F496" s="8"/>
      <c r="G496" s="8"/>
      <c r="H496" s="8"/>
    </row>
    <row r="497" spans="1:8" ht="14.25" customHeight="1" x14ac:dyDescent="0.25">
      <c r="A497" s="8"/>
      <c r="B497" s="8"/>
      <c r="C497" s="8"/>
      <c r="D497" s="8"/>
      <c r="E497" s="9"/>
      <c r="F497" s="8"/>
      <c r="G497" s="8"/>
      <c r="H497" s="8"/>
    </row>
    <row r="498" spans="1:8" ht="14.25" customHeight="1" x14ac:dyDescent="0.25">
      <c r="A498" s="8"/>
      <c r="B498" s="8"/>
      <c r="C498" s="8"/>
      <c r="D498" s="8"/>
      <c r="E498" s="9"/>
      <c r="F498" s="8"/>
      <c r="G498" s="8"/>
      <c r="H498" s="8"/>
    </row>
    <row r="499" spans="1:8" ht="14.25" customHeight="1" x14ac:dyDescent="0.25">
      <c r="A499" s="8"/>
      <c r="B499" s="8"/>
      <c r="C499" s="8"/>
      <c r="D499" s="8"/>
      <c r="E499" s="9"/>
      <c r="F499" s="8"/>
      <c r="G499" s="8"/>
      <c r="H499" s="8"/>
    </row>
    <row r="500" spans="1:8" ht="14.25" customHeight="1" x14ac:dyDescent="0.25">
      <c r="A500" s="8"/>
      <c r="B500" s="8"/>
      <c r="C500" s="8"/>
      <c r="D500" s="8"/>
      <c r="E500" s="9"/>
      <c r="F500" s="8"/>
      <c r="G500" s="8"/>
      <c r="H500" s="8"/>
    </row>
    <row r="501" spans="1:8" ht="14.25" customHeight="1" x14ac:dyDescent="0.25">
      <c r="A501" s="8"/>
      <c r="B501" s="8"/>
      <c r="C501" s="8"/>
      <c r="D501" s="8"/>
      <c r="E501" s="9"/>
      <c r="F501" s="8"/>
      <c r="G501" s="8"/>
      <c r="H501" s="8"/>
    </row>
    <row r="502" spans="1:8" ht="14.25" customHeight="1" x14ac:dyDescent="0.25">
      <c r="A502" s="8"/>
      <c r="B502" s="8"/>
      <c r="C502" s="8"/>
      <c r="D502" s="8"/>
      <c r="E502" s="9"/>
      <c r="F502" s="8"/>
      <c r="G502" s="8"/>
      <c r="H502" s="8"/>
    </row>
    <row r="503" spans="1:8" ht="14.25" customHeight="1" x14ac:dyDescent="0.25">
      <c r="A503" s="8"/>
      <c r="B503" s="8"/>
      <c r="C503" s="8"/>
      <c r="D503" s="8"/>
      <c r="E503" s="9"/>
      <c r="F503" s="8"/>
      <c r="G503" s="8"/>
      <c r="H503" s="8"/>
    </row>
    <row r="504" spans="1:8" ht="14.25" customHeight="1" x14ac:dyDescent="0.25">
      <c r="A504" s="8"/>
      <c r="B504" s="8"/>
      <c r="C504" s="8"/>
      <c r="D504" s="8"/>
      <c r="E504" s="9"/>
      <c r="F504" s="8"/>
      <c r="G504" s="8"/>
      <c r="H504" s="8"/>
    </row>
    <row r="505" spans="1:8" ht="14.25" customHeight="1" x14ac:dyDescent="0.25">
      <c r="A505" s="8"/>
      <c r="B505" s="8"/>
      <c r="C505" s="8"/>
      <c r="D505" s="8"/>
      <c r="E505" s="9"/>
      <c r="F505" s="8"/>
      <c r="G505" s="8"/>
      <c r="H505" s="8"/>
    </row>
    <row r="506" spans="1:8" ht="14.25" customHeight="1" x14ac:dyDescent="0.25">
      <c r="A506" s="8"/>
      <c r="B506" s="8"/>
      <c r="C506" s="8"/>
      <c r="D506" s="8"/>
      <c r="E506" s="9"/>
      <c r="F506" s="8"/>
      <c r="G506" s="8"/>
      <c r="H506" s="8"/>
    </row>
    <row r="507" spans="1:8" ht="14.25" customHeight="1" x14ac:dyDescent="0.25">
      <c r="A507" s="8"/>
      <c r="B507" s="8"/>
      <c r="C507" s="8"/>
      <c r="D507" s="8"/>
      <c r="E507" s="9"/>
      <c r="F507" s="8"/>
      <c r="G507" s="8"/>
      <c r="H507" s="8"/>
    </row>
    <row r="508" spans="1:8" ht="14.25" customHeight="1" x14ac:dyDescent="0.25">
      <c r="A508" s="8"/>
      <c r="B508" s="8"/>
      <c r="C508" s="8"/>
      <c r="D508" s="8"/>
      <c r="E508" s="9"/>
      <c r="F508" s="8"/>
      <c r="G508" s="8"/>
      <c r="H508" s="8"/>
    </row>
    <row r="509" spans="1:8" ht="14.25" customHeight="1" x14ac:dyDescent="0.25">
      <c r="A509" s="8"/>
      <c r="B509" s="8"/>
      <c r="C509" s="8"/>
      <c r="D509" s="8"/>
      <c r="E509" s="9"/>
      <c r="F509" s="8"/>
      <c r="G509" s="8"/>
      <c r="H509" s="8"/>
    </row>
    <row r="510" spans="1:8" ht="14.25" customHeight="1" x14ac:dyDescent="0.25">
      <c r="A510" s="8"/>
      <c r="B510" s="8"/>
      <c r="C510" s="8"/>
      <c r="D510" s="8"/>
      <c r="E510" s="9"/>
      <c r="F510" s="8"/>
      <c r="G510" s="8"/>
      <c r="H510" s="8"/>
    </row>
    <row r="511" spans="1:8" ht="14.25" customHeight="1" x14ac:dyDescent="0.25">
      <c r="A511" s="8"/>
      <c r="B511" s="8"/>
      <c r="C511" s="8"/>
      <c r="D511" s="8"/>
      <c r="E511" s="9"/>
      <c r="F511" s="8"/>
      <c r="G511" s="8"/>
      <c r="H511" s="8"/>
    </row>
    <row r="512" spans="1:8" ht="14.25" customHeight="1" x14ac:dyDescent="0.25">
      <c r="A512" s="8"/>
      <c r="B512" s="8"/>
      <c r="C512" s="8"/>
      <c r="D512" s="8"/>
      <c r="E512" s="9"/>
      <c r="F512" s="8"/>
      <c r="G512" s="8"/>
      <c r="H512" s="8"/>
    </row>
    <row r="513" spans="1:8" ht="14.25" customHeight="1" x14ac:dyDescent="0.25">
      <c r="A513" s="8"/>
      <c r="B513" s="8"/>
      <c r="C513" s="8"/>
      <c r="D513" s="8"/>
      <c r="E513" s="9"/>
      <c r="F513" s="8"/>
      <c r="G513" s="8"/>
      <c r="H513" s="8"/>
    </row>
    <row r="514" spans="1:8" ht="14.25" customHeight="1" x14ac:dyDescent="0.25">
      <c r="A514" s="8"/>
      <c r="B514" s="8"/>
      <c r="C514" s="8"/>
      <c r="D514" s="8"/>
      <c r="E514" s="9"/>
      <c r="F514" s="8"/>
      <c r="G514" s="8"/>
      <c r="H514" s="8"/>
    </row>
    <row r="515" spans="1:8" ht="14.25" customHeight="1" x14ac:dyDescent="0.25">
      <c r="A515" s="8"/>
      <c r="B515" s="8"/>
      <c r="C515" s="8"/>
      <c r="D515" s="8"/>
      <c r="E515" s="9"/>
      <c r="F515" s="8"/>
      <c r="G515" s="8"/>
      <c r="H515" s="8"/>
    </row>
    <row r="516" spans="1:8" ht="14.25" customHeight="1" x14ac:dyDescent="0.25">
      <c r="A516" s="8"/>
      <c r="B516" s="8"/>
      <c r="C516" s="8"/>
      <c r="D516" s="8"/>
      <c r="E516" s="9"/>
      <c r="F516" s="8"/>
      <c r="G516" s="8"/>
      <c r="H516" s="8"/>
    </row>
    <row r="517" spans="1:8" ht="14.25" customHeight="1" x14ac:dyDescent="0.25">
      <c r="A517" s="8"/>
      <c r="B517" s="8"/>
      <c r="C517" s="8"/>
      <c r="D517" s="8"/>
      <c r="E517" s="9"/>
      <c r="F517" s="8"/>
      <c r="G517" s="8"/>
      <c r="H517" s="8"/>
    </row>
    <row r="518" spans="1:8" ht="14.25" customHeight="1" x14ac:dyDescent="0.25">
      <c r="A518" s="8"/>
      <c r="B518" s="8"/>
      <c r="C518" s="8"/>
      <c r="D518" s="8"/>
      <c r="E518" s="9"/>
      <c r="F518" s="8"/>
      <c r="G518" s="8"/>
      <c r="H518" s="8"/>
    </row>
    <row r="519" spans="1:8" ht="14.25" customHeight="1" x14ac:dyDescent="0.25">
      <c r="A519" s="8"/>
      <c r="B519" s="8"/>
      <c r="C519" s="8"/>
      <c r="D519" s="8"/>
      <c r="E519" s="9"/>
      <c r="F519" s="8"/>
      <c r="G519" s="8"/>
      <c r="H519" s="8"/>
    </row>
    <row r="520" spans="1:8" ht="14.25" customHeight="1" x14ac:dyDescent="0.25">
      <c r="A520" s="8"/>
      <c r="B520" s="8"/>
      <c r="C520" s="8"/>
      <c r="D520" s="8"/>
      <c r="E520" s="9"/>
      <c r="F520" s="8"/>
      <c r="G520" s="8"/>
      <c r="H520" s="8"/>
    </row>
    <row r="521" spans="1:8" ht="14.25" customHeight="1" x14ac:dyDescent="0.25">
      <c r="A521" s="8"/>
      <c r="B521" s="8"/>
      <c r="C521" s="8"/>
      <c r="D521" s="8"/>
      <c r="E521" s="9"/>
      <c r="F521" s="8"/>
      <c r="G521" s="8"/>
      <c r="H521" s="8"/>
    </row>
    <row r="522" spans="1:8" ht="14.25" customHeight="1" x14ac:dyDescent="0.25">
      <c r="A522" s="8"/>
      <c r="B522" s="8"/>
      <c r="C522" s="8"/>
      <c r="D522" s="8"/>
      <c r="E522" s="9"/>
      <c r="F522" s="8"/>
      <c r="G522" s="8"/>
      <c r="H522" s="8"/>
    </row>
    <row r="523" spans="1:8" ht="14.25" customHeight="1" x14ac:dyDescent="0.25">
      <c r="A523" s="8"/>
      <c r="B523" s="8"/>
      <c r="C523" s="8"/>
      <c r="D523" s="8"/>
      <c r="E523" s="9"/>
      <c r="F523" s="8"/>
      <c r="G523" s="8"/>
      <c r="H523" s="8"/>
    </row>
    <row r="524" spans="1:8" ht="14.25" customHeight="1" x14ac:dyDescent="0.25">
      <c r="A524" s="8"/>
      <c r="B524" s="8"/>
      <c r="C524" s="8"/>
      <c r="D524" s="8"/>
      <c r="E524" s="9"/>
      <c r="F524" s="8"/>
      <c r="G524" s="8"/>
      <c r="H524" s="8"/>
    </row>
    <row r="525" spans="1:8" ht="14.25" customHeight="1" x14ac:dyDescent="0.25">
      <c r="A525" s="8"/>
      <c r="B525" s="8"/>
      <c r="C525" s="8"/>
      <c r="D525" s="8"/>
      <c r="E525" s="9"/>
      <c r="F525" s="8"/>
      <c r="G525" s="8"/>
      <c r="H525" s="8"/>
    </row>
    <row r="526" spans="1:8" ht="14.25" customHeight="1" x14ac:dyDescent="0.25">
      <c r="A526" s="8"/>
      <c r="B526" s="8"/>
      <c r="C526" s="8"/>
      <c r="D526" s="8"/>
      <c r="E526" s="9"/>
      <c r="F526" s="8"/>
      <c r="G526" s="8"/>
      <c r="H526" s="8"/>
    </row>
    <row r="527" spans="1:8" ht="14.25" customHeight="1" x14ac:dyDescent="0.25">
      <c r="A527" s="8"/>
      <c r="B527" s="8"/>
      <c r="C527" s="8"/>
      <c r="D527" s="8"/>
      <c r="E527" s="9"/>
      <c r="F527" s="8"/>
      <c r="G527" s="8"/>
      <c r="H527" s="8"/>
    </row>
    <row r="528" spans="1:8" ht="14.25" customHeight="1" x14ac:dyDescent="0.25">
      <c r="A528" s="8"/>
      <c r="B528" s="8"/>
      <c r="C528" s="8"/>
      <c r="D528" s="8"/>
      <c r="E528" s="9"/>
      <c r="F528" s="8"/>
      <c r="G528" s="8"/>
      <c r="H528" s="8"/>
    </row>
    <row r="529" spans="1:8" ht="14.25" customHeight="1" x14ac:dyDescent="0.25">
      <c r="A529" s="8"/>
      <c r="B529" s="8"/>
      <c r="C529" s="8"/>
      <c r="D529" s="8"/>
      <c r="E529" s="9"/>
      <c r="F529" s="8"/>
      <c r="G529" s="8"/>
      <c r="H529" s="8"/>
    </row>
    <row r="530" spans="1:8" ht="14.25" customHeight="1" x14ac:dyDescent="0.25">
      <c r="A530" s="8"/>
      <c r="B530" s="8"/>
      <c r="C530" s="8"/>
      <c r="D530" s="8"/>
      <c r="E530" s="9"/>
      <c r="F530" s="8"/>
      <c r="G530" s="8"/>
      <c r="H530" s="8"/>
    </row>
    <row r="531" spans="1:8" ht="14.25" customHeight="1" x14ac:dyDescent="0.25">
      <c r="A531" s="8"/>
      <c r="B531" s="8"/>
      <c r="C531" s="8"/>
      <c r="D531" s="8"/>
      <c r="E531" s="9"/>
      <c r="F531" s="8"/>
      <c r="G531" s="8"/>
      <c r="H531" s="8"/>
    </row>
    <row r="532" spans="1:8" ht="14.25" customHeight="1" x14ac:dyDescent="0.25">
      <c r="A532" s="8"/>
      <c r="B532" s="8"/>
      <c r="C532" s="8"/>
      <c r="D532" s="8"/>
      <c r="E532" s="9"/>
      <c r="F532" s="8"/>
      <c r="G532" s="8"/>
      <c r="H532" s="8"/>
    </row>
    <row r="533" spans="1:8" ht="14.25" customHeight="1" x14ac:dyDescent="0.25">
      <c r="A533" s="8"/>
      <c r="B533" s="8"/>
      <c r="C533" s="8"/>
      <c r="D533" s="8"/>
      <c r="E533" s="9"/>
      <c r="F533" s="8"/>
      <c r="G533" s="8"/>
      <c r="H533" s="8"/>
    </row>
    <row r="534" spans="1:8" ht="14.25" customHeight="1" x14ac:dyDescent="0.25">
      <c r="A534" s="8"/>
      <c r="B534" s="8"/>
      <c r="C534" s="8"/>
      <c r="D534" s="8"/>
      <c r="E534" s="9"/>
      <c r="F534" s="8"/>
      <c r="G534" s="8"/>
      <c r="H534" s="8"/>
    </row>
    <row r="535" spans="1:8" ht="14.25" customHeight="1" x14ac:dyDescent="0.25">
      <c r="A535" s="8"/>
      <c r="B535" s="8"/>
      <c r="C535" s="8"/>
      <c r="D535" s="8"/>
      <c r="E535" s="9"/>
      <c r="F535" s="8"/>
      <c r="G535" s="8"/>
      <c r="H535" s="8"/>
    </row>
    <row r="536" spans="1:8" ht="14.25" customHeight="1" x14ac:dyDescent="0.25">
      <c r="A536" s="8"/>
      <c r="B536" s="8"/>
      <c r="C536" s="8"/>
      <c r="D536" s="8"/>
      <c r="E536" s="9"/>
      <c r="F536" s="8"/>
      <c r="G536" s="8"/>
      <c r="H536" s="8"/>
    </row>
    <row r="537" spans="1:8" ht="14.25" customHeight="1" x14ac:dyDescent="0.25">
      <c r="A537" s="8"/>
      <c r="B537" s="8"/>
      <c r="C537" s="8"/>
      <c r="D537" s="8"/>
      <c r="E537" s="9"/>
      <c r="F537" s="8"/>
      <c r="G537" s="8"/>
      <c r="H537" s="8"/>
    </row>
    <row r="538" spans="1:8" ht="14.25" customHeight="1" x14ac:dyDescent="0.25">
      <c r="A538" s="8"/>
      <c r="B538" s="8"/>
      <c r="C538" s="8"/>
      <c r="D538" s="8"/>
      <c r="E538" s="9"/>
      <c r="F538" s="8"/>
      <c r="G538" s="8"/>
      <c r="H538" s="8"/>
    </row>
    <row r="539" spans="1:8" ht="14.25" customHeight="1" x14ac:dyDescent="0.25">
      <c r="A539" s="8"/>
      <c r="B539" s="8"/>
      <c r="C539" s="8"/>
      <c r="D539" s="8"/>
      <c r="E539" s="9"/>
      <c r="F539" s="8"/>
      <c r="G539" s="8"/>
      <c r="H539" s="8"/>
    </row>
    <row r="540" spans="1:8" ht="14.25" customHeight="1" x14ac:dyDescent="0.25">
      <c r="A540" s="8"/>
      <c r="B540" s="8"/>
      <c r="C540" s="8"/>
      <c r="D540" s="8"/>
      <c r="E540" s="9"/>
      <c r="F540" s="8"/>
      <c r="G540" s="8"/>
      <c r="H540" s="8"/>
    </row>
    <row r="541" spans="1:8" ht="14.25" customHeight="1" x14ac:dyDescent="0.25">
      <c r="A541" s="8"/>
      <c r="B541" s="8"/>
      <c r="C541" s="8"/>
      <c r="D541" s="8"/>
      <c r="E541" s="9"/>
      <c r="F541" s="8"/>
      <c r="G541" s="8"/>
      <c r="H541" s="8"/>
    </row>
    <row r="542" spans="1:8" ht="14.25" customHeight="1" x14ac:dyDescent="0.25">
      <c r="A542" s="8"/>
      <c r="B542" s="8"/>
      <c r="C542" s="8"/>
      <c r="D542" s="8"/>
      <c r="E542" s="9"/>
      <c r="F542" s="8"/>
      <c r="G542" s="8"/>
      <c r="H542" s="8"/>
    </row>
    <row r="543" spans="1:8" ht="14.25" customHeight="1" x14ac:dyDescent="0.25">
      <c r="A543" s="8"/>
      <c r="B543" s="8"/>
      <c r="C543" s="8"/>
      <c r="D543" s="8"/>
      <c r="E543" s="9"/>
      <c r="F543" s="8"/>
      <c r="G543" s="8"/>
      <c r="H543" s="8"/>
    </row>
    <row r="544" spans="1:8" ht="14.25" customHeight="1" x14ac:dyDescent="0.25">
      <c r="A544" s="8"/>
      <c r="B544" s="8"/>
      <c r="C544" s="8"/>
      <c r="D544" s="8"/>
      <c r="E544" s="9"/>
      <c r="F544" s="8"/>
      <c r="G544" s="8"/>
      <c r="H544" s="8"/>
    </row>
    <row r="545" spans="1:8" ht="14.25" customHeight="1" x14ac:dyDescent="0.25">
      <c r="A545" s="8"/>
      <c r="B545" s="8"/>
      <c r="C545" s="8"/>
      <c r="D545" s="8"/>
      <c r="E545" s="9"/>
      <c r="F545" s="8"/>
      <c r="G545" s="8"/>
      <c r="H545" s="8"/>
    </row>
    <row r="546" spans="1:8" ht="14.25" customHeight="1" x14ac:dyDescent="0.25">
      <c r="A546" s="8"/>
      <c r="B546" s="8"/>
      <c r="C546" s="8"/>
      <c r="D546" s="8"/>
      <c r="E546" s="9"/>
      <c r="F546" s="8"/>
      <c r="G546" s="8"/>
      <c r="H546" s="8"/>
    </row>
    <row r="547" spans="1:8" ht="14.25" customHeight="1" x14ac:dyDescent="0.25">
      <c r="A547" s="8"/>
      <c r="B547" s="8"/>
      <c r="C547" s="8"/>
      <c r="D547" s="8"/>
      <c r="E547" s="9"/>
      <c r="F547" s="8"/>
      <c r="G547" s="8"/>
      <c r="H547" s="8"/>
    </row>
    <row r="548" spans="1:8" ht="14.25" customHeight="1" x14ac:dyDescent="0.25">
      <c r="A548" s="8"/>
      <c r="B548" s="8"/>
      <c r="C548" s="8"/>
      <c r="D548" s="8"/>
      <c r="E548" s="9"/>
      <c r="F548" s="8"/>
      <c r="G548" s="8"/>
      <c r="H548" s="8"/>
    </row>
    <row r="549" spans="1:8" ht="14.25" customHeight="1" x14ac:dyDescent="0.25">
      <c r="A549" s="8"/>
      <c r="B549" s="8"/>
      <c r="C549" s="8"/>
      <c r="D549" s="8"/>
      <c r="E549" s="9"/>
      <c r="F549" s="8"/>
      <c r="G549" s="8"/>
      <c r="H549" s="8"/>
    </row>
    <row r="550" spans="1:8" ht="14.25" customHeight="1" x14ac:dyDescent="0.25">
      <c r="A550" s="8"/>
      <c r="B550" s="8"/>
      <c r="C550" s="8"/>
      <c r="D550" s="8"/>
      <c r="E550" s="9"/>
      <c r="F550" s="8"/>
      <c r="G550" s="8"/>
      <c r="H550" s="8"/>
    </row>
    <row r="551" spans="1:8" ht="14.25" customHeight="1" x14ac:dyDescent="0.25">
      <c r="A551" s="8"/>
      <c r="B551" s="8"/>
      <c r="C551" s="8"/>
      <c r="D551" s="8"/>
      <c r="E551" s="9"/>
      <c r="F551" s="8"/>
      <c r="G551" s="8"/>
      <c r="H551" s="8"/>
    </row>
    <row r="552" spans="1:8" ht="14.25" customHeight="1" x14ac:dyDescent="0.25">
      <c r="A552" s="8"/>
      <c r="B552" s="8"/>
      <c r="C552" s="8"/>
      <c r="D552" s="8"/>
      <c r="E552" s="9"/>
      <c r="F552" s="8"/>
      <c r="G552" s="8"/>
      <c r="H552" s="8"/>
    </row>
    <row r="553" spans="1:8" ht="14.25" customHeight="1" x14ac:dyDescent="0.25">
      <c r="A553" s="8"/>
      <c r="B553" s="8"/>
      <c r="C553" s="8"/>
      <c r="D553" s="8"/>
      <c r="E553" s="9"/>
      <c r="F553" s="8"/>
      <c r="G553" s="8"/>
      <c r="H553" s="8"/>
    </row>
    <row r="554" spans="1:8" ht="14.25" customHeight="1" x14ac:dyDescent="0.25">
      <c r="A554" s="8"/>
      <c r="B554" s="8"/>
      <c r="C554" s="8"/>
      <c r="D554" s="8"/>
      <c r="E554" s="9"/>
      <c r="F554" s="8"/>
      <c r="G554" s="8"/>
      <c r="H554" s="8"/>
    </row>
    <row r="555" spans="1:8" ht="14.25" customHeight="1" x14ac:dyDescent="0.25">
      <c r="A555" s="8"/>
      <c r="B555" s="8"/>
      <c r="C555" s="8"/>
      <c r="D555" s="8"/>
      <c r="E555" s="9"/>
      <c r="F555" s="8"/>
      <c r="G555" s="8"/>
      <c r="H555" s="8"/>
    </row>
    <row r="556" spans="1:8" ht="14.25" customHeight="1" x14ac:dyDescent="0.25">
      <c r="A556" s="8"/>
      <c r="B556" s="8"/>
      <c r="C556" s="8"/>
      <c r="D556" s="8"/>
      <c r="E556" s="9"/>
      <c r="F556" s="8"/>
      <c r="G556" s="8"/>
      <c r="H556" s="8"/>
    </row>
    <row r="557" spans="1:8" ht="14.25" customHeight="1" x14ac:dyDescent="0.25">
      <c r="A557" s="8"/>
      <c r="B557" s="8"/>
      <c r="C557" s="8"/>
      <c r="D557" s="8"/>
      <c r="E557" s="9"/>
      <c r="F557" s="8"/>
      <c r="G557" s="8"/>
      <c r="H557" s="8"/>
    </row>
    <row r="558" spans="1:8" ht="14.25" customHeight="1" x14ac:dyDescent="0.25">
      <c r="A558" s="8"/>
      <c r="B558" s="8"/>
      <c r="C558" s="8"/>
      <c r="D558" s="8"/>
      <c r="E558" s="9"/>
      <c r="F558" s="8"/>
      <c r="G558" s="8"/>
      <c r="H558" s="8"/>
    </row>
    <row r="559" spans="1:8" ht="14.25" customHeight="1" x14ac:dyDescent="0.25">
      <c r="A559" s="8"/>
      <c r="B559" s="8"/>
      <c r="C559" s="8"/>
      <c r="D559" s="8"/>
      <c r="E559" s="9"/>
      <c r="F559" s="8"/>
      <c r="G559" s="8"/>
      <c r="H559" s="8"/>
    </row>
    <row r="560" spans="1:8" ht="14.25" customHeight="1" x14ac:dyDescent="0.25">
      <c r="A560" s="8"/>
      <c r="B560" s="8"/>
      <c r="C560" s="8"/>
      <c r="D560" s="8"/>
      <c r="E560" s="9"/>
      <c r="F560" s="8"/>
      <c r="G560" s="8"/>
      <c r="H560" s="8"/>
    </row>
    <row r="561" spans="1:8" ht="14.25" customHeight="1" x14ac:dyDescent="0.25">
      <c r="A561" s="8"/>
      <c r="B561" s="8"/>
      <c r="C561" s="8"/>
      <c r="D561" s="8"/>
      <c r="E561" s="9"/>
      <c r="F561" s="8"/>
      <c r="G561" s="8"/>
      <c r="H561" s="8"/>
    </row>
    <row r="562" spans="1:8" ht="14.25" customHeight="1" x14ac:dyDescent="0.25">
      <c r="A562" s="8"/>
      <c r="B562" s="8"/>
      <c r="C562" s="8"/>
      <c r="D562" s="8"/>
      <c r="E562" s="9"/>
      <c r="F562" s="8"/>
      <c r="G562" s="8"/>
      <c r="H562" s="8"/>
    </row>
    <row r="563" spans="1:8" ht="14.25" customHeight="1" x14ac:dyDescent="0.25">
      <c r="A563" s="8"/>
      <c r="B563" s="8"/>
      <c r="C563" s="8"/>
      <c r="D563" s="8"/>
      <c r="E563" s="9"/>
      <c r="F563" s="8"/>
      <c r="G563" s="8"/>
      <c r="H563" s="8"/>
    </row>
    <row r="564" spans="1:8" ht="14.25" customHeight="1" x14ac:dyDescent="0.25">
      <c r="A564" s="8"/>
      <c r="B564" s="8"/>
      <c r="C564" s="8"/>
      <c r="D564" s="8"/>
      <c r="E564" s="9"/>
      <c r="F564" s="8"/>
      <c r="G564" s="8"/>
      <c r="H564" s="8"/>
    </row>
    <row r="565" spans="1:8" ht="14.25" customHeight="1" x14ac:dyDescent="0.25">
      <c r="A565" s="8"/>
      <c r="B565" s="8"/>
      <c r="C565" s="8"/>
      <c r="D565" s="8"/>
      <c r="E565" s="9"/>
      <c r="F565" s="8"/>
      <c r="G565" s="8"/>
      <c r="H565" s="8"/>
    </row>
    <row r="566" spans="1:8" ht="14.25" customHeight="1" x14ac:dyDescent="0.25">
      <c r="A566" s="8"/>
      <c r="B566" s="8"/>
      <c r="C566" s="8"/>
      <c r="D566" s="8"/>
      <c r="E566" s="9"/>
      <c r="F566" s="8"/>
      <c r="G566" s="8"/>
      <c r="H566" s="8"/>
    </row>
    <row r="567" spans="1:8" ht="14.25" customHeight="1" x14ac:dyDescent="0.25">
      <c r="A567" s="8"/>
      <c r="B567" s="8"/>
      <c r="C567" s="8"/>
      <c r="D567" s="8"/>
      <c r="E567" s="9"/>
      <c r="F567" s="8"/>
      <c r="G567" s="8"/>
      <c r="H567" s="8"/>
    </row>
    <row r="568" spans="1:8" ht="14.25" customHeight="1" x14ac:dyDescent="0.25">
      <c r="A568" s="8"/>
      <c r="B568" s="8"/>
      <c r="C568" s="8"/>
      <c r="D568" s="8"/>
      <c r="E568" s="9"/>
      <c r="F568" s="8"/>
      <c r="G568" s="8"/>
      <c r="H568" s="8"/>
    </row>
    <row r="569" spans="1:8" ht="14.25" customHeight="1" x14ac:dyDescent="0.25">
      <c r="A569" s="8"/>
      <c r="B569" s="8"/>
      <c r="C569" s="8"/>
      <c r="D569" s="8"/>
      <c r="E569" s="9"/>
      <c r="F569" s="8"/>
      <c r="G569" s="8"/>
      <c r="H569" s="8"/>
    </row>
    <row r="570" spans="1:8" ht="14.25" customHeight="1" x14ac:dyDescent="0.25">
      <c r="A570" s="8"/>
      <c r="B570" s="8"/>
      <c r="C570" s="8"/>
      <c r="D570" s="8"/>
      <c r="E570" s="9"/>
      <c r="F570" s="8"/>
      <c r="G570" s="8"/>
      <c r="H570" s="8"/>
    </row>
    <row r="571" spans="1:8" ht="14.25" customHeight="1" x14ac:dyDescent="0.25">
      <c r="A571" s="8"/>
      <c r="B571" s="8"/>
      <c r="C571" s="8"/>
      <c r="D571" s="8"/>
      <c r="E571" s="9"/>
      <c r="F571" s="8"/>
      <c r="G571" s="8"/>
      <c r="H571" s="8"/>
    </row>
    <row r="572" spans="1:8" ht="14.25" customHeight="1" x14ac:dyDescent="0.25">
      <c r="A572" s="8"/>
      <c r="B572" s="8"/>
      <c r="C572" s="8"/>
      <c r="D572" s="8"/>
      <c r="E572" s="9"/>
      <c r="F572" s="8"/>
      <c r="G572" s="8"/>
      <c r="H572" s="8"/>
    </row>
    <row r="573" spans="1:8" ht="14.25" customHeight="1" x14ac:dyDescent="0.25">
      <c r="A573" s="8"/>
      <c r="B573" s="8"/>
      <c r="C573" s="8"/>
      <c r="D573" s="8"/>
      <c r="E573" s="9"/>
      <c r="F573" s="8"/>
      <c r="G573" s="8"/>
      <c r="H573" s="8"/>
    </row>
    <row r="574" spans="1:8" ht="14.25" customHeight="1" x14ac:dyDescent="0.25">
      <c r="A574" s="8"/>
      <c r="B574" s="8"/>
      <c r="C574" s="8"/>
      <c r="D574" s="8"/>
      <c r="E574" s="9"/>
      <c r="F574" s="8"/>
      <c r="G574" s="8"/>
      <c r="H574" s="8"/>
    </row>
    <row r="575" spans="1:8" ht="14.25" customHeight="1" x14ac:dyDescent="0.25">
      <c r="A575" s="8"/>
      <c r="B575" s="8"/>
      <c r="C575" s="8"/>
      <c r="D575" s="8"/>
      <c r="E575" s="9"/>
      <c r="F575" s="8"/>
      <c r="G575" s="8"/>
      <c r="H575" s="8"/>
    </row>
    <row r="576" spans="1:8" ht="14.25" customHeight="1" x14ac:dyDescent="0.25">
      <c r="A576" s="8"/>
      <c r="B576" s="8"/>
      <c r="C576" s="8"/>
      <c r="D576" s="8"/>
      <c r="E576" s="9"/>
      <c r="F576" s="8"/>
      <c r="G576" s="8"/>
      <c r="H576" s="8"/>
    </row>
    <row r="577" spans="1:8" ht="14.25" customHeight="1" x14ac:dyDescent="0.25">
      <c r="A577" s="8"/>
      <c r="B577" s="8"/>
      <c r="C577" s="8"/>
      <c r="D577" s="8"/>
      <c r="E577" s="9"/>
      <c r="F577" s="8"/>
      <c r="G577" s="8"/>
      <c r="H577" s="8"/>
    </row>
    <row r="578" spans="1:8" ht="14.25" customHeight="1" x14ac:dyDescent="0.25">
      <c r="A578" s="8"/>
      <c r="B578" s="8"/>
      <c r="C578" s="8"/>
      <c r="D578" s="8"/>
      <c r="E578" s="9"/>
      <c r="F578" s="8"/>
      <c r="G578" s="8"/>
      <c r="H578" s="8"/>
    </row>
    <row r="579" spans="1:8" ht="14.25" customHeight="1" x14ac:dyDescent="0.25">
      <c r="A579" s="8"/>
      <c r="B579" s="8"/>
      <c r="C579" s="8"/>
      <c r="D579" s="8"/>
      <c r="E579" s="9"/>
      <c r="F579" s="8"/>
      <c r="G579" s="8"/>
      <c r="H579" s="8"/>
    </row>
    <row r="580" spans="1:8" ht="14.25" customHeight="1" x14ac:dyDescent="0.25">
      <c r="A580" s="8"/>
      <c r="B580" s="8"/>
      <c r="C580" s="8"/>
      <c r="D580" s="8"/>
      <c r="E580" s="9"/>
      <c r="F580" s="8"/>
      <c r="G580" s="8"/>
      <c r="H580" s="8"/>
    </row>
    <row r="581" spans="1:8" ht="14.25" customHeight="1" x14ac:dyDescent="0.25">
      <c r="A581" s="8"/>
      <c r="B581" s="8"/>
      <c r="C581" s="8"/>
      <c r="D581" s="8"/>
      <c r="E581" s="9"/>
      <c r="F581" s="8"/>
      <c r="G581" s="8"/>
      <c r="H581" s="8"/>
    </row>
    <row r="582" spans="1:8" ht="14.25" customHeight="1" x14ac:dyDescent="0.25">
      <c r="A582" s="8"/>
      <c r="B582" s="8"/>
      <c r="C582" s="8"/>
      <c r="D582" s="8"/>
      <c r="E582" s="9"/>
      <c r="F582" s="8"/>
      <c r="G582" s="8"/>
      <c r="H582" s="8"/>
    </row>
    <row r="583" spans="1:8" ht="14.25" customHeight="1" x14ac:dyDescent="0.25">
      <c r="A583" s="8"/>
      <c r="B583" s="8"/>
      <c r="C583" s="8"/>
      <c r="D583" s="8"/>
      <c r="E583" s="9"/>
      <c r="F583" s="8"/>
      <c r="G583" s="8"/>
      <c r="H583" s="8"/>
    </row>
    <row r="584" spans="1:8" ht="14.25" customHeight="1" x14ac:dyDescent="0.25">
      <c r="A584" s="8"/>
      <c r="B584" s="8"/>
      <c r="C584" s="8"/>
      <c r="D584" s="8"/>
      <c r="E584" s="9"/>
      <c r="F584" s="8"/>
      <c r="G584" s="8"/>
      <c r="H584" s="8"/>
    </row>
    <row r="585" spans="1:8" ht="14.25" customHeight="1" x14ac:dyDescent="0.25">
      <c r="A585" s="8"/>
      <c r="B585" s="8"/>
      <c r="C585" s="8"/>
      <c r="D585" s="8"/>
      <c r="E585" s="9"/>
      <c r="F585" s="8"/>
      <c r="G585" s="8"/>
      <c r="H585" s="8"/>
    </row>
    <row r="586" spans="1:8" ht="14.25" customHeight="1" x14ac:dyDescent="0.25">
      <c r="A586" s="8"/>
      <c r="B586" s="8"/>
      <c r="C586" s="8"/>
      <c r="D586" s="8"/>
      <c r="E586" s="9"/>
      <c r="F586" s="8"/>
      <c r="G586" s="8"/>
      <c r="H586" s="8"/>
    </row>
    <row r="587" spans="1:8" ht="14.25" customHeight="1" x14ac:dyDescent="0.25">
      <c r="A587" s="8"/>
      <c r="B587" s="8"/>
      <c r="C587" s="8"/>
      <c r="D587" s="8"/>
      <c r="E587" s="9"/>
      <c r="F587" s="8"/>
      <c r="G587" s="8"/>
      <c r="H587" s="8"/>
    </row>
    <row r="588" spans="1:8" ht="14.25" customHeight="1" x14ac:dyDescent="0.25">
      <c r="A588" s="8"/>
      <c r="B588" s="8"/>
      <c r="C588" s="8"/>
      <c r="D588" s="8"/>
      <c r="E588" s="9"/>
      <c r="F588" s="8"/>
      <c r="G588" s="8"/>
      <c r="H588" s="8"/>
    </row>
    <row r="589" spans="1:8" ht="14.25" customHeight="1" x14ac:dyDescent="0.25">
      <c r="A589" s="8"/>
      <c r="B589" s="8"/>
      <c r="C589" s="8"/>
      <c r="D589" s="8"/>
      <c r="E589" s="9"/>
      <c r="F589" s="8"/>
      <c r="G589" s="8"/>
      <c r="H589" s="8"/>
    </row>
    <row r="590" spans="1:8" ht="14.25" customHeight="1" x14ac:dyDescent="0.25">
      <c r="A590" s="8"/>
      <c r="B590" s="8"/>
      <c r="C590" s="8"/>
      <c r="D590" s="8"/>
      <c r="E590" s="9"/>
      <c r="F590" s="8"/>
      <c r="G590" s="8"/>
      <c r="H590" s="8"/>
    </row>
    <row r="591" spans="1:8" ht="14.25" customHeight="1" x14ac:dyDescent="0.25">
      <c r="A591" s="8"/>
      <c r="B591" s="8"/>
      <c r="C591" s="8"/>
      <c r="D591" s="8"/>
      <c r="E591" s="9"/>
      <c r="F591" s="8"/>
      <c r="G591" s="8"/>
      <c r="H591" s="8"/>
    </row>
    <row r="592" spans="1:8" ht="14.25" customHeight="1" x14ac:dyDescent="0.25">
      <c r="A592" s="8"/>
      <c r="B592" s="8"/>
      <c r="C592" s="8"/>
      <c r="D592" s="8"/>
      <c r="E592" s="9"/>
      <c r="F592" s="8"/>
      <c r="G592" s="8"/>
      <c r="H592" s="8"/>
    </row>
    <row r="593" spans="1:8" ht="14.25" customHeight="1" x14ac:dyDescent="0.25">
      <c r="A593" s="8"/>
      <c r="B593" s="8"/>
      <c r="C593" s="8"/>
      <c r="D593" s="8"/>
      <c r="E593" s="9"/>
      <c r="F593" s="8"/>
      <c r="G593" s="8"/>
      <c r="H593" s="8"/>
    </row>
    <row r="594" spans="1:8" ht="14.25" customHeight="1" x14ac:dyDescent="0.25">
      <c r="A594" s="8"/>
      <c r="B594" s="8"/>
      <c r="C594" s="8"/>
      <c r="D594" s="8"/>
      <c r="E594" s="9"/>
      <c r="F594" s="8"/>
      <c r="G594" s="8"/>
      <c r="H594" s="8"/>
    </row>
    <row r="595" spans="1:8" ht="14.25" customHeight="1" x14ac:dyDescent="0.25">
      <c r="A595" s="8"/>
      <c r="B595" s="8"/>
      <c r="C595" s="8"/>
      <c r="D595" s="8"/>
      <c r="E595" s="9"/>
      <c r="F595" s="8"/>
      <c r="G595" s="8"/>
      <c r="H595" s="8"/>
    </row>
    <row r="596" spans="1:8" ht="14.25" customHeight="1" x14ac:dyDescent="0.25">
      <c r="A596" s="8"/>
      <c r="B596" s="8"/>
      <c r="C596" s="8"/>
      <c r="D596" s="8"/>
      <c r="E596" s="9"/>
      <c r="F596" s="8"/>
      <c r="G596" s="8"/>
      <c r="H596" s="8"/>
    </row>
    <row r="597" spans="1:8" ht="14.25" customHeight="1" x14ac:dyDescent="0.25">
      <c r="A597" s="8"/>
      <c r="B597" s="8"/>
      <c r="C597" s="8"/>
      <c r="D597" s="8"/>
      <c r="E597" s="9"/>
      <c r="F597" s="8"/>
      <c r="G597" s="8"/>
      <c r="H597" s="8"/>
    </row>
    <row r="598" spans="1:8" ht="14.25" customHeight="1" x14ac:dyDescent="0.25">
      <c r="A598" s="8"/>
      <c r="B598" s="8"/>
      <c r="C598" s="8"/>
      <c r="D598" s="8"/>
      <c r="E598" s="9"/>
      <c r="F598" s="8"/>
      <c r="G598" s="8"/>
      <c r="H598" s="8"/>
    </row>
    <row r="599" spans="1:8" ht="14.25" customHeight="1" x14ac:dyDescent="0.25">
      <c r="A599" s="8"/>
      <c r="B599" s="8"/>
      <c r="C599" s="8"/>
      <c r="D599" s="8"/>
      <c r="E599" s="9"/>
      <c r="F599" s="8"/>
      <c r="G599" s="8"/>
      <c r="H599" s="8"/>
    </row>
    <row r="600" spans="1:8" ht="14.25" customHeight="1" x14ac:dyDescent="0.25">
      <c r="A600" s="8"/>
      <c r="B600" s="8"/>
      <c r="C600" s="8"/>
      <c r="D600" s="8"/>
      <c r="E600" s="9"/>
      <c r="F600" s="8"/>
      <c r="G600" s="8"/>
      <c r="H600" s="8"/>
    </row>
    <row r="601" spans="1:8" ht="14.25" customHeight="1" x14ac:dyDescent="0.25">
      <c r="A601" s="8"/>
      <c r="B601" s="8"/>
      <c r="C601" s="8"/>
      <c r="D601" s="8"/>
      <c r="E601" s="9"/>
      <c r="F601" s="8"/>
      <c r="G601" s="8"/>
      <c r="H601" s="8"/>
    </row>
    <row r="602" spans="1:8" ht="14.25" customHeight="1" x14ac:dyDescent="0.25">
      <c r="A602" s="8"/>
      <c r="B602" s="8"/>
      <c r="C602" s="8"/>
      <c r="D602" s="8"/>
      <c r="E602" s="9"/>
      <c r="F602" s="8"/>
      <c r="G602" s="8"/>
      <c r="H602" s="8"/>
    </row>
    <row r="603" spans="1:8" ht="14.25" customHeight="1" x14ac:dyDescent="0.25">
      <c r="A603" s="8"/>
      <c r="B603" s="8"/>
      <c r="C603" s="8"/>
      <c r="D603" s="8"/>
      <c r="E603" s="9"/>
      <c r="F603" s="8"/>
      <c r="G603" s="8"/>
      <c r="H603" s="8"/>
    </row>
    <row r="604" spans="1:8" ht="14.25" customHeight="1" x14ac:dyDescent="0.25">
      <c r="A604" s="8"/>
      <c r="B604" s="8"/>
      <c r="C604" s="8"/>
      <c r="D604" s="8"/>
      <c r="E604" s="9"/>
      <c r="F604" s="8"/>
      <c r="G604" s="8"/>
      <c r="H604" s="8"/>
    </row>
    <row r="605" spans="1:8" ht="14.25" customHeight="1" x14ac:dyDescent="0.25">
      <c r="A605" s="8"/>
      <c r="B605" s="8"/>
      <c r="C605" s="8"/>
      <c r="D605" s="8"/>
      <c r="E605" s="9"/>
      <c r="F605" s="8"/>
      <c r="G605" s="8"/>
      <c r="H605" s="8"/>
    </row>
    <row r="606" spans="1:8" ht="14.25" customHeight="1" x14ac:dyDescent="0.25">
      <c r="A606" s="8"/>
      <c r="B606" s="8"/>
      <c r="C606" s="8"/>
      <c r="D606" s="8"/>
      <c r="E606" s="9"/>
      <c r="F606" s="8"/>
      <c r="G606" s="8"/>
      <c r="H606" s="8"/>
    </row>
    <row r="607" spans="1:8" ht="14.25" customHeight="1" x14ac:dyDescent="0.25">
      <c r="A607" s="8"/>
      <c r="B607" s="8"/>
      <c r="C607" s="8"/>
      <c r="D607" s="8"/>
      <c r="E607" s="9"/>
      <c r="F607" s="8"/>
      <c r="G607" s="8"/>
      <c r="H607" s="8"/>
    </row>
    <row r="608" spans="1:8" ht="14.25" customHeight="1" x14ac:dyDescent="0.25">
      <c r="A608" s="8"/>
      <c r="B608" s="8"/>
      <c r="C608" s="8"/>
      <c r="D608" s="8"/>
      <c r="E608" s="9"/>
      <c r="F608" s="8"/>
      <c r="G608" s="8"/>
      <c r="H608" s="8"/>
    </row>
    <row r="609" spans="1:8" ht="14.25" customHeight="1" x14ac:dyDescent="0.25">
      <c r="A609" s="8"/>
      <c r="B609" s="8"/>
      <c r="C609" s="8"/>
      <c r="D609" s="8"/>
      <c r="E609" s="9"/>
      <c r="F609" s="8"/>
      <c r="G609" s="8"/>
      <c r="H609" s="8"/>
    </row>
    <row r="610" spans="1:8" ht="14.25" customHeight="1" x14ac:dyDescent="0.25">
      <c r="A610" s="8"/>
      <c r="B610" s="8"/>
      <c r="C610" s="8"/>
      <c r="D610" s="8"/>
      <c r="E610" s="9"/>
      <c r="F610" s="8"/>
      <c r="G610" s="8"/>
      <c r="H610" s="8"/>
    </row>
    <row r="611" spans="1:8" ht="14.25" customHeight="1" x14ac:dyDescent="0.25">
      <c r="A611" s="8"/>
      <c r="B611" s="8"/>
      <c r="C611" s="8"/>
      <c r="D611" s="8"/>
      <c r="E611" s="9"/>
      <c r="F611" s="8"/>
      <c r="G611" s="8"/>
      <c r="H611" s="8"/>
    </row>
    <row r="612" spans="1:8" ht="14.25" customHeight="1" x14ac:dyDescent="0.25">
      <c r="A612" s="8"/>
      <c r="B612" s="8"/>
      <c r="C612" s="8"/>
      <c r="D612" s="8"/>
      <c r="E612" s="9"/>
      <c r="F612" s="8"/>
      <c r="G612" s="8"/>
      <c r="H612" s="8"/>
    </row>
    <row r="613" spans="1:8" ht="14.25" customHeight="1" x14ac:dyDescent="0.25">
      <c r="A613" s="8"/>
      <c r="B613" s="8"/>
      <c r="C613" s="8"/>
      <c r="D613" s="8"/>
      <c r="E613" s="9"/>
      <c r="F613" s="8"/>
      <c r="G613" s="8"/>
      <c r="H613" s="8"/>
    </row>
    <row r="614" spans="1:8" ht="14.25" customHeight="1" x14ac:dyDescent="0.25">
      <c r="A614" s="8"/>
      <c r="B614" s="8"/>
      <c r="C614" s="8"/>
      <c r="D614" s="8"/>
      <c r="E614" s="9"/>
      <c r="F614" s="8"/>
      <c r="G614" s="8"/>
      <c r="H614" s="8"/>
    </row>
    <row r="615" spans="1:8" ht="14.25" customHeight="1" x14ac:dyDescent="0.25">
      <c r="A615" s="8"/>
      <c r="B615" s="8"/>
      <c r="C615" s="8"/>
      <c r="D615" s="8"/>
      <c r="E615" s="9"/>
      <c r="F615" s="8"/>
      <c r="G615" s="8"/>
      <c r="H615" s="8"/>
    </row>
    <row r="616" spans="1:8" ht="14.25" customHeight="1" x14ac:dyDescent="0.25">
      <c r="A616" s="8"/>
      <c r="B616" s="8"/>
      <c r="C616" s="8"/>
      <c r="D616" s="8"/>
      <c r="E616" s="9"/>
      <c r="F616" s="8"/>
      <c r="G616" s="8"/>
      <c r="H616" s="8"/>
    </row>
    <row r="617" spans="1:8" ht="14.25" customHeight="1" x14ac:dyDescent="0.25">
      <c r="A617" s="8"/>
      <c r="B617" s="8"/>
      <c r="C617" s="8"/>
      <c r="D617" s="8"/>
      <c r="E617" s="9"/>
      <c r="F617" s="8"/>
      <c r="G617" s="8"/>
      <c r="H617" s="8"/>
    </row>
    <row r="618" spans="1:8" ht="14.25" customHeight="1" x14ac:dyDescent="0.25">
      <c r="A618" s="8"/>
      <c r="B618" s="8"/>
      <c r="C618" s="8"/>
      <c r="D618" s="8"/>
      <c r="E618" s="9"/>
      <c r="F618" s="8"/>
      <c r="G618" s="8"/>
      <c r="H618" s="8"/>
    </row>
    <row r="619" spans="1:8" ht="14.25" customHeight="1" x14ac:dyDescent="0.25">
      <c r="A619" s="8"/>
      <c r="B619" s="8"/>
      <c r="C619" s="8"/>
      <c r="D619" s="8"/>
      <c r="E619" s="9"/>
      <c r="F619" s="8"/>
      <c r="G619" s="8"/>
      <c r="H619" s="8"/>
    </row>
    <row r="620" spans="1:8" ht="14.25" customHeight="1" x14ac:dyDescent="0.25">
      <c r="A620" s="8"/>
      <c r="B620" s="8"/>
      <c r="C620" s="8"/>
      <c r="D620" s="8"/>
      <c r="E620" s="9"/>
      <c r="F620" s="8"/>
      <c r="G620" s="8"/>
      <c r="H620" s="8"/>
    </row>
    <row r="621" spans="1:8" ht="14.25" customHeight="1" x14ac:dyDescent="0.25">
      <c r="A621" s="8"/>
      <c r="B621" s="8"/>
      <c r="C621" s="8"/>
      <c r="D621" s="8"/>
      <c r="E621" s="9"/>
      <c r="F621" s="8"/>
      <c r="G621" s="8"/>
      <c r="H621" s="8"/>
    </row>
    <row r="622" spans="1:8" ht="14.25" customHeight="1" x14ac:dyDescent="0.25">
      <c r="A622" s="8"/>
      <c r="B622" s="8"/>
      <c r="C622" s="8"/>
      <c r="D622" s="8"/>
      <c r="E622" s="9"/>
      <c r="F622" s="8"/>
      <c r="G622" s="8"/>
      <c r="H622" s="8"/>
    </row>
    <row r="623" spans="1:8" ht="14.25" customHeight="1" x14ac:dyDescent="0.25">
      <c r="A623" s="8"/>
      <c r="B623" s="8"/>
      <c r="C623" s="8"/>
      <c r="D623" s="8"/>
      <c r="E623" s="9"/>
      <c r="F623" s="8"/>
      <c r="G623" s="8"/>
      <c r="H623" s="8"/>
    </row>
    <row r="624" spans="1:8" ht="14.25" customHeight="1" x14ac:dyDescent="0.25">
      <c r="A624" s="8"/>
      <c r="B624" s="8"/>
      <c r="C624" s="8"/>
      <c r="D624" s="8"/>
      <c r="E624" s="9"/>
      <c r="F624" s="8"/>
      <c r="G624" s="8"/>
      <c r="H624" s="8"/>
    </row>
    <row r="625" spans="1:8" ht="14.25" customHeight="1" x14ac:dyDescent="0.25">
      <c r="A625" s="8"/>
      <c r="B625" s="8"/>
      <c r="C625" s="8"/>
      <c r="D625" s="8"/>
      <c r="E625" s="9"/>
      <c r="F625" s="8"/>
      <c r="G625" s="8"/>
      <c r="H625" s="8"/>
    </row>
    <row r="626" spans="1:8" ht="14.25" customHeight="1" x14ac:dyDescent="0.25">
      <c r="A626" s="8"/>
      <c r="B626" s="8"/>
      <c r="C626" s="8"/>
      <c r="D626" s="8"/>
      <c r="E626" s="9"/>
      <c r="F626" s="8"/>
      <c r="G626" s="8"/>
      <c r="H626" s="8"/>
    </row>
    <row r="627" spans="1:8" ht="14.25" customHeight="1" x14ac:dyDescent="0.25">
      <c r="A627" s="8"/>
      <c r="B627" s="8"/>
      <c r="C627" s="8"/>
      <c r="D627" s="8"/>
      <c r="E627" s="9"/>
      <c r="F627" s="8"/>
      <c r="G627" s="8"/>
      <c r="H627" s="8"/>
    </row>
    <row r="628" spans="1:8" ht="14.25" customHeight="1" x14ac:dyDescent="0.25">
      <c r="A628" s="8"/>
      <c r="B628" s="8"/>
      <c r="C628" s="8"/>
      <c r="D628" s="8"/>
      <c r="E628" s="9"/>
      <c r="F628" s="8"/>
      <c r="G628" s="8"/>
      <c r="H628" s="8"/>
    </row>
    <row r="629" spans="1:8" ht="14.25" customHeight="1" x14ac:dyDescent="0.25">
      <c r="A629" s="8"/>
      <c r="B629" s="8"/>
      <c r="C629" s="8"/>
      <c r="D629" s="8"/>
      <c r="E629" s="9"/>
      <c r="F629" s="8"/>
      <c r="G629" s="8"/>
      <c r="H629" s="8"/>
    </row>
    <row r="630" spans="1:8" ht="14.25" customHeight="1" x14ac:dyDescent="0.25">
      <c r="A630" s="8"/>
      <c r="B630" s="8"/>
      <c r="C630" s="8"/>
      <c r="D630" s="8"/>
      <c r="E630" s="9"/>
      <c r="F630" s="8"/>
      <c r="G630" s="8"/>
      <c r="H630" s="8"/>
    </row>
    <row r="631" spans="1:8" ht="14.25" customHeight="1" x14ac:dyDescent="0.25">
      <c r="A631" s="8"/>
      <c r="B631" s="8"/>
      <c r="C631" s="8"/>
      <c r="D631" s="8"/>
      <c r="E631" s="9"/>
      <c r="F631" s="8"/>
      <c r="G631" s="8"/>
      <c r="H631" s="8"/>
    </row>
    <row r="632" spans="1:8" ht="14.25" customHeight="1" x14ac:dyDescent="0.25">
      <c r="A632" s="8"/>
      <c r="B632" s="8"/>
      <c r="C632" s="8"/>
      <c r="D632" s="8"/>
      <c r="E632" s="9"/>
      <c r="F632" s="8"/>
      <c r="G632" s="8"/>
      <c r="H632" s="8"/>
    </row>
    <row r="633" spans="1:8" ht="14.25" customHeight="1" x14ac:dyDescent="0.25">
      <c r="A633" s="8"/>
      <c r="B633" s="8"/>
      <c r="C633" s="8"/>
      <c r="D633" s="8"/>
      <c r="E633" s="9"/>
      <c r="F633" s="8"/>
      <c r="G633" s="8"/>
      <c r="H633" s="8"/>
    </row>
    <row r="634" spans="1:8" ht="14.25" customHeight="1" x14ac:dyDescent="0.25">
      <c r="A634" s="8"/>
      <c r="B634" s="8"/>
      <c r="C634" s="8"/>
      <c r="D634" s="8"/>
      <c r="E634" s="9"/>
      <c r="F634" s="8"/>
      <c r="G634" s="8"/>
      <c r="H634" s="8"/>
    </row>
    <row r="635" spans="1:8" ht="14.25" customHeight="1" x14ac:dyDescent="0.25">
      <c r="A635" s="8"/>
      <c r="B635" s="8"/>
      <c r="C635" s="8"/>
      <c r="D635" s="8"/>
      <c r="E635" s="9"/>
      <c r="F635" s="8"/>
      <c r="G635" s="8"/>
      <c r="H635" s="8"/>
    </row>
    <row r="636" spans="1:8" ht="14.25" customHeight="1" x14ac:dyDescent="0.25">
      <c r="A636" s="8"/>
      <c r="B636" s="8"/>
      <c r="C636" s="8"/>
      <c r="D636" s="8"/>
      <c r="E636" s="9"/>
      <c r="F636" s="8"/>
      <c r="G636" s="8"/>
      <c r="H636" s="8"/>
    </row>
    <row r="637" spans="1:8" ht="14.25" customHeight="1" x14ac:dyDescent="0.25">
      <c r="A637" s="8"/>
      <c r="B637" s="8"/>
      <c r="C637" s="8"/>
      <c r="D637" s="8"/>
      <c r="E637" s="9"/>
      <c r="F637" s="8"/>
      <c r="G637" s="8"/>
      <c r="H637" s="8"/>
    </row>
    <row r="638" spans="1:8" ht="14.25" customHeight="1" x14ac:dyDescent="0.25">
      <c r="A638" s="8"/>
      <c r="B638" s="8"/>
      <c r="C638" s="8"/>
      <c r="D638" s="8"/>
      <c r="E638" s="9"/>
      <c r="F638" s="8"/>
      <c r="G638" s="8"/>
      <c r="H638" s="8"/>
    </row>
    <row r="639" spans="1:8" ht="14.25" customHeight="1" x14ac:dyDescent="0.25">
      <c r="A639" s="8"/>
      <c r="B639" s="8"/>
      <c r="C639" s="8"/>
      <c r="D639" s="8"/>
      <c r="E639" s="9"/>
      <c r="F639" s="8"/>
      <c r="G639" s="8"/>
      <c r="H639" s="8"/>
    </row>
    <row r="640" spans="1:8" ht="14.25" customHeight="1" x14ac:dyDescent="0.25">
      <c r="A640" s="8"/>
      <c r="B640" s="8"/>
      <c r="C640" s="8"/>
      <c r="D640" s="8"/>
      <c r="E640" s="9"/>
      <c r="F640" s="8"/>
      <c r="G640" s="8"/>
      <c r="H640" s="8"/>
    </row>
    <row r="641" spans="1:8" ht="14.25" customHeight="1" x14ac:dyDescent="0.25">
      <c r="A641" s="8"/>
      <c r="B641" s="8"/>
      <c r="C641" s="8"/>
      <c r="D641" s="8"/>
      <c r="E641" s="9"/>
      <c r="F641" s="8"/>
      <c r="G641" s="8"/>
      <c r="H641" s="8"/>
    </row>
    <row r="642" spans="1:8" ht="14.25" customHeight="1" x14ac:dyDescent="0.25">
      <c r="A642" s="8"/>
      <c r="B642" s="8"/>
      <c r="C642" s="8"/>
      <c r="D642" s="8"/>
      <c r="E642" s="9"/>
      <c r="F642" s="8"/>
      <c r="G642" s="8"/>
      <c r="H642" s="8"/>
    </row>
    <row r="643" spans="1:8" ht="14.25" customHeight="1" x14ac:dyDescent="0.25">
      <c r="A643" s="8"/>
      <c r="B643" s="8"/>
      <c r="C643" s="8"/>
      <c r="D643" s="8"/>
      <c r="E643" s="9"/>
      <c r="F643" s="8"/>
      <c r="G643" s="8"/>
      <c r="H643" s="8"/>
    </row>
    <row r="644" spans="1:8" ht="14.25" customHeight="1" x14ac:dyDescent="0.25">
      <c r="A644" s="8"/>
      <c r="B644" s="8"/>
      <c r="C644" s="8"/>
      <c r="D644" s="8"/>
      <c r="E644" s="9"/>
      <c r="F644" s="8"/>
      <c r="G644" s="8"/>
      <c r="H644" s="8"/>
    </row>
    <row r="645" spans="1:8" ht="14.25" customHeight="1" x14ac:dyDescent="0.25">
      <c r="A645" s="8"/>
      <c r="B645" s="8"/>
      <c r="C645" s="8"/>
      <c r="D645" s="8"/>
      <c r="E645" s="9"/>
      <c r="F645" s="8"/>
      <c r="G645" s="8"/>
      <c r="H645" s="8"/>
    </row>
    <row r="646" spans="1:8" ht="14.25" customHeight="1" x14ac:dyDescent="0.25">
      <c r="A646" s="8"/>
      <c r="B646" s="8"/>
      <c r="C646" s="8"/>
      <c r="D646" s="8"/>
      <c r="E646" s="9"/>
      <c r="F646" s="8"/>
      <c r="G646" s="8"/>
      <c r="H646" s="8"/>
    </row>
    <row r="647" spans="1:8" ht="14.25" customHeight="1" x14ac:dyDescent="0.25">
      <c r="A647" s="8"/>
      <c r="B647" s="8"/>
      <c r="C647" s="8"/>
      <c r="D647" s="8"/>
      <c r="E647" s="9"/>
      <c r="F647" s="8"/>
      <c r="G647" s="8"/>
      <c r="H647" s="8"/>
    </row>
    <row r="648" spans="1:8" ht="14.25" customHeight="1" x14ac:dyDescent="0.25">
      <c r="A648" s="8"/>
      <c r="B648" s="8"/>
      <c r="C648" s="8"/>
      <c r="D648" s="8"/>
      <c r="E648" s="9"/>
      <c r="F648" s="8"/>
      <c r="G648" s="8"/>
      <c r="H648" s="8"/>
    </row>
    <row r="649" spans="1:8" ht="14.25" customHeight="1" x14ac:dyDescent="0.25">
      <c r="A649" s="8"/>
      <c r="B649" s="8"/>
      <c r="C649" s="8"/>
      <c r="D649" s="8"/>
      <c r="E649" s="9"/>
      <c r="F649" s="8"/>
      <c r="G649" s="8"/>
      <c r="H649" s="8"/>
    </row>
    <row r="650" spans="1:8" ht="14.25" customHeight="1" x14ac:dyDescent="0.25">
      <c r="A650" s="8"/>
      <c r="B650" s="8"/>
      <c r="C650" s="8"/>
      <c r="D650" s="8"/>
      <c r="E650" s="9"/>
      <c r="F650" s="8"/>
      <c r="G650" s="8"/>
      <c r="H650" s="8"/>
    </row>
    <row r="651" spans="1:8" ht="14.25" customHeight="1" x14ac:dyDescent="0.25">
      <c r="A651" s="8"/>
      <c r="B651" s="8"/>
      <c r="C651" s="8"/>
      <c r="D651" s="8"/>
      <c r="E651" s="9"/>
      <c r="F651" s="8"/>
      <c r="G651" s="8"/>
      <c r="H651" s="8"/>
    </row>
    <row r="652" spans="1:8" ht="14.25" customHeight="1" x14ac:dyDescent="0.25">
      <c r="A652" s="8"/>
      <c r="B652" s="8"/>
      <c r="C652" s="8"/>
      <c r="D652" s="8"/>
      <c r="E652" s="9"/>
      <c r="F652" s="8"/>
      <c r="G652" s="8"/>
      <c r="H652" s="8"/>
    </row>
    <row r="653" spans="1:8" ht="14.25" customHeight="1" x14ac:dyDescent="0.25">
      <c r="A653" s="8"/>
      <c r="B653" s="8"/>
      <c r="C653" s="8"/>
      <c r="D653" s="8"/>
      <c r="E653" s="9"/>
      <c r="F653" s="8"/>
      <c r="G653" s="8"/>
      <c r="H653" s="8"/>
    </row>
    <row r="654" spans="1:8" ht="14.25" customHeight="1" x14ac:dyDescent="0.25">
      <c r="A654" s="8"/>
      <c r="B654" s="8"/>
      <c r="C654" s="8"/>
      <c r="D654" s="8"/>
      <c r="E654" s="9"/>
      <c r="F654" s="8"/>
      <c r="G654" s="8"/>
      <c r="H654" s="8"/>
    </row>
    <row r="655" spans="1:8" ht="14.25" customHeight="1" x14ac:dyDescent="0.25">
      <c r="A655" s="8"/>
      <c r="B655" s="8"/>
      <c r="C655" s="8"/>
      <c r="D655" s="8"/>
      <c r="E655" s="9"/>
      <c r="F655" s="8"/>
      <c r="G655" s="8"/>
      <c r="H655" s="8"/>
    </row>
    <row r="656" spans="1:8" ht="14.25" customHeight="1" x14ac:dyDescent="0.25">
      <c r="A656" s="8"/>
      <c r="B656" s="8"/>
      <c r="C656" s="8"/>
      <c r="D656" s="8"/>
      <c r="E656" s="9"/>
      <c r="F656" s="8"/>
      <c r="G656" s="8"/>
      <c r="H656" s="8"/>
    </row>
    <row r="657" spans="1:8" ht="14.25" customHeight="1" x14ac:dyDescent="0.25">
      <c r="A657" s="8"/>
      <c r="B657" s="8"/>
      <c r="C657" s="8"/>
      <c r="D657" s="8"/>
      <c r="E657" s="9"/>
      <c r="F657" s="8"/>
      <c r="G657" s="8"/>
      <c r="H657" s="8"/>
    </row>
    <row r="658" spans="1:8" ht="14.25" customHeight="1" x14ac:dyDescent="0.25">
      <c r="A658" s="8"/>
      <c r="B658" s="8"/>
      <c r="C658" s="8"/>
      <c r="D658" s="8"/>
      <c r="E658" s="9"/>
      <c r="F658" s="8"/>
      <c r="G658" s="8"/>
      <c r="H658" s="8"/>
    </row>
    <row r="659" spans="1:8" ht="14.25" customHeight="1" x14ac:dyDescent="0.25">
      <c r="A659" s="8"/>
      <c r="B659" s="8"/>
      <c r="C659" s="8"/>
      <c r="D659" s="8"/>
      <c r="E659" s="9"/>
      <c r="F659" s="8"/>
      <c r="G659" s="8"/>
      <c r="H659" s="8"/>
    </row>
    <row r="660" spans="1:8" ht="14.25" customHeight="1" x14ac:dyDescent="0.25">
      <c r="A660" s="8"/>
      <c r="B660" s="8"/>
      <c r="C660" s="8"/>
      <c r="D660" s="8"/>
      <c r="E660" s="9"/>
      <c r="F660" s="8"/>
      <c r="G660" s="8"/>
      <c r="H660" s="8"/>
    </row>
    <row r="661" spans="1:8" ht="14.25" customHeight="1" x14ac:dyDescent="0.25">
      <c r="A661" s="8"/>
      <c r="B661" s="8"/>
      <c r="C661" s="8"/>
      <c r="D661" s="8"/>
      <c r="E661" s="9"/>
      <c r="F661" s="8"/>
      <c r="G661" s="8"/>
      <c r="H661" s="8"/>
    </row>
    <row r="662" spans="1:8" ht="14.25" customHeight="1" x14ac:dyDescent="0.25">
      <c r="A662" s="8"/>
      <c r="B662" s="8"/>
      <c r="C662" s="8"/>
      <c r="D662" s="8"/>
      <c r="E662" s="9"/>
      <c r="F662" s="8"/>
      <c r="G662" s="8"/>
      <c r="H662" s="8"/>
    </row>
    <row r="663" spans="1:8" ht="14.25" customHeight="1" x14ac:dyDescent="0.25">
      <c r="A663" s="8"/>
      <c r="B663" s="8"/>
      <c r="C663" s="8"/>
      <c r="D663" s="8"/>
      <c r="E663" s="9"/>
      <c r="F663" s="8"/>
      <c r="G663" s="8"/>
      <c r="H663" s="8"/>
    </row>
    <row r="664" spans="1:8" ht="14.25" customHeight="1" x14ac:dyDescent="0.25">
      <c r="A664" s="8"/>
      <c r="B664" s="8"/>
      <c r="C664" s="8"/>
      <c r="D664" s="8"/>
      <c r="E664" s="9"/>
      <c r="F664" s="8"/>
      <c r="G664" s="8"/>
      <c r="H664" s="8"/>
    </row>
    <row r="665" spans="1:8" ht="14.25" customHeight="1" x14ac:dyDescent="0.25">
      <c r="A665" s="8"/>
      <c r="B665" s="8"/>
      <c r="C665" s="8"/>
      <c r="D665" s="8"/>
      <c r="E665" s="9"/>
      <c r="F665" s="8"/>
      <c r="G665" s="8"/>
      <c r="H665" s="8"/>
    </row>
    <row r="666" spans="1:8" ht="14.25" customHeight="1" x14ac:dyDescent="0.25">
      <c r="A666" s="8"/>
      <c r="B666" s="8"/>
      <c r="C666" s="8"/>
      <c r="D666" s="8"/>
      <c r="E666" s="9"/>
      <c r="F666" s="8"/>
      <c r="G666" s="8"/>
      <c r="H666" s="8"/>
    </row>
    <row r="667" spans="1:8" ht="14.25" customHeight="1" x14ac:dyDescent="0.25">
      <c r="A667" s="8"/>
      <c r="B667" s="8"/>
      <c r="C667" s="8"/>
      <c r="D667" s="8"/>
      <c r="E667" s="9"/>
      <c r="F667" s="8"/>
      <c r="G667" s="8"/>
      <c r="H667" s="8"/>
    </row>
    <row r="668" spans="1:8" ht="14.25" customHeight="1" x14ac:dyDescent="0.25">
      <c r="A668" s="8"/>
      <c r="B668" s="8"/>
      <c r="C668" s="8"/>
      <c r="D668" s="8"/>
      <c r="E668" s="9"/>
      <c r="F668" s="8"/>
      <c r="G668" s="8"/>
      <c r="H668" s="8"/>
    </row>
    <row r="669" spans="1:8" ht="14.25" customHeight="1" x14ac:dyDescent="0.25">
      <c r="A669" s="8"/>
      <c r="B669" s="8"/>
      <c r="C669" s="8"/>
      <c r="D669" s="8"/>
      <c r="E669" s="9"/>
      <c r="F669" s="8"/>
      <c r="G669" s="8"/>
      <c r="H669" s="8"/>
    </row>
    <row r="670" spans="1:8" ht="14.25" customHeight="1" x14ac:dyDescent="0.25">
      <c r="A670" s="8"/>
      <c r="B670" s="8"/>
      <c r="C670" s="8"/>
      <c r="D670" s="8"/>
      <c r="E670" s="9"/>
      <c r="F670" s="8"/>
      <c r="G670" s="8"/>
      <c r="H670" s="8"/>
    </row>
    <row r="671" spans="1:8" ht="14.25" customHeight="1" x14ac:dyDescent="0.25">
      <c r="A671" s="8"/>
      <c r="B671" s="8"/>
      <c r="C671" s="8"/>
      <c r="D671" s="8"/>
      <c r="E671" s="9"/>
      <c r="F671" s="8"/>
      <c r="G671" s="8"/>
      <c r="H671" s="8"/>
    </row>
    <row r="672" spans="1:8" ht="14.25" customHeight="1" x14ac:dyDescent="0.25">
      <c r="A672" s="8"/>
      <c r="B672" s="8"/>
      <c r="C672" s="8"/>
      <c r="D672" s="8"/>
      <c r="E672" s="9"/>
      <c r="F672" s="8"/>
      <c r="G672" s="8"/>
      <c r="H672" s="8"/>
    </row>
    <row r="673" spans="1:8" ht="14.25" customHeight="1" x14ac:dyDescent="0.25">
      <c r="A673" s="8"/>
      <c r="B673" s="8"/>
      <c r="C673" s="8"/>
      <c r="D673" s="8"/>
      <c r="E673" s="9"/>
      <c r="F673" s="8"/>
      <c r="G673" s="8"/>
      <c r="H673" s="8"/>
    </row>
    <row r="674" spans="1:8" ht="14.25" customHeight="1" x14ac:dyDescent="0.25">
      <c r="A674" s="8"/>
      <c r="B674" s="8"/>
      <c r="C674" s="8"/>
      <c r="D674" s="8"/>
      <c r="E674" s="9"/>
      <c r="F674" s="8"/>
      <c r="G674" s="8"/>
      <c r="H674" s="8"/>
    </row>
    <row r="675" spans="1:8" ht="14.25" customHeight="1" x14ac:dyDescent="0.25">
      <c r="A675" s="8"/>
      <c r="B675" s="8"/>
      <c r="C675" s="8"/>
      <c r="D675" s="8"/>
      <c r="E675" s="9"/>
      <c r="F675" s="8"/>
      <c r="G675" s="8"/>
      <c r="H675" s="8"/>
    </row>
    <row r="676" spans="1:8" ht="14.25" customHeight="1" x14ac:dyDescent="0.25">
      <c r="A676" s="8"/>
      <c r="B676" s="8"/>
      <c r="C676" s="8"/>
      <c r="D676" s="8"/>
      <c r="E676" s="9"/>
      <c r="F676" s="8"/>
      <c r="G676" s="8"/>
      <c r="H676" s="8"/>
    </row>
    <row r="677" spans="1:8" ht="14.25" customHeight="1" x14ac:dyDescent="0.25">
      <c r="A677" s="8"/>
      <c r="B677" s="8"/>
      <c r="C677" s="8"/>
      <c r="D677" s="8"/>
      <c r="E677" s="9"/>
      <c r="F677" s="8"/>
      <c r="G677" s="8"/>
      <c r="H677" s="8"/>
    </row>
    <row r="678" spans="1:8" ht="14.25" customHeight="1" x14ac:dyDescent="0.25">
      <c r="A678" s="8"/>
      <c r="B678" s="8"/>
      <c r="C678" s="8"/>
      <c r="D678" s="8"/>
      <c r="E678" s="9"/>
      <c r="F678" s="8"/>
      <c r="G678" s="8"/>
      <c r="H678" s="8"/>
    </row>
    <row r="679" spans="1:8" ht="14.25" customHeight="1" x14ac:dyDescent="0.25">
      <c r="A679" s="8"/>
      <c r="B679" s="8"/>
      <c r="C679" s="8"/>
      <c r="D679" s="8"/>
      <c r="E679" s="9"/>
      <c r="F679" s="8"/>
      <c r="G679" s="8"/>
      <c r="H679" s="8"/>
    </row>
    <row r="680" spans="1:8" ht="14.25" customHeight="1" x14ac:dyDescent="0.25">
      <c r="A680" s="8"/>
      <c r="B680" s="8"/>
      <c r="C680" s="8"/>
      <c r="D680" s="8"/>
      <c r="E680" s="9"/>
      <c r="F680" s="8"/>
      <c r="G680" s="8"/>
      <c r="H680" s="8"/>
    </row>
    <row r="681" spans="1:8" ht="14.25" customHeight="1" x14ac:dyDescent="0.25">
      <c r="A681" s="8"/>
      <c r="B681" s="8"/>
      <c r="C681" s="8"/>
      <c r="D681" s="8"/>
      <c r="E681" s="9"/>
      <c r="F681" s="8"/>
      <c r="G681" s="8"/>
      <c r="H681" s="8"/>
    </row>
    <row r="682" spans="1:8" ht="14.25" customHeight="1" x14ac:dyDescent="0.25">
      <c r="A682" s="8"/>
      <c r="B682" s="8"/>
      <c r="C682" s="8"/>
      <c r="D682" s="8"/>
      <c r="E682" s="9"/>
      <c r="F682" s="8"/>
      <c r="G682" s="8"/>
      <c r="H682" s="8"/>
    </row>
    <row r="683" spans="1:8" ht="14.25" customHeight="1" x14ac:dyDescent="0.25">
      <c r="A683" s="8"/>
      <c r="B683" s="8"/>
      <c r="C683" s="8"/>
      <c r="D683" s="8"/>
      <c r="E683" s="9"/>
      <c r="F683" s="8"/>
      <c r="G683" s="8"/>
      <c r="H683" s="8"/>
    </row>
    <row r="684" spans="1:8" ht="14.25" customHeight="1" x14ac:dyDescent="0.25">
      <c r="A684" s="8"/>
      <c r="B684" s="8"/>
      <c r="C684" s="8"/>
      <c r="D684" s="8"/>
      <c r="E684" s="9"/>
      <c r="F684" s="8"/>
      <c r="G684" s="8"/>
      <c r="H684" s="8"/>
    </row>
    <row r="685" spans="1:8" ht="14.25" customHeight="1" x14ac:dyDescent="0.25">
      <c r="A685" s="8"/>
      <c r="B685" s="8"/>
      <c r="C685" s="8"/>
      <c r="D685" s="8"/>
      <c r="E685" s="9"/>
      <c r="F685" s="8"/>
      <c r="G685" s="8"/>
      <c r="H685" s="8"/>
    </row>
    <row r="686" spans="1:8" ht="14.25" customHeight="1" x14ac:dyDescent="0.25">
      <c r="A686" s="8"/>
      <c r="B686" s="8"/>
      <c r="C686" s="8"/>
      <c r="D686" s="8"/>
      <c r="E686" s="9"/>
      <c r="F686" s="8"/>
      <c r="G686" s="8"/>
      <c r="H686" s="8"/>
    </row>
    <row r="687" spans="1:8" ht="14.25" customHeight="1" x14ac:dyDescent="0.25">
      <c r="A687" s="8"/>
      <c r="B687" s="8"/>
      <c r="C687" s="8"/>
      <c r="D687" s="8"/>
      <c r="E687" s="9"/>
      <c r="F687" s="8"/>
      <c r="G687" s="8"/>
      <c r="H687" s="8"/>
    </row>
    <row r="688" spans="1:8" ht="14.25" customHeight="1" x14ac:dyDescent="0.25">
      <c r="A688" s="8"/>
      <c r="B688" s="8"/>
      <c r="C688" s="8"/>
      <c r="D688" s="8"/>
      <c r="E688" s="9"/>
      <c r="F688" s="8"/>
      <c r="G688" s="8"/>
      <c r="H688" s="8"/>
    </row>
    <row r="689" spans="1:8" ht="14.25" customHeight="1" x14ac:dyDescent="0.25">
      <c r="A689" s="8"/>
      <c r="B689" s="8"/>
      <c r="C689" s="8"/>
      <c r="D689" s="8"/>
      <c r="E689" s="9"/>
      <c r="F689" s="8"/>
      <c r="G689" s="8"/>
      <c r="H689" s="8"/>
    </row>
    <row r="690" spans="1:8" ht="14.25" customHeight="1" x14ac:dyDescent="0.25">
      <c r="A690" s="8"/>
      <c r="B690" s="8"/>
      <c r="C690" s="8"/>
      <c r="D690" s="8"/>
      <c r="E690" s="9"/>
      <c r="F690" s="8"/>
      <c r="G690" s="8"/>
      <c r="H690" s="8"/>
    </row>
    <row r="691" spans="1:8" ht="14.25" customHeight="1" x14ac:dyDescent="0.25">
      <c r="A691" s="8"/>
      <c r="B691" s="8"/>
      <c r="C691" s="8"/>
      <c r="D691" s="8"/>
      <c r="E691" s="9"/>
      <c r="F691" s="8"/>
      <c r="G691" s="8"/>
      <c r="H691" s="8"/>
    </row>
    <row r="692" spans="1:8" ht="14.25" customHeight="1" x14ac:dyDescent="0.25">
      <c r="A692" s="8"/>
      <c r="B692" s="8"/>
      <c r="C692" s="8"/>
      <c r="D692" s="8"/>
      <c r="E692" s="9"/>
      <c r="F692" s="8"/>
      <c r="G692" s="8"/>
      <c r="H692" s="8"/>
    </row>
    <row r="693" spans="1:8" ht="14.25" customHeight="1" x14ac:dyDescent="0.25">
      <c r="A693" s="8"/>
      <c r="B693" s="8"/>
      <c r="C693" s="8"/>
      <c r="D693" s="8"/>
      <c r="E693" s="9"/>
      <c r="F693" s="8"/>
      <c r="G693" s="8"/>
      <c r="H693" s="8"/>
    </row>
    <row r="694" spans="1:8" ht="14.25" customHeight="1" x14ac:dyDescent="0.25">
      <c r="A694" s="8"/>
      <c r="B694" s="8"/>
      <c r="C694" s="8"/>
      <c r="D694" s="8"/>
      <c r="E694" s="9"/>
      <c r="F694" s="8"/>
      <c r="G694" s="8"/>
      <c r="H694" s="8"/>
    </row>
    <row r="695" spans="1:8" ht="14.25" customHeight="1" x14ac:dyDescent="0.25">
      <c r="A695" s="8"/>
      <c r="B695" s="8"/>
      <c r="C695" s="8"/>
      <c r="D695" s="8"/>
      <c r="E695" s="9"/>
      <c r="F695" s="8"/>
      <c r="G695" s="8"/>
      <c r="H695" s="8"/>
    </row>
    <row r="696" spans="1:8" ht="14.25" customHeight="1" x14ac:dyDescent="0.25">
      <c r="A696" s="8"/>
      <c r="B696" s="8"/>
      <c r="C696" s="8"/>
      <c r="D696" s="8"/>
      <c r="E696" s="9"/>
      <c r="F696" s="8"/>
      <c r="G696" s="8"/>
      <c r="H696" s="8"/>
    </row>
    <row r="697" spans="1:8" ht="14.25" customHeight="1" x14ac:dyDescent="0.25">
      <c r="A697" s="8"/>
      <c r="B697" s="8"/>
      <c r="C697" s="8"/>
      <c r="D697" s="8"/>
      <c r="E697" s="9"/>
      <c r="F697" s="8"/>
      <c r="G697" s="8"/>
      <c r="H697" s="8"/>
    </row>
    <row r="698" spans="1:8" ht="14.25" customHeight="1" x14ac:dyDescent="0.25">
      <c r="A698" s="8"/>
      <c r="B698" s="8"/>
      <c r="C698" s="8"/>
      <c r="D698" s="8"/>
      <c r="E698" s="9"/>
      <c r="F698" s="8"/>
      <c r="G698" s="8"/>
      <c r="H698" s="8"/>
    </row>
    <row r="699" spans="1:8" ht="14.25" customHeight="1" x14ac:dyDescent="0.25">
      <c r="A699" s="8"/>
      <c r="B699" s="8"/>
      <c r="C699" s="8"/>
      <c r="D699" s="8"/>
      <c r="E699" s="9"/>
      <c r="F699" s="8"/>
      <c r="G699" s="8"/>
      <c r="H699" s="8"/>
    </row>
    <row r="700" spans="1:8" ht="14.25" customHeight="1" x14ac:dyDescent="0.25">
      <c r="A700" s="8"/>
      <c r="B700" s="8"/>
      <c r="C700" s="8"/>
      <c r="D700" s="8"/>
      <c r="E700" s="9"/>
      <c r="F700" s="8"/>
      <c r="G700" s="8"/>
      <c r="H700" s="8"/>
    </row>
    <row r="701" spans="1:8" ht="14.25" customHeight="1" x14ac:dyDescent="0.25">
      <c r="A701" s="8"/>
      <c r="B701" s="8"/>
      <c r="C701" s="8"/>
      <c r="D701" s="8"/>
      <c r="E701" s="9"/>
      <c r="F701" s="8"/>
      <c r="G701" s="8"/>
      <c r="H701" s="8"/>
    </row>
    <row r="702" spans="1:8" ht="14.25" customHeight="1" x14ac:dyDescent="0.25">
      <c r="A702" s="8"/>
      <c r="B702" s="8"/>
      <c r="C702" s="8"/>
      <c r="D702" s="8"/>
      <c r="E702" s="9"/>
      <c r="F702" s="8"/>
      <c r="G702" s="8"/>
      <c r="H702" s="8"/>
    </row>
    <row r="703" spans="1:8" ht="14.25" customHeight="1" x14ac:dyDescent="0.25">
      <c r="A703" s="8"/>
      <c r="B703" s="8"/>
      <c r="C703" s="8"/>
      <c r="D703" s="8"/>
      <c r="E703" s="9"/>
      <c r="F703" s="8"/>
      <c r="G703" s="8"/>
      <c r="H703" s="8"/>
    </row>
    <row r="704" spans="1:8" ht="14.25" customHeight="1" x14ac:dyDescent="0.25">
      <c r="A704" s="8"/>
      <c r="B704" s="8"/>
      <c r="C704" s="8"/>
      <c r="D704" s="8"/>
      <c r="E704" s="9"/>
      <c r="F704" s="8"/>
      <c r="G704" s="8"/>
      <c r="H704" s="8"/>
    </row>
    <row r="705" spans="1:8" ht="14.25" customHeight="1" x14ac:dyDescent="0.25">
      <c r="A705" s="8"/>
      <c r="B705" s="8"/>
      <c r="C705" s="8"/>
      <c r="D705" s="8"/>
      <c r="E705" s="9"/>
      <c r="F705" s="8"/>
      <c r="G705" s="8"/>
      <c r="H705" s="8"/>
    </row>
    <row r="706" spans="1:8" ht="14.25" customHeight="1" x14ac:dyDescent="0.25">
      <c r="A706" s="8"/>
      <c r="B706" s="8"/>
      <c r="C706" s="8"/>
      <c r="D706" s="8"/>
      <c r="E706" s="9"/>
      <c r="F706" s="8"/>
      <c r="G706" s="8"/>
      <c r="H706" s="8"/>
    </row>
    <row r="707" spans="1:8" ht="14.25" customHeight="1" x14ac:dyDescent="0.25">
      <c r="A707" s="8"/>
      <c r="B707" s="8"/>
      <c r="C707" s="8"/>
      <c r="D707" s="8"/>
      <c r="E707" s="9"/>
      <c r="F707" s="8"/>
      <c r="G707" s="8"/>
      <c r="H707" s="8"/>
    </row>
    <row r="708" spans="1:8" ht="14.25" customHeight="1" x14ac:dyDescent="0.25">
      <c r="A708" s="8"/>
      <c r="B708" s="8"/>
      <c r="C708" s="8"/>
      <c r="D708" s="8"/>
      <c r="E708" s="9"/>
      <c r="F708" s="8"/>
      <c r="G708" s="8"/>
      <c r="H708" s="8"/>
    </row>
    <row r="709" spans="1:8" ht="14.25" customHeight="1" x14ac:dyDescent="0.25">
      <c r="A709" s="8"/>
      <c r="B709" s="8"/>
      <c r="C709" s="8"/>
      <c r="D709" s="8"/>
      <c r="E709" s="9"/>
      <c r="F709" s="8"/>
      <c r="G709" s="8"/>
      <c r="H709" s="8"/>
    </row>
    <row r="710" spans="1:8" ht="14.25" customHeight="1" x14ac:dyDescent="0.25">
      <c r="A710" s="8"/>
      <c r="B710" s="8"/>
      <c r="C710" s="8"/>
      <c r="D710" s="8"/>
      <c r="E710" s="9"/>
      <c r="F710" s="8"/>
      <c r="G710" s="8"/>
      <c r="H710" s="8"/>
    </row>
    <row r="711" spans="1:8" ht="14.25" customHeight="1" x14ac:dyDescent="0.25">
      <c r="A711" s="8"/>
      <c r="B711" s="8"/>
      <c r="C711" s="8"/>
      <c r="D711" s="8"/>
      <c r="E711" s="9"/>
      <c r="F711" s="8"/>
      <c r="G711" s="8"/>
      <c r="H711" s="8"/>
    </row>
    <row r="712" spans="1:8" ht="14.25" customHeight="1" x14ac:dyDescent="0.25">
      <c r="A712" s="8"/>
      <c r="B712" s="8"/>
      <c r="C712" s="8"/>
      <c r="D712" s="8"/>
      <c r="E712" s="9"/>
      <c r="F712" s="8"/>
      <c r="G712" s="8"/>
      <c r="H712" s="8"/>
    </row>
    <row r="713" spans="1:8" ht="14.25" customHeight="1" x14ac:dyDescent="0.25">
      <c r="A713" s="8"/>
      <c r="B713" s="8"/>
      <c r="C713" s="8"/>
      <c r="D713" s="8"/>
      <c r="E713" s="9"/>
      <c r="F713" s="8"/>
      <c r="G713" s="8"/>
      <c r="H713" s="8"/>
    </row>
    <row r="714" spans="1:8" ht="14.25" customHeight="1" x14ac:dyDescent="0.25">
      <c r="A714" s="8"/>
      <c r="B714" s="8"/>
      <c r="C714" s="8"/>
      <c r="D714" s="8"/>
      <c r="E714" s="9"/>
      <c r="F714" s="8"/>
      <c r="G714" s="8"/>
      <c r="H714" s="8"/>
    </row>
    <row r="715" spans="1:8" ht="14.25" customHeight="1" x14ac:dyDescent="0.25">
      <c r="A715" s="8"/>
      <c r="B715" s="8"/>
      <c r="C715" s="8"/>
      <c r="D715" s="8"/>
      <c r="E715" s="9"/>
      <c r="F715" s="8"/>
      <c r="G715" s="8"/>
      <c r="H715" s="8"/>
    </row>
    <row r="716" spans="1:8" ht="14.25" customHeight="1" x14ac:dyDescent="0.25">
      <c r="A716" s="8"/>
      <c r="B716" s="8"/>
      <c r="C716" s="8"/>
      <c r="D716" s="8"/>
      <c r="E716" s="9"/>
      <c r="F716" s="8"/>
      <c r="G716" s="8"/>
      <c r="H716" s="8"/>
    </row>
    <row r="717" spans="1:8" ht="14.25" customHeight="1" x14ac:dyDescent="0.25">
      <c r="A717" s="8"/>
      <c r="B717" s="8"/>
      <c r="C717" s="8"/>
      <c r="D717" s="8"/>
      <c r="E717" s="9"/>
      <c r="F717" s="8"/>
      <c r="G717" s="8"/>
      <c r="H717" s="8"/>
    </row>
    <row r="718" spans="1:8" ht="14.25" customHeight="1" x14ac:dyDescent="0.25">
      <c r="A718" s="8"/>
      <c r="B718" s="8"/>
      <c r="C718" s="8"/>
      <c r="D718" s="8"/>
      <c r="E718" s="9"/>
      <c r="F718" s="8"/>
      <c r="G718" s="8"/>
      <c r="H718" s="8"/>
    </row>
    <row r="719" spans="1:8" ht="14.25" customHeight="1" x14ac:dyDescent="0.25">
      <c r="A719" s="8"/>
      <c r="B719" s="8"/>
      <c r="C719" s="8"/>
      <c r="D719" s="8"/>
      <c r="E719" s="9"/>
      <c r="F719" s="8"/>
      <c r="G719" s="8"/>
      <c r="H719" s="8"/>
    </row>
    <row r="720" spans="1:8" ht="14.25" customHeight="1" x14ac:dyDescent="0.25">
      <c r="A720" s="8"/>
      <c r="B720" s="8"/>
      <c r="C720" s="8"/>
      <c r="D720" s="8"/>
      <c r="E720" s="9"/>
      <c r="F720" s="8"/>
      <c r="G720" s="8"/>
      <c r="H720" s="8"/>
    </row>
    <row r="721" spans="1:8" ht="14.25" customHeight="1" x14ac:dyDescent="0.25">
      <c r="A721" s="8"/>
      <c r="B721" s="8"/>
      <c r="C721" s="8"/>
      <c r="D721" s="8"/>
      <c r="E721" s="9"/>
      <c r="F721" s="8"/>
      <c r="G721" s="8"/>
      <c r="H721" s="8"/>
    </row>
    <row r="722" spans="1:8" ht="14.25" customHeight="1" x14ac:dyDescent="0.25">
      <c r="A722" s="8"/>
      <c r="B722" s="8"/>
      <c r="C722" s="8"/>
      <c r="D722" s="8"/>
      <c r="E722" s="9"/>
      <c r="F722" s="8"/>
      <c r="G722" s="8"/>
      <c r="H722" s="8"/>
    </row>
    <row r="723" spans="1:8" ht="14.25" customHeight="1" x14ac:dyDescent="0.25">
      <c r="A723" s="8"/>
      <c r="B723" s="8"/>
      <c r="C723" s="8"/>
      <c r="D723" s="8"/>
      <c r="E723" s="9"/>
      <c r="F723" s="8"/>
      <c r="G723" s="8"/>
      <c r="H723" s="8"/>
    </row>
    <row r="724" spans="1:8" ht="14.25" customHeight="1" x14ac:dyDescent="0.25">
      <c r="A724" s="8"/>
      <c r="B724" s="8"/>
      <c r="C724" s="8"/>
      <c r="D724" s="8"/>
      <c r="E724" s="9"/>
      <c r="F724" s="8"/>
      <c r="G724" s="8"/>
      <c r="H724" s="8"/>
    </row>
    <row r="725" spans="1:8" ht="14.25" customHeight="1" x14ac:dyDescent="0.25">
      <c r="A725" s="8"/>
      <c r="B725" s="8"/>
      <c r="C725" s="8"/>
      <c r="D725" s="8"/>
      <c r="E725" s="9"/>
      <c r="F725" s="8"/>
      <c r="G725" s="8"/>
      <c r="H725" s="8"/>
    </row>
    <row r="726" spans="1:8" ht="14.25" customHeight="1" x14ac:dyDescent="0.25">
      <c r="A726" s="8"/>
      <c r="B726" s="8"/>
      <c r="C726" s="8"/>
      <c r="D726" s="8"/>
      <c r="E726" s="9"/>
      <c r="F726" s="8"/>
      <c r="G726" s="8"/>
      <c r="H726" s="8"/>
    </row>
    <row r="727" spans="1:8" ht="14.25" customHeight="1" x14ac:dyDescent="0.25">
      <c r="A727" s="8"/>
      <c r="B727" s="8"/>
      <c r="C727" s="8"/>
      <c r="D727" s="8"/>
      <c r="E727" s="9"/>
      <c r="F727" s="8"/>
      <c r="G727" s="8"/>
      <c r="H727" s="8"/>
    </row>
    <row r="728" spans="1:8" ht="14.25" customHeight="1" x14ac:dyDescent="0.25">
      <c r="A728" s="8"/>
      <c r="B728" s="8"/>
      <c r="C728" s="8"/>
      <c r="D728" s="8"/>
      <c r="E728" s="9"/>
      <c r="F728" s="8"/>
      <c r="G728" s="8"/>
      <c r="H728" s="8"/>
    </row>
    <row r="729" spans="1:8" ht="14.25" customHeight="1" x14ac:dyDescent="0.25">
      <c r="A729" s="8"/>
      <c r="B729" s="8"/>
      <c r="C729" s="8"/>
      <c r="D729" s="8"/>
      <c r="E729" s="9"/>
      <c r="F729" s="8"/>
      <c r="G729" s="8"/>
      <c r="H729" s="8"/>
    </row>
    <row r="730" spans="1:8" ht="14.25" customHeight="1" x14ac:dyDescent="0.25">
      <c r="A730" s="8"/>
      <c r="B730" s="8"/>
      <c r="C730" s="8"/>
      <c r="D730" s="8"/>
      <c r="E730" s="9"/>
      <c r="F730" s="8"/>
      <c r="G730" s="8"/>
      <c r="H730" s="8"/>
    </row>
    <row r="731" spans="1:8" ht="14.25" customHeight="1" x14ac:dyDescent="0.25">
      <c r="A731" s="8"/>
      <c r="B731" s="8"/>
      <c r="C731" s="8"/>
      <c r="D731" s="8"/>
      <c r="E731" s="9"/>
      <c r="F731" s="8"/>
      <c r="G731" s="8"/>
      <c r="H731" s="8"/>
    </row>
    <row r="732" spans="1:8" ht="14.25" customHeight="1" x14ac:dyDescent="0.25">
      <c r="A732" s="8"/>
      <c r="B732" s="8"/>
      <c r="C732" s="8"/>
      <c r="D732" s="8"/>
      <c r="E732" s="9"/>
      <c r="F732" s="8"/>
      <c r="G732" s="8"/>
      <c r="H732" s="8"/>
    </row>
    <row r="733" spans="1:8" ht="14.25" customHeight="1" x14ac:dyDescent="0.25">
      <c r="A733" s="8"/>
      <c r="B733" s="8"/>
      <c r="C733" s="8"/>
      <c r="D733" s="8"/>
      <c r="E733" s="9"/>
      <c r="F733" s="8"/>
      <c r="G733" s="8"/>
      <c r="H733" s="8"/>
    </row>
    <row r="734" spans="1:8" ht="14.25" customHeight="1" x14ac:dyDescent="0.25">
      <c r="A734" s="8"/>
      <c r="B734" s="8"/>
      <c r="C734" s="8"/>
      <c r="D734" s="8"/>
      <c r="E734" s="9"/>
      <c r="F734" s="8"/>
      <c r="G734" s="8"/>
      <c r="H734" s="8"/>
    </row>
    <row r="735" spans="1:8" ht="14.25" customHeight="1" x14ac:dyDescent="0.25">
      <c r="A735" s="8"/>
      <c r="B735" s="8"/>
      <c r="C735" s="8"/>
      <c r="D735" s="8"/>
      <c r="E735" s="9"/>
      <c r="F735" s="8"/>
      <c r="G735" s="8"/>
      <c r="H735" s="8"/>
    </row>
    <row r="736" spans="1:8" ht="14.25" customHeight="1" x14ac:dyDescent="0.25">
      <c r="A736" s="8"/>
      <c r="B736" s="8"/>
      <c r="C736" s="8"/>
      <c r="D736" s="8"/>
      <c r="E736" s="9"/>
      <c r="F736" s="8"/>
      <c r="G736" s="8"/>
      <c r="H736" s="8"/>
    </row>
    <row r="737" spans="1:8" ht="14.25" customHeight="1" x14ac:dyDescent="0.25">
      <c r="A737" s="8"/>
      <c r="B737" s="8"/>
      <c r="C737" s="8"/>
      <c r="D737" s="8"/>
      <c r="E737" s="9"/>
      <c r="F737" s="8"/>
      <c r="G737" s="8"/>
      <c r="H737" s="8"/>
    </row>
    <row r="738" spans="1:8" ht="14.25" customHeight="1" x14ac:dyDescent="0.25">
      <c r="A738" s="8"/>
      <c r="B738" s="8"/>
      <c r="C738" s="8"/>
      <c r="D738" s="8"/>
      <c r="E738" s="9"/>
      <c r="F738" s="8"/>
      <c r="G738" s="8"/>
      <c r="H738" s="8"/>
    </row>
    <row r="739" spans="1:8" ht="14.25" customHeight="1" x14ac:dyDescent="0.25">
      <c r="A739" s="8"/>
      <c r="B739" s="8"/>
      <c r="C739" s="8"/>
      <c r="D739" s="8"/>
      <c r="E739" s="9"/>
      <c r="F739" s="8"/>
      <c r="G739" s="8"/>
      <c r="H739" s="8"/>
    </row>
    <row r="740" spans="1:8" ht="14.25" customHeight="1" x14ac:dyDescent="0.25">
      <c r="A740" s="8"/>
      <c r="B740" s="8"/>
      <c r="C740" s="8"/>
      <c r="D740" s="8"/>
      <c r="E740" s="9"/>
      <c r="F740" s="8"/>
      <c r="G740" s="8"/>
      <c r="H740" s="8"/>
    </row>
    <row r="741" spans="1:8" ht="14.25" customHeight="1" x14ac:dyDescent="0.25">
      <c r="A741" s="8"/>
      <c r="B741" s="8"/>
      <c r="C741" s="8"/>
      <c r="D741" s="8"/>
      <c r="E741" s="9"/>
      <c r="F741" s="8"/>
      <c r="G741" s="8"/>
      <c r="H741" s="8"/>
    </row>
    <row r="742" spans="1:8" ht="14.25" customHeight="1" x14ac:dyDescent="0.25">
      <c r="A742" s="8"/>
      <c r="B742" s="8"/>
      <c r="C742" s="8"/>
      <c r="D742" s="8"/>
      <c r="E742" s="9"/>
      <c r="F742" s="8"/>
      <c r="G742" s="8"/>
      <c r="H742" s="8"/>
    </row>
    <row r="743" spans="1:8" ht="14.25" customHeight="1" x14ac:dyDescent="0.25">
      <c r="A743" s="8"/>
      <c r="B743" s="8"/>
      <c r="C743" s="8"/>
      <c r="D743" s="8"/>
      <c r="E743" s="9"/>
      <c r="F743" s="8"/>
      <c r="G743" s="8"/>
      <c r="H743" s="8"/>
    </row>
    <row r="744" spans="1:8" ht="14.25" customHeight="1" x14ac:dyDescent="0.25">
      <c r="A744" s="8"/>
      <c r="B744" s="8"/>
      <c r="C744" s="8"/>
      <c r="D744" s="8"/>
      <c r="E744" s="9"/>
      <c r="F744" s="8"/>
      <c r="G744" s="8"/>
      <c r="H744" s="8"/>
    </row>
    <row r="745" spans="1:8" ht="14.25" customHeight="1" x14ac:dyDescent="0.25">
      <c r="A745" s="8"/>
      <c r="B745" s="8"/>
      <c r="C745" s="8"/>
      <c r="D745" s="8"/>
      <c r="E745" s="9"/>
      <c r="F745" s="8"/>
      <c r="G745" s="8"/>
      <c r="H745" s="8"/>
    </row>
    <row r="746" spans="1:8" ht="14.25" customHeight="1" x14ac:dyDescent="0.25">
      <c r="A746" s="8"/>
      <c r="B746" s="8"/>
      <c r="C746" s="8"/>
      <c r="D746" s="8"/>
      <c r="E746" s="9"/>
      <c r="F746" s="8"/>
      <c r="G746" s="8"/>
      <c r="H746" s="8"/>
    </row>
    <row r="747" spans="1:8" ht="14.25" customHeight="1" x14ac:dyDescent="0.25">
      <c r="A747" s="8"/>
      <c r="B747" s="8"/>
      <c r="C747" s="8"/>
      <c r="D747" s="8"/>
      <c r="E747" s="9"/>
      <c r="F747" s="8"/>
      <c r="G747" s="8"/>
      <c r="H747" s="8"/>
    </row>
    <row r="748" spans="1:8" ht="14.25" customHeight="1" x14ac:dyDescent="0.25">
      <c r="A748" s="8"/>
      <c r="B748" s="8"/>
      <c r="C748" s="8"/>
      <c r="D748" s="8"/>
      <c r="E748" s="9"/>
      <c r="F748" s="8"/>
      <c r="G748" s="8"/>
      <c r="H748" s="8"/>
    </row>
    <row r="749" spans="1:8" ht="14.25" customHeight="1" x14ac:dyDescent="0.25">
      <c r="A749" s="8"/>
      <c r="B749" s="8"/>
      <c r="C749" s="8"/>
      <c r="D749" s="8"/>
      <c r="E749" s="9"/>
      <c r="F749" s="8"/>
      <c r="G749" s="8"/>
      <c r="H749" s="8"/>
    </row>
    <row r="750" spans="1:8" ht="14.25" customHeight="1" x14ac:dyDescent="0.25">
      <c r="A750" s="8"/>
      <c r="B750" s="8"/>
      <c r="C750" s="8"/>
      <c r="D750" s="8"/>
      <c r="E750" s="9"/>
      <c r="F750" s="8"/>
      <c r="G750" s="8"/>
      <c r="H750" s="8"/>
    </row>
    <row r="751" spans="1:8" ht="14.25" customHeight="1" x14ac:dyDescent="0.25">
      <c r="A751" s="8"/>
      <c r="B751" s="8"/>
      <c r="C751" s="8"/>
      <c r="D751" s="8"/>
      <c r="E751" s="9"/>
      <c r="F751" s="8"/>
      <c r="G751" s="8"/>
      <c r="H751" s="8"/>
    </row>
    <row r="752" spans="1:8" ht="14.25" customHeight="1" x14ac:dyDescent="0.25">
      <c r="A752" s="8"/>
      <c r="B752" s="8"/>
      <c r="C752" s="8"/>
      <c r="D752" s="8"/>
      <c r="E752" s="9"/>
      <c r="F752" s="8"/>
      <c r="G752" s="8"/>
      <c r="H752" s="8"/>
    </row>
    <row r="753" spans="1:8" ht="14.25" customHeight="1" x14ac:dyDescent="0.25">
      <c r="A753" s="8"/>
      <c r="B753" s="8"/>
      <c r="C753" s="8"/>
      <c r="D753" s="8"/>
      <c r="E753" s="9"/>
      <c r="F753" s="8"/>
      <c r="G753" s="8"/>
      <c r="H753" s="8"/>
    </row>
    <row r="754" spans="1:8" ht="14.25" customHeight="1" x14ac:dyDescent="0.25">
      <c r="A754" s="8"/>
      <c r="B754" s="8"/>
      <c r="C754" s="8"/>
      <c r="D754" s="8"/>
      <c r="E754" s="9"/>
      <c r="F754" s="8"/>
      <c r="G754" s="8"/>
      <c r="H754" s="8"/>
    </row>
    <row r="755" spans="1:8" ht="14.25" customHeight="1" x14ac:dyDescent="0.25">
      <c r="A755" s="8"/>
      <c r="B755" s="8"/>
      <c r="C755" s="8"/>
      <c r="D755" s="8"/>
      <c r="E755" s="9"/>
      <c r="F755" s="8"/>
      <c r="G755" s="8"/>
      <c r="H755" s="8"/>
    </row>
    <row r="756" spans="1:8" ht="14.25" customHeight="1" x14ac:dyDescent="0.25">
      <c r="A756" s="8"/>
      <c r="B756" s="8"/>
      <c r="C756" s="8"/>
      <c r="D756" s="8"/>
      <c r="E756" s="9"/>
      <c r="F756" s="8"/>
      <c r="G756" s="8"/>
      <c r="H756" s="8"/>
    </row>
    <row r="757" spans="1:8" ht="14.25" customHeight="1" x14ac:dyDescent="0.25">
      <c r="A757" s="8"/>
      <c r="B757" s="8"/>
      <c r="C757" s="8"/>
      <c r="D757" s="8"/>
      <c r="E757" s="9"/>
      <c r="F757" s="8"/>
      <c r="G757" s="8"/>
      <c r="H757" s="8"/>
    </row>
    <row r="758" spans="1:8" ht="14.25" customHeight="1" x14ac:dyDescent="0.25">
      <c r="A758" s="8"/>
      <c r="B758" s="8"/>
      <c r="C758" s="8"/>
      <c r="D758" s="8"/>
      <c r="E758" s="9"/>
      <c r="F758" s="8"/>
      <c r="G758" s="8"/>
      <c r="H758" s="8"/>
    </row>
    <row r="759" spans="1:8" ht="14.25" customHeight="1" x14ac:dyDescent="0.25">
      <c r="A759" s="8"/>
      <c r="B759" s="8"/>
      <c r="C759" s="8"/>
      <c r="D759" s="8"/>
      <c r="E759" s="9"/>
      <c r="F759" s="8"/>
      <c r="G759" s="8"/>
      <c r="H759" s="8"/>
    </row>
    <row r="760" spans="1:8" ht="14.25" customHeight="1" x14ac:dyDescent="0.25">
      <c r="A760" s="8"/>
      <c r="B760" s="8"/>
      <c r="C760" s="8"/>
      <c r="D760" s="8"/>
      <c r="E760" s="9"/>
      <c r="F760" s="8"/>
      <c r="G760" s="8"/>
      <c r="H760" s="8"/>
    </row>
    <row r="761" spans="1:8" ht="14.25" customHeight="1" x14ac:dyDescent="0.25">
      <c r="A761" s="8"/>
      <c r="B761" s="8"/>
      <c r="C761" s="8"/>
      <c r="D761" s="8"/>
      <c r="E761" s="9"/>
      <c r="F761" s="8"/>
      <c r="G761" s="8"/>
      <c r="H761" s="8"/>
    </row>
    <row r="762" spans="1:8" ht="14.25" customHeight="1" x14ac:dyDescent="0.25">
      <c r="A762" s="8"/>
      <c r="B762" s="8"/>
      <c r="C762" s="8"/>
      <c r="D762" s="8"/>
      <c r="E762" s="9"/>
      <c r="F762" s="8"/>
      <c r="G762" s="8"/>
      <c r="H762" s="8"/>
    </row>
    <row r="763" spans="1:8" ht="14.25" customHeight="1" x14ac:dyDescent="0.25">
      <c r="A763" s="8"/>
      <c r="B763" s="8"/>
      <c r="C763" s="8"/>
      <c r="D763" s="8"/>
      <c r="E763" s="9"/>
      <c r="F763" s="8"/>
      <c r="G763" s="8"/>
      <c r="H763" s="8"/>
    </row>
    <row r="764" spans="1:8" ht="14.25" customHeight="1" x14ac:dyDescent="0.25">
      <c r="A764" s="8"/>
      <c r="B764" s="8"/>
      <c r="C764" s="8"/>
      <c r="D764" s="8"/>
      <c r="E764" s="9"/>
      <c r="F764" s="8"/>
      <c r="G764" s="8"/>
      <c r="H764" s="8"/>
    </row>
    <row r="765" spans="1:8" ht="14.25" customHeight="1" x14ac:dyDescent="0.25">
      <c r="A765" s="8"/>
      <c r="B765" s="8"/>
      <c r="C765" s="8"/>
      <c r="D765" s="8"/>
      <c r="E765" s="9"/>
      <c r="F765" s="8"/>
      <c r="G765" s="8"/>
      <c r="H765" s="8"/>
    </row>
    <row r="766" spans="1:8" ht="14.25" customHeight="1" x14ac:dyDescent="0.25">
      <c r="A766" s="8"/>
      <c r="B766" s="8"/>
      <c r="C766" s="8"/>
      <c r="D766" s="8"/>
      <c r="E766" s="9"/>
      <c r="F766" s="8"/>
      <c r="G766" s="8"/>
      <c r="H766" s="8"/>
    </row>
    <row r="767" spans="1:8" ht="14.25" customHeight="1" x14ac:dyDescent="0.25">
      <c r="A767" s="8"/>
      <c r="B767" s="8"/>
      <c r="C767" s="8"/>
      <c r="D767" s="8"/>
      <c r="E767" s="9"/>
      <c r="F767" s="8"/>
      <c r="G767" s="8"/>
      <c r="H767" s="8"/>
    </row>
    <row r="768" spans="1:8" ht="14.25" customHeight="1" x14ac:dyDescent="0.25">
      <c r="A768" s="8"/>
      <c r="B768" s="8"/>
      <c r="C768" s="8"/>
      <c r="D768" s="8"/>
      <c r="E768" s="9"/>
      <c r="F768" s="8"/>
      <c r="G768" s="8"/>
      <c r="H768" s="8"/>
    </row>
    <row r="769" spans="1:8" ht="14.25" customHeight="1" x14ac:dyDescent="0.25">
      <c r="A769" s="8"/>
      <c r="B769" s="8"/>
      <c r="C769" s="8"/>
      <c r="D769" s="8"/>
      <c r="E769" s="9"/>
      <c r="F769" s="8"/>
      <c r="G769" s="8"/>
      <c r="H769" s="8"/>
    </row>
    <row r="770" spans="1:8" ht="14.25" customHeight="1" x14ac:dyDescent="0.25">
      <c r="A770" s="8"/>
      <c r="B770" s="8"/>
      <c r="C770" s="8"/>
      <c r="D770" s="8"/>
      <c r="E770" s="9"/>
      <c r="F770" s="8"/>
      <c r="G770" s="8"/>
      <c r="H770" s="8"/>
    </row>
    <row r="771" spans="1:8" ht="14.25" customHeight="1" x14ac:dyDescent="0.25">
      <c r="A771" s="8"/>
      <c r="B771" s="8"/>
      <c r="C771" s="8"/>
      <c r="D771" s="8"/>
      <c r="E771" s="9"/>
      <c r="F771" s="8"/>
      <c r="G771" s="8"/>
      <c r="H771" s="8"/>
    </row>
    <row r="772" spans="1:8" ht="14.25" customHeight="1" x14ac:dyDescent="0.25">
      <c r="A772" s="8"/>
      <c r="B772" s="8"/>
      <c r="C772" s="8"/>
      <c r="D772" s="8"/>
      <c r="E772" s="9"/>
      <c r="F772" s="8"/>
      <c r="G772" s="8"/>
      <c r="H772" s="8"/>
    </row>
    <row r="773" spans="1:8" ht="14.25" customHeight="1" x14ac:dyDescent="0.25">
      <c r="A773" s="8"/>
      <c r="B773" s="8"/>
      <c r="C773" s="8"/>
      <c r="D773" s="8"/>
      <c r="E773" s="9"/>
      <c r="F773" s="8"/>
      <c r="G773" s="8"/>
      <c r="H773" s="8"/>
    </row>
    <row r="774" spans="1:8" ht="14.25" customHeight="1" x14ac:dyDescent="0.25">
      <c r="A774" s="8"/>
      <c r="B774" s="8"/>
      <c r="C774" s="8"/>
      <c r="D774" s="8"/>
      <c r="E774" s="9"/>
      <c r="F774" s="8"/>
      <c r="G774" s="8"/>
      <c r="H774" s="8"/>
    </row>
    <row r="775" spans="1:8" ht="14.25" customHeight="1" x14ac:dyDescent="0.25">
      <c r="A775" s="8"/>
      <c r="B775" s="8"/>
      <c r="C775" s="8"/>
      <c r="D775" s="8"/>
      <c r="E775" s="9"/>
      <c r="F775" s="8"/>
      <c r="G775" s="8"/>
      <c r="H775" s="8"/>
    </row>
    <row r="776" spans="1:8" ht="14.25" customHeight="1" x14ac:dyDescent="0.25">
      <c r="A776" s="8"/>
      <c r="B776" s="8"/>
      <c r="C776" s="8"/>
      <c r="D776" s="8"/>
      <c r="E776" s="9"/>
      <c r="F776" s="8"/>
      <c r="G776" s="8"/>
      <c r="H776" s="8"/>
    </row>
    <row r="777" spans="1:8" ht="14.25" customHeight="1" x14ac:dyDescent="0.25">
      <c r="A777" s="8"/>
      <c r="B777" s="8"/>
      <c r="C777" s="8"/>
      <c r="D777" s="8"/>
      <c r="E777" s="9"/>
      <c r="F777" s="8"/>
      <c r="G777" s="8"/>
      <c r="H777" s="8"/>
    </row>
    <row r="778" spans="1:8" ht="14.25" customHeight="1" x14ac:dyDescent="0.25">
      <c r="A778" s="8"/>
      <c r="B778" s="8"/>
      <c r="C778" s="8"/>
      <c r="D778" s="8"/>
      <c r="E778" s="9"/>
      <c r="F778" s="8"/>
      <c r="G778" s="8"/>
      <c r="H778" s="8"/>
    </row>
    <row r="779" spans="1:8" ht="14.25" customHeight="1" x14ac:dyDescent="0.25">
      <c r="A779" s="8"/>
      <c r="B779" s="8"/>
      <c r="C779" s="8"/>
      <c r="D779" s="8"/>
      <c r="E779" s="9"/>
      <c r="F779" s="8"/>
      <c r="G779" s="8"/>
      <c r="H779" s="8"/>
    </row>
    <row r="780" spans="1:8" ht="14.25" customHeight="1" x14ac:dyDescent="0.25">
      <c r="A780" s="8"/>
      <c r="B780" s="8"/>
      <c r="C780" s="8"/>
      <c r="D780" s="8"/>
      <c r="E780" s="9"/>
      <c r="F780" s="8"/>
      <c r="G780" s="8"/>
      <c r="H780" s="8"/>
    </row>
    <row r="781" spans="1:8" ht="14.25" customHeight="1" x14ac:dyDescent="0.25">
      <c r="A781" s="8"/>
      <c r="B781" s="8"/>
      <c r="C781" s="8"/>
      <c r="D781" s="8"/>
      <c r="E781" s="9"/>
      <c r="F781" s="8"/>
      <c r="G781" s="8"/>
      <c r="H781" s="8"/>
    </row>
    <row r="782" spans="1:8" ht="14.25" customHeight="1" x14ac:dyDescent="0.25">
      <c r="A782" s="8"/>
      <c r="B782" s="8"/>
      <c r="C782" s="8"/>
      <c r="D782" s="8"/>
      <c r="E782" s="9"/>
      <c r="F782" s="8"/>
      <c r="G782" s="8"/>
      <c r="H782" s="8"/>
    </row>
    <row r="783" spans="1:8" ht="14.25" customHeight="1" x14ac:dyDescent="0.25">
      <c r="A783" s="8"/>
      <c r="B783" s="8"/>
      <c r="C783" s="8"/>
      <c r="D783" s="8"/>
      <c r="E783" s="9"/>
      <c r="F783" s="8"/>
      <c r="G783" s="8"/>
      <c r="H783" s="8"/>
    </row>
    <row r="784" spans="1:8" ht="14.25" customHeight="1" x14ac:dyDescent="0.25">
      <c r="A784" s="8"/>
      <c r="B784" s="8"/>
      <c r="C784" s="8"/>
      <c r="D784" s="8"/>
      <c r="E784" s="9"/>
      <c r="F784" s="8"/>
      <c r="G784" s="8"/>
      <c r="H784" s="8"/>
    </row>
    <row r="785" spans="1:8" ht="14.25" customHeight="1" x14ac:dyDescent="0.25">
      <c r="A785" s="8"/>
      <c r="B785" s="8"/>
      <c r="C785" s="8"/>
      <c r="D785" s="8"/>
      <c r="E785" s="9"/>
      <c r="F785" s="8"/>
      <c r="G785" s="8"/>
      <c r="H785" s="8"/>
    </row>
    <row r="786" spans="1:8" ht="14.25" customHeight="1" x14ac:dyDescent="0.25">
      <c r="A786" s="8"/>
      <c r="B786" s="8"/>
      <c r="C786" s="8"/>
      <c r="D786" s="8"/>
      <c r="E786" s="9"/>
      <c r="F786" s="8"/>
      <c r="G786" s="8"/>
      <c r="H786" s="8"/>
    </row>
    <row r="787" spans="1:8" ht="14.25" customHeight="1" x14ac:dyDescent="0.25">
      <c r="A787" s="8"/>
      <c r="B787" s="8"/>
      <c r="C787" s="8"/>
      <c r="D787" s="8"/>
      <c r="E787" s="9"/>
      <c r="F787" s="8"/>
      <c r="G787" s="8"/>
      <c r="H787" s="8"/>
    </row>
    <row r="788" spans="1:8" ht="14.25" customHeight="1" x14ac:dyDescent="0.25">
      <c r="A788" s="8"/>
      <c r="B788" s="8"/>
      <c r="C788" s="8"/>
      <c r="D788" s="8"/>
      <c r="E788" s="9"/>
      <c r="F788" s="8"/>
      <c r="G788" s="8"/>
      <c r="H788" s="8"/>
    </row>
    <row r="789" spans="1:8" ht="14.25" customHeight="1" x14ac:dyDescent="0.25">
      <c r="A789" s="8"/>
      <c r="B789" s="8"/>
      <c r="C789" s="8"/>
      <c r="D789" s="8"/>
      <c r="E789" s="9"/>
      <c r="F789" s="8"/>
      <c r="G789" s="8"/>
      <c r="H789" s="8"/>
    </row>
    <row r="790" spans="1:8" ht="14.25" customHeight="1" x14ac:dyDescent="0.25">
      <c r="A790" s="8"/>
      <c r="B790" s="8"/>
      <c r="C790" s="8"/>
      <c r="D790" s="8"/>
      <c r="E790" s="9"/>
      <c r="F790" s="8"/>
      <c r="G790" s="8"/>
      <c r="H790" s="8"/>
    </row>
    <row r="791" spans="1:8" ht="14.25" customHeight="1" x14ac:dyDescent="0.25">
      <c r="A791" s="8"/>
      <c r="B791" s="8"/>
      <c r="C791" s="8"/>
      <c r="D791" s="8"/>
      <c r="E791" s="9"/>
      <c r="F791" s="8"/>
      <c r="G791" s="8"/>
      <c r="H791" s="8"/>
    </row>
    <row r="792" spans="1:8" ht="14.25" customHeight="1" x14ac:dyDescent="0.25">
      <c r="A792" s="8"/>
      <c r="B792" s="8"/>
      <c r="C792" s="8"/>
      <c r="D792" s="8"/>
      <c r="E792" s="9"/>
      <c r="F792" s="8"/>
      <c r="G792" s="8"/>
      <c r="H792" s="8"/>
    </row>
    <row r="793" spans="1:8" ht="14.25" customHeight="1" x14ac:dyDescent="0.25">
      <c r="A793" s="8"/>
      <c r="B793" s="8"/>
      <c r="C793" s="8"/>
      <c r="D793" s="8"/>
      <c r="E793" s="9"/>
      <c r="F793" s="8"/>
      <c r="G793" s="8"/>
      <c r="H793" s="8"/>
    </row>
    <row r="794" spans="1:8" ht="14.25" customHeight="1" x14ac:dyDescent="0.25">
      <c r="A794" s="8"/>
      <c r="B794" s="8"/>
      <c r="C794" s="8"/>
      <c r="D794" s="8"/>
      <c r="E794" s="9"/>
      <c r="F794" s="8"/>
      <c r="G794" s="8"/>
      <c r="H794" s="8"/>
    </row>
    <row r="795" spans="1:8" ht="14.25" customHeight="1" x14ac:dyDescent="0.25">
      <c r="A795" s="8"/>
      <c r="B795" s="8"/>
      <c r="C795" s="8"/>
      <c r="D795" s="8"/>
      <c r="E795" s="9"/>
      <c r="F795" s="8"/>
      <c r="G795" s="8"/>
      <c r="H795" s="8"/>
    </row>
    <row r="796" spans="1:8" ht="14.25" customHeight="1" x14ac:dyDescent="0.25">
      <c r="A796" s="8"/>
      <c r="B796" s="8"/>
      <c r="C796" s="8"/>
      <c r="D796" s="8"/>
      <c r="E796" s="9"/>
      <c r="F796" s="8"/>
      <c r="G796" s="8"/>
      <c r="H796" s="8"/>
    </row>
    <row r="797" spans="1:8" ht="14.25" customHeight="1" x14ac:dyDescent="0.25">
      <c r="A797" s="8"/>
      <c r="B797" s="8"/>
      <c r="C797" s="8"/>
      <c r="D797" s="8"/>
      <c r="E797" s="9"/>
      <c r="F797" s="8"/>
      <c r="G797" s="8"/>
      <c r="H797" s="8"/>
    </row>
    <row r="798" spans="1:8" ht="14.25" customHeight="1" x14ac:dyDescent="0.25">
      <c r="A798" s="8"/>
      <c r="B798" s="8"/>
      <c r="C798" s="8"/>
      <c r="D798" s="8"/>
      <c r="E798" s="9"/>
      <c r="F798" s="8"/>
      <c r="G798" s="8"/>
      <c r="H798" s="8"/>
    </row>
    <row r="799" spans="1:8" ht="14.25" customHeight="1" x14ac:dyDescent="0.25">
      <c r="A799" s="8"/>
      <c r="B799" s="8"/>
      <c r="C799" s="8"/>
      <c r="D799" s="8"/>
      <c r="E799" s="9"/>
      <c r="F799" s="8"/>
      <c r="G799" s="8"/>
      <c r="H799" s="8"/>
    </row>
    <row r="800" spans="1:8" ht="14.25" customHeight="1" x14ac:dyDescent="0.25">
      <c r="A800" s="8"/>
      <c r="B800" s="8"/>
      <c r="C800" s="8"/>
      <c r="D800" s="8"/>
      <c r="E800" s="9"/>
      <c r="F800" s="8"/>
      <c r="G800" s="8"/>
      <c r="H800" s="8"/>
    </row>
    <row r="801" spans="1:8" ht="14.25" customHeight="1" x14ac:dyDescent="0.25">
      <c r="A801" s="8"/>
      <c r="B801" s="8"/>
      <c r="C801" s="8"/>
      <c r="D801" s="8"/>
      <c r="E801" s="9"/>
      <c r="F801" s="8"/>
      <c r="G801" s="8"/>
      <c r="H801" s="8"/>
    </row>
    <row r="802" spans="1:8" ht="14.25" customHeight="1" x14ac:dyDescent="0.25">
      <c r="A802" s="8"/>
      <c r="B802" s="8"/>
      <c r="C802" s="8"/>
      <c r="D802" s="8"/>
      <c r="E802" s="9"/>
      <c r="F802" s="8"/>
      <c r="G802" s="8"/>
      <c r="H802" s="8"/>
    </row>
    <row r="803" spans="1:8" ht="14.25" customHeight="1" x14ac:dyDescent="0.25">
      <c r="A803" s="8"/>
      <c r="B803" s="8"/>
      <c r="C803" s="8"/>
      <c r="D803" s="8"/>
      <c r="E803" s="9"/>
      <c r="F803" s="8"/>
      <c r="G803" s="8"/>
      <c r="H803" s="8"/>
    </row>
    <row r="804" spans="1:8" ht="14.25" customHeight="1" x14ac:dyDescent="0.25">
      <c r="A804" s="8"/>
      <c r="B804" s="8"/>
      <c r="C804" s="8"/>
      <c r="D804" s="8"/>
      <c r="E804" s="9"/>
      <c r="F804" s="8"/>
      <c r="G804" s="8"/>
      <c r="H804" s="8"/>
    </row>
    <row r="805" spans="1:8" ht="14.25" customHeight="1" x14ac:dyDescent="0.25">
      <c r="A805" s="8"/>
      <c r="B805" s="8"/>
      <c r="C805" s="8"/>
      <c r="D805" s="8"/>
      <c r="E805" s="9"/>
      <c r="F805" s="8"/>
      <c r="G805" s="8"/>
      <c r="H805" s="8"/>
    </row>
    <row r="806" spans="1:8" ht="14.25" customHeight="1" x14ac:dyDescent="0.25">
      <c r="A806" s="8"/>
      <c r="B806" s="8"/>
      <c r="C806" s="8"/>
      <c r="D806" s="8"/>
      <c r="E806" s="9"/>
      <c r="F806" s="8"/>
      <c r="G806" s="8"/>
      <c r="H806" s="8"/>
    </row>
    <row r="807" spans="1:8" ht="14.25" customHeight="1" x14ac:dyDescent="0.25">
      <c r="A807" s="8"/>
      <c r="B807" s="8"/>
      <c r="C807" s="8"/>
      <c r="D807" s="8"/>
      <c r="E807" s="9"/>
      <c r="F807" s="8"/>
      <c r="G807" s="8"/>
      <c r="H807" s="8"/>
    </row>
    <row r="808" spans="1:8" ht="14.25" customHeight="1" x14ac:dyDescent="0.25">
      <c r="A808" s="8"/>
      <c r="B808" s="8"/>
      <c r="C808" s="8"/>
      <c r="D808" s="8"/>
      <c r="E808" s="9"/>
      <c r="F808" s="8"/>
      <c r="G808" s="8"/>
      <c r="H808" s="8"/>
    </row>
    <row r="809" spans="1:8" ht="14.25" customHeight="1" x14ac:dyDescent="0.25">
      <c r="A809" s="8"/>
      <c r="B809" s="8"/>
      <c r="C809" s="8"/>
      <c r="D809" s="8"/>
      <c r="E809" s="9"/>
      <c r="F809" s="8"/>
      <c r="G809" s="8"/>
      <c r="H809" s="8"/>
    </row>
    <row r="810" spans="1:8" ht="14.25" customHeight="1" x14ac:dyDescent="0.25">
      <c r="A810" s="8"/>
      <c r="B810" s="8"/>
      <c r="C810" s="8"/>
      <c r="D810" s="8"/>
      <c r="E810" s="9"/>
      <c r="F810" s="8"/>
      <c r="G810" s="8"/>
      <c r="H810" s="8"/>
    </row>
    <row r="811" spans="1:8" ht="14.25" customHeight="1" x14ac:dyDescent="0.25">
      <c r="A811" s="8"/>
      <c r="B811" s="8"/>
      <c r="C811" s="8"/>
      <c r="D811" s="8"/>
      <c r="E811" s="9"/>
      <c r="F811" s="8"/>
      <c r="G811" s="8"/>
      <c r="H811" s="8"/>
    </row>
    <row r="812" spans="1:8" ht="14.25" customHeight="1" x14ac:dyDescent="0.25">
      <c r="A812" s="8"/>
      <c r="B812" s="8"/>
      <c r="C812" s="8"/>
      <c r="D812" s="8"/>
      <c r="E812" s="9"/>
      <c r="F812" s="8"/>
      <c r="G812" s="8"/>
      <c r="H812" s="8"/>
    </row>
    <row r="813" spans="1:8" ht="14.25" customHeight="1" x14ac:dyDescent="0.25">
      <c r="A813" s="8"/>
      <c r="B813" s="8"/>
      <c r="C813" s="8"/>
      <c r="D813" s="8"/>
      <c r="E813" s="9"/>
      <c r="F813" s="8"/>
      <c r="G813" s="8"/>
      <c r="H813" s="8"/>
    </row>
    <row r="814" spans="1:8" ht="14.25" customHeight="1" x14ac:dyDescent="0.25">
      <c r="A814" s="8"/>
      <c r="B814" s="8"/>
      <c r="C814" s="8"/>
      <c r="D814" s="8"/>
      <c r="E814" s="9"/>
      <c r="F814" s="8"/>
      <c r="G814" s="8"/>
      <c r="H814" s="8"/>
    </row>
    <row r="815" spans="1:8" ht="14.25" customHeight="1" x14ac:dyDescent="0.25">
      <c r="A815" s="8"/>
      <c r="B815" s="8"/>
      <c r="C815" s="8"/>
      <c r="D815" s="8"/>
      <c r="E815" s="9"/>
      <c r="F815" s="8"/>
      <c r="G815" s="8"/>
      <c r="H815" s="8"/>
    </row>
    <row r="816" spans="1:8" ht="14.25" customHeight="1" x14ac:dyDescent="0.25">
      <c r="A816" s="8"/>
      <c r="B816" s="8"/>
      <c r="C816" s="8"/>
      <c r="D816" s="8"/>
      <c r="E816" s="9"/>
      <c r="F816" s="8"/>
      <c r="G816" s="8"/>
      <c r="H816" s="8"/>
    </row>
    <row r="817" spans="1:8" ht="14.25" customHeight="1" x14ac:dyDescent="0.25">
      <c r="A817" s="8"/>
      <c r="B817" s="8"/>
      <c r="C817" s="8"/>
      <c r="D817" s="8"/>
      <c r="E817" s="9"/>
      <c r="F817" s="8"/>
      <c r="G817" s="8"/>
      <c r="H817" s="8"/>
    </row>
    <row r="818" spans="1:8" ht="14.25" customHeight="1" x14ac:dyDescent="0.25">
      <c r="A818" s="8"/>
      <c r="B818" s="8"/>
      <c r="C818" s="8"/>
      <c r="D818" s="8"/>
      <c r="E818" s="9"/>
      <c r="F818" s="8"/>
      <c r="G818" s="8"/>
      <c r="H818" s="8"/>
    </row>
    <row r="819" spans="1:8" ht="14.25" customHeight="1" x14ac:dyDescent="0.25">
      <c r="A819" s="8"/>
      <c r="B819" s="8"/>
      <c r="C819" s="8"/>
      <c r="D819" s="8"/>
      <c r="E819" s="9"/>
      <c r="F819" s="8"/>
      <c r="G819" s="8"/>
      <c r="H819" s="8"/>
    </row>
    <row r="820" spans="1:8" ht="14.25" customHeight="1" x14ac:dyDescent="0.25">
      <c r="A820" s="8"/>
      <c r="B820" s="8"/>
      <c r="C820" s="8"/>
      <c r="D820" s="8"/>
      <c r="E820" s="9"/>
      <c r="F820" s="8"/>
      <c r="G820" s="8"/>
      <c r="H820" s="8"/>
    </row>
    <row r="821" spans="1:8" ht="14.25" customHeight="1" x14ac:dyDescent="0.25">
      <c r="A821" s="8"/>
      <c r="B821" s="8"/>
      <c r="C821" s="8"/>
      <c r="D821" s="8"/>
      <c r="E821" s="9"/>
      <c r="F821" s="8"/>
      <c r="G821" s="8"/>
      <c r="H821" s="8"/>
    </row>
    <row r="822" spans="1:8" ht="14.25" customHeight="1" x14ac:dyDescent="0.25">
      <c r="A822" s="8"/>
      <c r="B822" s="8"/>
      <c r="C822" s="8"/>
      <c r="D822" s="8"/>
      <c r="E822" s="9"/>
      <c r="F822" s="8"/>
      <c r="G822" s="8"/>
      <c r="H822" s="8"/>
    </row>
    <row r="823" spans="1:8" ht="14.25" customHeight="1" x14ac:dyDescent="0.25">
      <c r="A823" s="8"/>
      <c r="B823" s="8"/>
      <c r="C823" s="8"/>
      <c r="D823" s="8"/>
      <c r="E823" s="9"/>
      <c r="F823" s="8"/>
      <c r="G823" s="8"/>
      <c r="H823" s="8"/>
    </row>
    <row r="824" spans="1:8" ht="14.25" customHeight="1" x14ac:dyDescent="0.25">
      <c r="A824" s="8"/>
      <c r="B824" s="8"/>
      <c r="C824" s="8"/>
      <c r="D824" s="8"/>
      <c r="E824" s="9"/>
      <c r="F824" s="8"/>
      <c r="G824" s="8"/>
      <c r="H824" s="8"/>
    </row>
    <row r="825" spans="1:8" ht="14.25" customHeight="1" x14ac:dyDescent="0.25">
      <c r="A825" s="8"/>
      <c r="B825" s="8"/>
      <c r="C825" s="8"/>
      <c r="D825" s="8"/>
      <c r="E825" s="9"/>
      <c r="F825" s="8"/>
      <c r="G825" s="8"/>
      <c r="H825" s="8"/>
    </row>
    <row r="826" spans="1:8" ht="14.25" customHeight="1" x14ac:dyDescent="0.25">
      <c r="A826" s="8"/>
      <c r="B826" s="8"/>
      <c r="C826" s="8"/>
      <c r="D826" s="8"/>
      <c r="E826" s="9"/>
      <c r="F826" s="8"/>
      <c r="G826" s="8"/>
      <c r="H826" s="8"/>
    </row>
    <row r="827" spans="1:8" ht="14.25" customHeight="1" x14ac:dyDescent="0.25">
      <c r="A827" s="8"/>
      <c r="B827" s="8"/>
      <c r="C827" s="8"/>
      <c r="D827" s="8"/>
      <c r="E827" s="9"/>
      <c r="F827" s="8"/>
      <c r="G827" s="8"/>
      <c r="H827" s="8"/>
    </row>
    <row r="828" spans="1:8" ht="14.25" customHeight="1" x14ac:dyDescent="0.25">
      <c r="A828" s="8"/>
      <c r="B828" s="8"/>
      <c r="C828" s="8"/>
      <c r="D828" s="8"/>
      <c r="E828" s="9"/>
      <c r="F828" s="8"/>
      <c r="G828" s="8"/>
      <c r="H828" s="8"/>
    </row>
    <row r="829" spans="1:8" ht="14.25" customHeight="1" x14ac:dyDescent="0.25">
      <c r="A829" s="8"/>
      <c r="B829" s="8"/>
      <c r="C829" s="8"/>
      <c r="D829" s="8"/>
      <c r="E829" s="9"/>
      <c r="F829" s="8"/>
      <c r="G829" s="8"/>
      <c r="H829" s="8"/>
    </row>
    <row r="830" spans="1:8" ht="14.25" customHeight="1" x14ac:dyDescent="0.25">
      <c r="A830" s="8"/>
      <c r="B830" s="8"/>
      <c r="C830" s="8"/>
      <c r="D830" s="8"/>
      <c r="E830" s="9"/>
      <c r="F830" s="8"/>
      <c r="G830" s="8"/>
      <c r="H830" s="8"/>
    </row>
    <row r="831" spans="1:8" ht="14.25" customHeight="1" x14ac:dyDescent="0.25">
      <c r="A831" s="8"/>
      <c r="B831" s="8"/>
      <c r="C831" s="8"/>
      <c r="D831" s="8"/>
      <c r="E831" s="9"/>
      <c r="F831" s="8"/>
      <c r="G831" s="8"/>
      <c r="H831" s="8"/>
    </row>
    <row r="832" spans="1:8" ht="14.25" customHeight="1" x14ac:dyDescent="0.25">
      <c r="A832" s="8"/>
      <c r="B832" s="8"/>
      <c r="C832" s="8"/>
      <c r="D832" s="8"/>
      <c r="E832" s="9"/>
      <c r="F832" s="8"/>
      <c r="G832" s="8"/>
      <c r="H832" s="8"/>
    </row>
    <row r="833" spans="1:8" ht="14.25" customHeight="1" x14ac:dyDescent="0.25">
      <c r="A833" s="8"/>
      <c r="B833" s="8"/>
      <c r="C833" s="8"/>
      <c r="D833" s="8"/>
      <c r="E833" s="9"/>
      <c r="F833" s="8"/>
      <c r="G833" s="8"/>
      <c r="H833" s="8"/>
    </row>
    <row r="834" spans="1:8" ht="14.25" customHeight="1" x14ac:dyDescent="0.25">
      <c r="A834" s="8"/>
      <c r="B834" s="8"/>
      <c r="C834" s="8"/>
      <c r="D834" s="8"/>
      <c r="E834" s="9"/>
      <c r="F834" s="8"/>
      <c r="G834" s="8"/>
      <c r="H834" s="8"/>
    </row>
    <row r="835" spans="1:8" ht="14.25" customHeight="1" x14ac:dyDescent="0.25">
      <c r="A835" s="8"/>
      <c r="B835" s="8"/>
      <c r="C835" s="8"/>
      <c r="D835" s="8"/>
      <c r="E835" s="9"/>
      <c r="F835" s="8"/>
      <c r="G835" s="8"/>
      <c r="H835" s="8"/>
    </row>
    <row r="836" spans="1:8" ht="14.25" customHeight="1" x14ac:dyDescent="0.25">
      <c r="A836" s="8"/>
      <c r="B836" s="8"/>
      <c r="C836" s="8"/>
      <c r="D836" s="8"/>
      <c r="E836" s="9"/>
      <c r="F836" s="8"/>
      <c r="G836" s="8"/>
      <c r="H836" s="8"/>
    </row>
    <row r="837" spans="1:8" ht="14.25" customHeight="1" x14ac:dyDescent="0.25">
      <c r="A837" s="8"/>
      <c r="B837" s="8"/>
      <c r="C837" s="8"/>
      <c r="D837" s="8"/>
      <c r="E837" s="9"/>
      <c r="F837" s="8"/>
      <c r="G837" s="8"/>
      <c r="H837" s="8"/>
    </row>
    <row r="838" spans="1:8" ht="14.25" customHeight="1" x14ac:dyDescent="0.25">
      <c r="A838" s="8"/>
      <c r="B838" s="8"/>
      <c r="C838" s="8"/>
      <c r="D838" s="8"/>
      <c r="E838" s="9"/>
      <c r="F838" s="8"/>
      <c r="G838" s="8"/>
      <c r="H838" s="8"/>
    </row>
    <row r="839" spans="1:8" ht="14.25" customHeight="1" x14ac:dyDescent="0.25">
      <c r="A839" s="8"/>
      <c r="B839" s="8"/>
      <c r="C839" s="8"/>
      <c r="D839" s="8"/>
      <c r="E839" s="9"/>
      <c r="F839" s="8"/>
      <c r="G839" s="8"/>
      <c r="H839" s="8"/>
    </row>
    <row r="840" spans="1:8" ht="14.25" customHeight="1" x14ac:dyDescent="0.25">
      <c r="A840" s="8"/>
      <c r="B840" s="8"/>
      <c r="C840" s="8"/>
      <c r="D840" s="8"/>
      <c r="E840" s="9"/>
      <c r="F840" s="8"/>
      <c r="G840" s="8"/>
      <c r="H840" s="8"/>
    </row>
    <row r="841" spans="1:8" ht="14.25" customHeight="1" x14ac:dyDescent="0.25">
      <c r="A841" s="8"/>
      <c r="B841" s="8"/>
      <c r="C841" s="8"/>
      <c r="D841" s="8"/>
      <c r="E841" s="9"/>
      <c r="F841" s="8"/>
      <c r="G841" s="8"/>
      <c r="H841" s="8"/>
    </row>
    <row r="842" spans="1:8" ht="14.25" customHeight="1" x14ac:dyDescent="0.25">
      <c r="A842" s="8"/>
      <c r="B842" s="8"/>
      <c r="C842" s="8"/>
      <c r="D842" s="8"/>
      <c r="E842" s="9"/>
      <c r="F842" s="8"/>
      <c r="G842" s="8"/>
      <c r="H842" s="8"/>
    </row>
    <row r="843" spans="1:8" ht="14.25" customHeight="1" x14ac:dyDescent="0.25">
      <c r="A843" s="8"/>
      <c r="B843" s="8"/>
      <c r="C843" s="8"/>
      <c r="D843" s="8"/>
      <c r="E843" s="9"/>
      <c r="F843" s="8"/>
      <c r="G843" s="8"/>
      <c r="H843" s="8"/>
    </row>
    <row r="844" spans="1:8" ht="14.25" customHeight="1" x14ac:dyDescent="0.25">
      <c r="A844" s="8"/>
      <c r="B844" s="8"/>
      <c r="C844" s="8"/>
      <c r="D844" s="8"/>
      <c r="E844" s="9"/>
      <c r="F844" s="8"/>
      <c r="G844" s="8"/>
      <c r="H844" s="8"/>
    </row>
    <row r="845" spans="1:8" ht="14.25" customHeight="1" x14ac:dyDescent="0.25">
      <c r="A845" s="8"/>
      <c r="B845" s="8"/>
      <c r="C845" s="8"/>
      <c r="D845" s="8"/>
      <c r="E845" s="9"/>
      <c r="F845" s="8"/>
      <c r="G845" s="8"/>
      <c r="H845" s="8"/>
    </row>
    <row r="846" spans="1:8" ht="14.25" customHeight="1" x14ac:dyDescent="0.25">
      <c r="A846" s="8"/>
      <c r="B846" s="8"/>
      <c r="C846" s="8"/>
      <c r="D846" s="8"/>
      <c r="E846" s="9"/>
      <c r="F846" s="8"/>
      <c r="G846" s="8"/>
      <c r="H846" s="8"/>
    </row>
    <row r="847" spans="1:8" ht="14.25" customHeight="1" x14ac:dyDescent="0.25">
      <c r="A847" s="8"/>
      <c r="B847" s="8"/>
      <c r="C847" s="8"/>
      <c r="D847" s="8"/>
      <c r="E847" s="9"/>
      <c r="F847" s="8"/>
      <c r="G847" s="8"/>
      <c r="H847" s="8"/>
    </row>
    <row r="848" spans="1:8" ht="14.25" customHeight="1" x14ac:dyDescent="0.25">
      <c r="A848" s="8"/>
      <c r="B848" s="8"/>
      <c r="C848" s="8"/>
      <c r="D848" s="8"/>
      <c r="E848" s="9"/>
      <c r="F848" s="8"/>
      <c r="G848" s="8"/>
      <c r="H848" s="8"/>
    </row>
    <row r="849" spans="1:8" ht="14.25" customHeight="1" x14ac:dyDescent="0.25">
      <c r="A849" s="8"/>
      <c r="B849" s="8"/>
      <c r="C849" s="8"/>
      <c r="D849" s="8"/>
      <c r="E849" s="9"/>
      <c r="F849" s="8"/>
      <c r="G849" s="8"/>
      <c r="H849" s="8"/>
    </row>
    <row r="850" spans="1:8" ht="14.25" customHeight="1" x14ac:dyDescent="0.25">
      <c r="A850" s="8"/>
      <c r="B850" s="8"/>
      <c r="C850" s="8"/>
      <c r="D850" s="8"/>
      <c r="E850" s="9"/>
      <c r="F850" s="8"/>
      <c r="G850" s="8"/>
      <c r="H850" s="8"/>
    </row>
    <row r="851" spans="1:8" ht="14.25" customHeight="1" x14ac:dyDescent="0.25">
      <c r="A851" s="8"/>
      <c r="B851" s="8"/>
      <c r="C851" s="8"/>
      <c r="D851" s="8"/>
      <c r="E851" s="9"/>
      <c r="F851" s="8"/>
      <c r="G851" s="8"/>
      <c r="H851" s="8"/>
    </row>
    <row r="852" spans="1:8" ht="14.25" customHeight="1" x14ac:dyDescent="0.25">
      <c r="A852" s="8"/>
      <c r="B852" s="8"/>
      <c r="C852" s="8"/>
      <c r="D852" s="8"/>
      <c r="E852" s="9"/>
      <c r="F852" s="8"/>
      <c r="G852" s="8"/>
      <c r="H852" s="8"/>
    </row>
    <row r="853" spans="1:8" ht="14.25" customHeight="1" x14ac:dyDescent="0.25">
      <c r="A853" s="8"/>
      <c r="B853" s="8"/>
      <c r="C853" s="8"/>
      <c r="D853" s="8"/>
      <c r="E853" s="9"/>
      <c r="F853" s="8"/>
      <c r="G853" s="8"/>
      <c r="H853" s="8"/>
    </row>
    <row r="854" spans="1:8" ht="14.25" customHeight="1" x14ac:dyDescent="0.25">
      <c r="A854" s="8"/>
      <c r="B854" s="8"/>
      <c r="C854" s="8"/>
      <c r="D854" s="8"/>
      <c r="E854" s="9"/>
      <c r="F854" s="8"/>
      <c r="G854" s="8"/>
      <c r="H854" s="8"/>
    </row>
    <row r="855" spans="1:8" ht="14.25" customHeight="1" x14ac:dyDescent="0.25">
      <c r="A855" s="8"/>
      <c r="B855" s="8"/>
      <c r="C855" s="8"/>
      <c r="D855" s="8"/>
      <c r="E855" s="9"/>
      <c r="F855" s="8"/>
      <c r="G855" s="8"/>
      <c r="H855" s="8"/>
    </row>
    <row r="856" spans="1:8" ht="14.25" customHeight="1" x14ac:dyDescent="0.25">
      <c r="A856" s="8"/>
      <c r="B856" s="8"/>
      <c r="C856" s="8"/>
      <c r="D856" s="8"/>
      <c r="E856" s="9"/>
      <c r="F856" s="8"/>
      <c r="G856" s="8"/>
      <c r="H856" s="8"/>
    </row>
    <row r="857" spans="1:8" ht="14.25" customHeight="1" x14ac:dyDescent="0.25">
      <c r="A857" s="8"/>
      <c r="B857" s="8"/>
      <c r="C857" s="8"/>
      <c r="D857" s="8"/>
      <c r="E857" s="9"/>
      <c r="F857" s="8"/>
      <c r="G857" s="8"/>
      <c r="H857" s="8"/>
    </row>
    <row r="858" spans="1:8" ht="14.25" customHeight="1" x14ac:dyDescent="0.25">
      <c r="A858" s="8"/>
      <c r="B858" s="8"/>
      <c r="C858" s="8"/>
      <c r="D858" s="8"/>
      <c r="E858" s="9"/>
      <c r="F858" s="8"/>
      <c r="G858" s="8"/>
      <c r="H858" s="8"/>
    </row>
    <row r="859" spans="1:8" ht="14.25" customHeight="1" x14ac:dyDescent="0.25">
      <c r="A859" s="8"/>
      <c r="B859" s="8"/>
      <c r="C859" s="8"/>
      <c r="D859" s="8"/>
      <c r="E859" s="9"/>
      <c r="F859" s="8"/>
      <c r="G859" s="8"/>
      <c r="H859" s="8"/>
    </row>
    <row r="860" spans="1:8" ht="14.25" customHeight="1" x14ac:dyDescent="0.25">
      <c r="A860" s="8"/>
      <c r="B860" s="8"/>
      <c r="C860" s="8"/>
      <c r="D860" s="8"/>
      <c r="E860" s="9"/>
      <c r="F860" s="8"/>
      <c r="G860" s="8"/>
      <c r="H860" s="8"/>
    </row>
    <row r="861" spans="1:8" ht="14.25" customHeight="1" x14ac:dyDescent="0.25">
      <c r="A861" s="8"/>
      <c r="B861" s="8"/>
      <c r="C861" s="8"/>
      <c r="D861" s="8"/>
      <c r="E861" s="9"/>
      <c r="F861" s="8"/>
      <c r="G861" s="8"/>
      <c r="H861" s="8"/>
    </row>
    <row r="862" spans="1:8" ht="14.25" customHeight="1" x14ac:dyDescent="0.25">
      <c r="A862" s="8"/>
      <c r="B862" s="8"/>
      <c r="C862" s="8"/>
      <c r="D862" s="8"/>
      <c r="E862" s="9"/>
      <c r="F862" s="8"/>
      <c r="G862" s="8"/>
      <c r="H862" s="8"/>
    </row>
    <row r="863" spans="1:8" ht="14.25" customHeight="1" x14ac:dyDescent="0.25">
      <c r="A863" s="8"/>
      <c r="B863" s="8"/>
      <c r="C863" s="8"/>
      <c r="D863" s="8"/>
      <c r="E863" s="9"/>
      <c r="F863" s="8"/>
      <c r="G863" s="8"/>
      <c r="H863" s="8"/>
    </row>
    <row r="864" spans="1:8" ht="14.25" customHeight="1" x14ac:dyDescent="0.25">
      <c r="A864" s="8"/>
      <c r="B864" s="8"/>
      <c r="C864" s="8"/>
      <c r="D864" s="8"/>
      <c r="E864" s="9"/>
      <c r="F864" s="8"/>
      <c r="G864" s="8"/>
      <c r="H864" s="8"/>
    </row>
    <row r="865" spans="1:8" ht="14.25" customHeight="1" x14ac:dyDescent="0.25">
      <c r="A865" s="8"/>
      <c r="B865" s="8"/>
      <c r="C865" s="8"/>
      <c r="D865" s="8"/>
      <c r="E865" s="9"/>
      <c r="F865" s="8"/>
      <c r="G865" s="8"/>
      <c r="H865" s="8"/>
    </row>
    <row r="866" spans="1:8" ht="14.25" customHeight="1" x14ac:dyDescent="0.25">
      <c r="A866" s="8"/>
      <c r="B866" s="8"/>
      <c r="C866" s="8"/>
      <c r="D866" s="8"/>
      <c r="E866" s="9"/>
      <c r="F866" s="8"/>
      <c r="G866" s="8"/>
      <c r="H866" s="8"/>
    </row>
    <row r="867" spans="1:8" ht="14.25" customHeight="1" x14ac:dyDescent="0.25">
      <c r="A867" s="8"/>
      <c r="B867" s="8"/>
      <c r="C867" s="8"/>
      <c r="D867" s="8"/>
      <c r="E867" s="9"/>
      <c r="F867" s="8"/>
      <c r="G867" s="8"/>
      <c r="H867" s="8"/>
    </row>
    <row r="868" spans="1:8" ht="14.25" customHeight="1" x14ac:dyDescent="0.25">
      <c r="A868" s="8"/>
      <c r="B868" s="8"/>
      <c r="C868" s="8"/>
      <c r="D868" s="8"/>
      <c r="E868" s="9"/>
      <c r="F868" s="8"/>
      <c r="G868" s="8"/>
      <c r="H868" s="8"/>
    </row>
    <row r="869" spans="1:8" ht="14.25" customHeight="1" x14ac:dyDescent="0.25">
      <c r="A869" s="8"/>
      <c r="B869" s="8"/>
      <c r="C869" s="8"/>
      <c r="D869" s="8"/>
      <c r="E869" s="9"/>
      <c r="F869" s="8"/>
      <c r="G869" s="8"/>
      <c r="H869" s="8"/>
    </row>
    <row r="870" spans="1:8" ht="14.25" customHeight="1" x14ac:dyDescent="0.25">
      <c r="A870" s="8"/>
      <c r="B870" s="8"/>
      <c r="C870" s="8"/>
      <c r="D870" s="8"/>
      <c r="E870" s="9"/>
      <c r="F870" s="8"/>
      <c r="G870" s="8"/>
      <c r="H870" s="8"/>
    </row>
    <row r="871" spans="1:8" ht="14.25" customHeight="1" x14ac:dyDescent="0.25">
      <c r="A871" s="8"/>
      <c r="B871" s="8"/>
      <c r="C871" s="8"/>
      <c r="D871" s="8"/>
      <c r="E871" s="9"/>
      <c r="F871" s="8"/>
      <c r="G871" s="8"/>
      <c r="H871" s="8"/>
    </row>
    <row r="872" spans="1:8" ht="14.25" customHeight="1" x14ac:dyDescent="0.25">
      <c r="A872" s="8"/>
      <c r="B872" s="8"/>
      <c r="C872" s="8"/>
      <c r="D872" s="8"/>
      <c r="E872" s="9"/>
      <c r="F872" s="8"/>
      <c r="G872" s="8"/>
      <c r="H872" s="8"/>
    </row>
    <row r="873" spans="1:8" ht="14.25" customHeight="1" x14ac:dyDescent="0.25">
      <c r="A873" s="8"/>
      <c r="B873" s="8"/>
      <c r="C873" s="8"/>
      <c r="D873" s="8"/>
      <c r="E873" s="9"/>
      <c r="F873" s="8"/>
      <c r="G873" s="8"/>
      <c r="H873" s="8"/>
    </row>
    <row r="874" spans="1:8" ht="14.25" customHeight="1" x14ac:dyDescent="0.25">
      <c r="A874" s="8"/>
      <c r="B874" s="8"/>
      <c r="C874" s="8"/>
      <c r="D874" s="8"/>
      <c r="E874" s="9"/>
      <c r="F874" s="8"/>
      <c r="G874" s="8"/>
      <c r="H874" s="8"/>
    </row>
    <row r="875" spans="1:8" ht="14.25" customHeight="1" x14ac:dyDescent="0.25">
      <c r="A875" s="8"/>
      <c r="B875" s="8"/>
      <c r="C875" s="8"/>
      <c r="D875" s="8"/>
      <c r="E875" s="9"/>
      <c r="F875" s="8"/>
      <c r="G875" s="8"/>
      <c r="H875" s="8"/>
    </row>
    <row r="876" spans="1:8" ht="14.25" customHeight="1" x14ac:dyDescent="0.25">
      <c r="A876" s="8"/>
      <c r="B876" s="8"/>
      <c r="C876" s="8"/>
      <c r="D876" s="8"/>
      <c r="E876" s="9"/>
      <c r="F876" s="8"/>
      <c r="G876" s="8"/>
      <c r="H876" s="8"/>
    </row>
    <row r="877" spans="1:8" ht="14.25" customHeight="1" x14ac:dyDescent="0.25">
      <c r="A877" s="8"/>
      <c r="B877" s="8"/>
      <c r="C877" s="8"/>
      <c r="D877" s="8"/>
      <c r="E877" s="9"/>
      <c r="F877" s="8"/>
      <c r="G877" s="8"/>
      <c r="H877" s="8"/>
    </row>
    <row r="878" spans="1:8" ht="14.25" customHeight="1" x14ac:dyDescent="0.25">
      <c r="A878" s="8"/>
      <c r="B878" s="8"/>
      <c r="C878" s="8"/>
      <c r="D878" s="8"/>
      <c r="E878" s="9"/>
      <c r="F878" s="8"/>
      <c r="G878" s="8"/>
      <c r="H878" s="8"/>
    </row>
    <row r="879" spans="1:8" ht="14.25" customHeight="1" x14ac:dyDescent="0.25">
      <c r="A879" s="8"/>
      <c r="B879" s="8"/>
      <c r="C879" s="8"/>
      <c r="D879" s="8"/>
      <c r="E879" s="9"/>
      <c r="F879" s="8"/>
      <c r="G879" s="8"/>
      <c r="H879" s="8"/>
    </row>
    <row r="880" spans="1:8" ht="14.25" customHeight="1" x14ac:dyDescent="0.25">
      <c r="A880" s="8"/>
      <c r="B880" s="8"/>
      <c r="C880" s="8"/>
      <c r="D880" s="8"/>
      <c r="E880" s="9"/>
      <c r="F880" s="8"/>
      <c r="G880" s="8"/>
      <c r="H880" s="8"/>
    </row>
    <row r="881" spans="1:8" ht="14.25" customHeight="1" x14ac:dyDescent="0.25">
      <c r="A881" s="8"/>
      <c r="B881" s="8"/>
      <c r="C881" s="8"/>
      <c r="D881" s="8"/>
      <c r="E881" s="9"/>
      <c r="F881" s="8"/>
      <c r="G881" s="8"/>
      <c r="H881" s="8"/>
    </row>
    <row r="882" spans="1:8" ht="14.25" customHeight="1" x14ac:dyDescent="0.25">
      <c r="A882" s="8"/>
      <c r="B882" s="8"/>
      <c r="C882" s="8"/>
      <c r="D882" s="8"/>
      <c r="E882" s="9"/>
      <c r="F882" s="8"/>
      <c r="G882" s="8"/>
      <c r="H882" s="8"/>
    </row>
    <row r="883" spans="1:8" ht="14.25" customHeight="1" x14ac:dyDescent="0.25">
      <c r="A883" s="8"/>
      <c r="B883" s="8"/>
      <c r="C883" s="8"/>
      <c r="D883" s="8"/>
      <c r="E883" s="9"/>
      <c r="F883" s="8"/>
      <c r="G883" s="8"/>
      <c r="H883" s="8"/>
    </row>
    <row r="884" spans="1:8" ht="14.25" customHeight="1" x14ac:dyDescent="0.25">
      <c r="A884" s="8"/>
      <c r="B884" s="8"/>
      <c r="C884" s="8"/>
      <c r="D884" s="8"/>
      <c r="E884" s="9"/>
      <c r="F884" s="8"/>
      <c r="G884" s="8"/>
      <c r="H884" s="8"/>
    </row>
    <row r="885" spans="1:8" ht="14.25" customHeight="1" x14ac:dyDescent="0.25">
      <c r="A885" s="8"/>
      <c r="B885" s="8"/>
      <c r="C885" s="8"/>
      <c r="D885" s="8"/>
      <c r="E885" s="9"/>
      <c r="F885" s="8"/>
      <c r="G885" s="8"/>
      <c r="H885" s="8"/>
    </row>
    <row r="886" spans="1:8" ht="14.25" customHeight="1" x14ac:dyDescent="0.25">
      <c r="A886" s="8"/>
      <c r="B886" s="8"/>
      <c r="C886" s="8"/>
      <c r="D886" s="8"/>
      <c r="E886" s="9"/>
      <c r="F886" s="8"/>
      <c r="G886" s="8"/>
      <c r="H886" s="8"/>
    </row>
    <row r="887" spans="1:8" ht="14.25" customHeight="1" x14ac:dyDescent="0.25">
      <c r="A887" s="8"/>
      <c r="B887" s="8"/>
      <c r="C887" s="8"/>
      <c r="D887" s="8"/>
      <c r="E887" s="9"/>
      <c r="F887" s="8"/>
      <c r="G887" s="8"/>
      <c r="H887" s="8"/>
    </row>
    <row r="888" spans="1:8" ht="14.25" customHeight="1" x14ac:dyDescent="0.25">
      <c r="A888" s="8"/>
      <c r="B888" s="8"/>
      <c r="C888" s="8"/>
      <c r="D888" s="8"/>
      <c r="E888" s="9"/>
      <c r="F888" s="8"/>
      <c r="G888" s="8"/>
      <c r="H888" s="8"/>
    </row>
    <row r="889" spans="1:8" ht="14.25" customHeight="1" x14ac:dyDescent="0.25">
      <c r="A889" s="8"/>
      <c r="B889" s="8"/>
      <c r="C889" s="8"/>
      <c r="D889" s="8"/>
      <c r="E889" s="9"/>
      <c r="F889" s="8"/>
      <c r="G889" s="8"/>
      <c r="H889" s="8"/>
    </row>
    <row r="890" spans="1:8" ht="14.25" customHeight="1" x14ac:dyDescent="0.25">
      <c r="A890" s="8"/>
      <c r="B890" s="8"/>
      <c r="C890" s="8"/>
      <c r="D890" s="8"/>
      <c r="E890" s="9"/>
      <c r="F890" s="8"/>
      <c r="G890" s="8"/>
      <c r="H890" s="8"/>
    </row>
    <row r="891" spans="1:8" ht="14.25" customHeight="1" x14ac:dyDescent="0.25">
      <c r="A891" s="8"/>
      <c r="B891" s="8"/>
      <c r="C891" s="8"/>
      <c r="D891" s="8"/>
      <c r="E891" s="9"/>
      <c r="F891" s="8"/>
      <c r="G891" s="8"/>
      <c r="H891" s="8"/>
    </row>
    <row r="892" spans="1:8" ht="14.25" customHeight="1" x14ac:dyDescent="0.25">
      <c r="A892" s="8"/>
      <c r="B892" s="8"/>
      <c r="C892" s="8"/>
      <c r="D892" s="8"/>
      <c r="E892" s="9"/>
      <c r="F892" s="8"/>
      <c r="G892" s="8"/>
      <c r="H892" s="8"/>
    </row>
    <row r="893" spans="1:8" ht="14.25" customHeight="1" x14ac:dyDescent="0.25">
      <c r="A893" s="8"/>
      <c r="B893" s="8"/>
      <c r="C893" s="8"/>
      <c r="D893" s="8"/>
      <c r="E893" s="9"/>
      <c r="F893" s="8"/>
      <c r="G893" s="8"/>
      <c r="H893" s="8"/>
    </row>
    <row r="894" spans="1:8" ht="14.25" customHeight="1" x14ac:dyDescent="0.25">
      <c r="A894" s="8"/>
      <c r="B894" s="8"/>
      <c r="C894" s="8"/>
      <c r="D894" s="8"/>
      <c r="E894" s="9"/>
      <c r="F894" s="8"/>
      <c r="G894" s="8"/>
      <c r="H894" s="8"/>
    </row>
    <row r="895" spans="1:8" ht="14.25" customHeight="1" x14ac:dyDescent="0.25">
      <c r="A895" s="8"/>
      <c r="B895" s="8"/>
      <c r="C895" s="8"/>
      <c r="D895" s="8"/>
      <c r="E895" s="9"/>
      <c r="F895" s="8"/>
      <c r="G895" s="8"/>
      <c r="H895" s="8"/>
    </row>
    <row r="896" spans="1:8" ht="14.25" customHeight="1" x14ac:dyDescent="0.25">
      <c r="A896" s="8"/>
      <c r="B896" s="8"/>
      <c r="C896" s="8"/>
      <c r="D896" s="8"/>
      <c r="E896" s="9"/>
      <c r="F896" s="8"/>
      <c r="G896" s="8"/>
      <c r="H896" s="8"/>
    </row>
    <row r="897" spans="1:8" ht="14.25" customHeight="1" x14ac:dyDescent="0.25">
      <c r="A897" s="8"/>
      <c r="B897" s="8"/>
      <c r="C897" s="8"/>
      <c r="D897" s="8"/>
      <c r="E897" s="9"/>
      <c r="F897" s="8"/>
      <c r="G897" s="8"/>
      <c r="H897" s="8"/>
    </row>
    <row r="898" spans="1:8" ht="14.25" customHeight="1" x14ac:dyDescent="0.25">
      <c r="A898" s="8"/>
      <c r="B898" s="8"/>
      <c r="C898" s="8"/>
      <c r="D898" s="8"/>
      <c r="E898" s="9"/>
      <c r="F898" s="8"/>
      <c r="G898" s="8"/>
      <c r="H898" s="8"/>
    </row>
    <row r="899" spans="1:8" ht="14.25" customHeight="1" x14ac:dyDescent="0.25">
      <c r="A899" s="8"/>
      <c r="B899" s="8"/>
      <c r="C899" s="8"/>
      <c r="D899" s="8"/>
      <c r="E899" s="9"/>
      <c r="F899" s="8"/>
      <c r="G899" s="8"/>
      <c r="H899" s="8"/>
    </row>
    <row r="900" spans="1:8" ht="14.25" customHeight="1" x14ac:dyDescent="0.25">
      <c r="A900" s="8"/>
      <c r="B900" s="8"/>
      <c r="C900" s="8"/>
      <c r="D900" s="8"/>
      <c r="E900" s="9"/>
      <c r="F900" s="8"/>
      <c r="G900" s="8"/>
      <c r="H900" s="8"/>
    </row>
    <row r="901" spans="1:8" ht="14.25" customHeight="1" x14ac:dyDescent="0.25">
      <c r="A901" s="8"/>
      <c r="B901" s="8"/>
      <c r="C901" s="8"/>
      <c r="D901" s="8"/>
      <c r="E901" s="9"/>
      <c r="F901" s="8"/>
      <c r="G901" s="8"/>
      <c r="H901" s="8"/>
    </row>
    <row r="902" spans="1:8" ht="14.25" customHeight="1" x14ac:dyDescent="0.25">
      <c r="A902" s="8"/>
      <c r="B902" s="8"/>
      <c r="C902" s="8"/>
      <c r="D902" s="8"/>
      <c r="E902" s="9"/>
      <c r="F902" s="8"/>
      <c r="G902" s="8"/>
      <c r="H902" s="8"/>
    </row>
    <row r="903" spans="1:8" ht="14.25" customHeight="1" x14ac:dyDescent="0.25">
      <c r="A903" s="8"/>
      <c r="B903" s="8"/>
      <c r="C903" s="8"/>
      <c r="D903" s="8"/>
      <c r="E903" s="9"/>
      <c r="F903" s="8"/>
      <c r="G903" s="8"/>
      <c r="H903" s="8"/>
    </row>
    <row r="904" spans="1:8" ht="14.25" customHeight="1" x14ac:dyDescent="0.25">
      <c r="A904" s="8"/>
      <c r="B904" s="8"/>
      <c r="C904" s="8"/>
      <c r="D904" s="8"/>
      <c r="E904" s="9"/>
      <c r="F904" s="8"/>
      <c r="G904" s="8"/>
      <c r="H904" s="8"/>
    </row>
    <row r="905" spans="1:8" ht="14.25" customHeight="1" x14ac:dyDescent="0.25">
      <c r="A905" s="8"/>
      <c r="B905" s="8"/>
      <c r="C905" s="8"/>
      <c r="D905" s="8"/>
      <c r="E905" s="9"/>
      <c r="F905" s="8"/>
      <c r="G905" s="8"/>
      <c r="H905" s="8"/>
    </row>
    <row r="906" spans="1:8" ht="14.25" customHeight="1" x14ac:dyDescent="0.25">
      <c r="A906" s="8"/>
      <c r="B906" s="8"/>
      <c r="C906" s="8"/>
      <c r="D906" s="8"/>
      <c r="E906" s="9"/>
      <c r="F906" s="8"/>
      <c r="G906" s="8"/>
      <c r="H906" s="8"/>
    </row>
    <row r="907" spans="1:8" ht="14.25" customHeight="1" x14ac:dyDescent="0.25">
      <c r="A907" s="8"/>
      <c r="B907" s="8"/>
      <c r="C907" s="8"/>
      <c r="D907" s="8"/>
      <c r="E907" s="9"/>
      <c r="F907" s="8"/>
      <c r="G907" s="8"/>
      <c r="H907" s="8"/>
    </row>
    <row r="908" spans="1:8" ht="14.25" customHeight="1" x14ac:dyDescent="0.25">
      <c r="A908" s="8"/>
      <c r="B908" s="8"/>
      <c r="C908" s="8"/>
      <c r="D908" s="8"/>
      <c r="E908" s="9"/>
      <c r="F908" s="8"/>
      <c r="G908" s="8"/>
      <c r="H908" s="8"/>
    </row>
    <row r="909" spans="1:8" ht="14.25" customHeight="1" x14ac:dyDescent="0.25">
      <c r="A909" s="8"/>
      <c r="B909" s="8"/>
      <c r="C909" s="8"/>
      <c r="D909" s="8"/>
      <c r="E909" s="9"/>
      <c r="F909" s="8"/>
      <c r="G909" s="8"/>
      <c r="H909" s="8"/>
    </row>
    <row r="910" spans="1:8" ht="14.25" customHeight="1" x14ac:dyDescent="0.25">
      <c r="A910" s="8"/>
      <c r="B910" s="8"/>
      <c r="C910" s="8"/>
      <c r="D910" s="8"/>
      <c r="E910" s="9"/>
      <c r="F910" s="8"/>
      <c r="G910" s="8"/>
      <c r="H910" s="8"/>
    </row>
    <row r="911" spans="1:8" ht="14.25" customHeight="1" x14ac:dyDescent="0.25">
      <c r="A911" s="8"/>
      <c r="B911" s="8"/>
      <c r="C911" s="8"/>
      <c r="D911" s="8"/>
      <c r="E911" s="9"/>
      <c r="F911" s="8"/>
      <c r="G911" s="8"/>
      <c r="H911" s="8"/>
    </row>
    <row r="912" spans="1:8" ht="14.25" customHeight="1" x14ac:dyDescent="0.25">
      <c r="A912" s="8"/>
      <c r="B912" s="8"/>
      <c r="C912" s="8"/>
      <c r="D912" s="8"/>
      <c r="E912" s="9"/>
      <c r="F912" s="8"/>
      <c r="G912" s="8"/>
      <c r="H912" s="8"/>
    </row>
    <row r="913" spans="1:8" ht="14.25" customHeight="1" x14ac:dyDescent="0.25">
      <c r="A913" s="8"/>
      <c r="B913" s="8"/>
      <c r="C913" s="8"/>
      <c r="D913" s="8"/>
      <c r="E913" s="9"/>
      <c r="F913" s="8"/>
      <c r="G913" s="8"/>
      <c r="H913" s="8"/>
    </row>
    <row r="914" spans="1:8" ht="14.25" customHeight="1" x14ac:dyDescent="0.25">
      <c r="A914" s="8"/>
      <c r="B914" s="8"/>
      <c r="C914" s="8"/>
      <c r="D914" s="8"/>
      <c r="E914" s="9"/>
      <c r="F914" s="8"/>
      <c r="G914" s="8"/>
      <c r="H914" s="8"/>
    </row>
    <row r="915" spans="1:8" ht="14.25" customHeight="1" x14ac:dyDescent="0.25">
      <c r="A915" s="8"/>
      <c r="B915" s="8"/>
      <c r="C915" s="8"/>
      <c r="D915" s="8"/>
      <c r="E915" s="9"/>
      <c r="F915" s="8"/>
      <c r="G915" s="8"/>
      <c r="H915" s="8"/>
    </row>
    <row r="916" spans="1:8" ht="14.25" customHeight="1" x14ac:dyDescent="0.25">
      <c r="A916" s="8"/>
      <c r="B916" s="8"/>
      <c r="C916" s="8"/>
      <c r="D916" s="8"/>
      <c r="E916" s="9"/>
      <c r="F916" s="8"/>
      <c r="G916" s="8"/>
      <c r="H916" s="8"/>
    </row>
    <row r="917" spans="1:8" ht="14.25" customHeight="1" x14ac:dyDescent="0.25">
      <c r="A917" s="8"/>
      <c r="B917" s="8"/>
      <c r="C917" s="8"/>
      <c r="D917" s="8"/>
      <c r="E917" s="9"/>
      <c r="F917" s="8"/>
      <c r="G917" s="8"/>
      <c r="H917" s="8"/>
    </row>
    <row r="918" spans="1:8" ht="14.25" customHeight="1" x14ac:dyDescent="0.25">
      <c r="A918" s="8"/>
      <c r="B918" s="8"/>
      <c r="C918" s="8"/>
      <c r="D918" s="8"/>
      <c r="E918" s="9"/>
      <c r="F918" s="8"/>
      <c r="G918" s="8"/>
      <c r="H918" s="8"/>
    </row>
    <row r="919" spans="1:8" ht="14.25" customHeight="1" x14ac:dyDescent="0.25">
      <c r="A919" s="8"/>
      <c r="B919" s="8"/>
      <c r="C919" s="8"/>
      <c r="D919" s="8"/>
      <c r="E919" s="9"/>
      <c r="F919" s="8"/>
      <c r="G919" s="8"/>
      <c r="H919" s="8"/>
    </row>
    <row r="920" spans="1:8" ht="14.25" customHeight="1" x14ac:dyDescent="0.25">
      <c r="A920" s="8"/>
      <c r="B920" s="8"/>
      <c r="C920" s="8"/>
      <c r="D920" s="8"/>
      <c r="E920" s="9"/>
      <c r="F920" s="8"/>
      <c r="G920" s="8"/>
      <c r="H920" s="8"/>
    </row>
    <row r="921" spans="1:8" ht="14.25" customHeight="1" x14ac:dyDescent="0.25">
      <c r="A921" s="8"/>
      <c r="B921" s="8"/>
      <c r="C921" s="8"/>
      <c r="D921" s="8"/>
      <c r="E921" s="9"/>
      <c r="F921" s="8"/>
      <c r="G921" s="8"/>
      <c r="H921" s="8"/>
    </row>
    <row r="922" spans="1:8" ht="14.25" customHeight="1" x14ac:dyDescent="0.25">
      <c r="A922" s="8"/>
      <c r="B922" s="8"/>
      <c r="C922" s="8"/>
      <c r="D922" s="8"/>
      <c r="E922" s="9"/>
      <c r="F922" s="8"/>
      <c r="G922" s="8"/>
      <c r="H922" s="8"/>
    </row>
    <row r="923" spans="1:8" ht="14.25" customHeight="1" x14ac:dyDescent="0.25">
      <c r="A923" s="8"/>
      <c r="B923" s="8"/>
      <c r="C923" s="8"/>
      <c r="D923" s="8"/>
      <c r="E923" s="9"/>
      <c r="F923" s="8"/>
      <c r="G923" s="8"/>
      <c r="H923" s="8"/>
    </row>
    <row r="924" spans="1:8" ht="14.25" customHeight="1" x14ac:dyDescent="0.25">
      <c r="A924" s="8"/>
      <c r="B924" s="8"/>
      <c r="C924" s="8"/>
      <c r="D924" s="8"/>
      <c r="E924" s="9"/>
      <c r="F924" s="8"/>
      <c r="G924" s="8"/>
      <c r="H924" s="8"/>
    </row>
    <row r="925" spans="1:8" ht="14.25" customHeight="1" x14ac:dyDescent="0.25">
      <c r="A925" s="8"/>
      <c r="B925" s="8"/>
      <c r="C925" s="8"/>
      <c r="D925" s="8"/>
      <c r="E925" s="9"/>
      <c r="F925" s="8"/>
      <c r="G925" s="8"/>
      <c r="H925" s="8"/>
    </row>
    <row r="926" spans="1:8" ht="14.25" customHeight="1" x14ac:dyDescent="0.25">
      <c r="A926" s="8"/>
      <c r="B926" s="8"/>
      <c r="C926" s="8"/>
      <c r="D926" s="8"/>
      <c r="E926" s="9"/>
      <c r="F926" s="8"/>
      <c r="G926" s="8"/>
      <c r="H926" s="8"/>
    </row>
    <row r="927" spans="1:8" ht="14.25" customHeight="1" x14ac:dyDescent="0.25">
      <c r="A927" s="8"/>
      <c r="B927" s="8"/>
      <c r="C927" s="8"/>
      <c r="D927" s="8"/>
      <c r="E927" s="9"/>
      <c r="F927" s="8"/>
      <c r="G927" s="8"/>
      <c r="H927" s="8"/>
    </row>
    <row r="928" spans="1:8" ht="14.25" customHeight="1" x14ac:dyDescent="0.25">
      <c r="A928" s="8"/>
      <c r="B928" s="8"/>
      <c r="C928" s="8"/>
      <c r="D928" s="8"/>
      <c r="E928" s="9"/>
      <c r="F928" s="8"/>
      <c r="G928" s="8"/>
      <c r="H928" s="8"/>
    </row>
    <row r="929" spans="1:8" ht="14.25" customHeight="1" x14ac:dyDescent="0.25">
      <c r="A929" s="8"/>
      <c r="B929" s="8"/>
      <c r="C929" s="8"/>
      <c r="D929" s="8"/>
      <c r="E929" s="9"/>
      <c r="F929" s="8"/>
      <c r="G929" s="8"/>
      <c r="H929" s="8"/>
    </row>
    <row r="930" spans="1:8" ht="14.25" customHeight="1" x14ac:dyDescent="0.25">
      <c r="A930" s="8"/>
      <c r="B930" s="8"/>
      <c r="C930" s="8"/>
      <c r="D930" s="8"/>
      <c r="E930" s="9"/>
      <c r="F930" s="8"/>
      <c r="G930" s="8"/>
      <c r="H930" s="8"/>
    </row>
    <row r="931" spans="1:8" ht="14.25" customHeight="1" x14ac:dyDescent="0.25">
      <c r="A931" s="8"/>
      <c r="B931" s="8"/>
      <c r="C931" s="8"/>
      <c r="D931" s="8"/>
      <c r="E931" s="9"/>
      <c r="F931" s="8"/>
      <c r="G931" s="8"/>
      <c r="H931" s="8"/>
    </row>
    <row r="932" spans="1:8" ht="14.25" customHeight="1" x14ac:dyDescent="0.25">
      <c r="A932" s="8"/>
      <c r="B932" s="8"/>
      <c r="C932" s="8"/>
      <c r="D932" s="8"/>
      <c r="E932" s="9"/>
      <c r="F932" s="8"/>
      <c r="G932" s="8"/>
      <c r="H932" s="8"/>
    </row>
    <row r="933" spans="1:8" ht="14.25" customHeight="1" x14ac:dyDescent="0.25">
      <c r="A933" s="8"/>
      <c r="B933" s="8"/>
      <c r="C933" s="8"/>
      <c r="D933" s="8"/>
      <c r="E933" s="9"/>
      <c r="F933" s="8"/>
      <c r="G933" s="8"/>
      <c r="H933" s="8"/>
    </row>
    <row r="934" spans="1:8" ht="14.25" customHeight="1" x14ac:dyDescent="0.25">
      <c r="A934" s="8"/>
      <c r="B934" s="8"/>
      <c r="C934" s="8"/>
      <c r="D934" s="8"/>
      <c r="E934" s="9"/>
      <c r="F934" s="8"/>
      <c r="G934" s="8"/>
      <c r="H934" s="8"/>
    </row>
    <row r="935" spans="1:8" ht="14.25" customHeight="1" x14ac:dyDescent="0.25">
      <c r="A935" s="8"/>
      <c r="B935" s="8"/>
      <c r="C935" s="8"/>
      <c r="D935" s="8"/>
      <c r="E935" s="9"/>
      <c r="F935" s="8"/>
      <c r="G935" s="8"/>
      <c r="H935" s="8"/>
    </row>
    <row r="936" spans="1:8" ht="14.25" customHeight="1" x14ac:dyDescent="0.25">
      <c r="A936" s="8"/>
      <c r="B936" s="8"/>
      <c r="C936" s="8"/>
      <c r="D936" s="8"/>
      <c r="E936" s="9"/>
      <c r="F936" s="8"/>
      <c r="G936" s="8"/>
      <c r="H936" s="8"/>
    </row>
    <row r="937" spans="1:8" ht="14.25" customHeight="1" x14ac:dyDescent="0.25">
      <c r="A937" s="8"/>
      <c r="B937" s="8"/>
      <c r="C937" s="8"/>
      <c r="D937" s="8"/>
      <c r="E937" s="9"/>
      <c r="F937" s="8"/>
      <c r="G937" s="8"/>
      <c r="H937" s="8"/>
    </row>
    <row r="938" spans="1:8" ht="14.25" customHeight="1" x14ac:dyDescent="0.25">
      <c r="A938" s="8"/>
      <c r="B938" s="8"/>
      <c r="C938" s="8"/>
      <c r="D938" s="8"/>
      <c r="E938" s="9"/>
      <c r="F938" s="8"/>
      <c r="G938" s="8"/>
      <c r="H938" s="8"/>
    </row>
    <row r="939" spans="1:8" ht="14.25" customHeight="1" x14ac:dyDescent="0.25">
      <c r="A939" s="8"/>
      <c r="B939" s="8"/>
      <c r="C939" s="8"/>
      <c r="D939" s="8"/>
      <c r="E939" s="9"/>
      <c r="F939" s="8"/>
      <c r="G939" s="8"/>
      <c r="H939" s="8"/>
    </row>
    <row r="940" spans="1:8" ht="14.25" customHeight="1" x14ac:dyDescent="0.25">
      <c r="A940" s="8"/>
      <c r="B940" s="8"/>
      <c r="C940" s="8"/>
      <c r="D940" s="8"/>
      <c r="E940" s="9"/>
      <c r="F940" s="8"/>
      <c r="G940" s="8"/>
      <c r="H940" s="8"/>
    </row>
    <row r="941" spans="1:8" ht="14.25" customHeight="1" x14ac:dyDescent="0.25">
      <c r="A941" s="8"/>
      <c r="B941" s="8"/>
      <c r="C941" s="8"/>
      <c r="D941" s="8"/>
      <c r="E941" s="9"/>
      <c r="F941" s="8"/>
      <c r="G941" s="8"/>
      <c r="H941" s="8"/>
    </row>
    <row r="942" spans="1:8" ht="14.25" customHeight="1" x14ac:dyDescent="0.25">
      <c r="A942" s="8"/>
      <c r="B942" s="8"/>
      <c r="C942" s="8"/>
      <c r="D942" s="8"/>
      <c r="E942" s="9"/>
      <c r="F942" s="8"/>
      <c r="G942" s="8"/>
      <c r="H942" s="8"/>
    </row>
    <row r="943" spans="1:8" ht="14.25" customHeight="1" x14ac:dyDescent="0.25">
      <c r="A943" s="8"/>
      <c r="B943" s="8"/>
      <c r="C943" s="8"/>
      <c r="D943" s="8"/>
      <c r="E943" s="9"/>
      <c r="F943" s="8"/>
      <c r="G943" s="8"/>
      <c r="H943" s="8"/>
    </row>
    <row r="944" spans="1:8" ht="14.25" customHeight="1" x14ac:dyDescent="0.25">
      <c r="A944" s="8"/>
      <c r="B944" s="8"/>
      <c r="C944" s="8"/>
      <c r="D944" s="8"/>
      <c r="E944" s="9"/>
      <c r="F944" s="8"/>
      <c r="G944" s="8"/>
      <c r="H944" s="8"/>
    </row>
    <row r="945" spans="1:8" ht="14.25" customHeight="1" x14ac:dyDescent="0.25">
      <c r="A945" s="8"/>
      <c r="B945" s="8"/>
      <c r="C945" s="8"/>
      <c r="D945" s="8"/>
      <c r="E945" s="9"/>
      <c r="F945" s="8"/>
      <c r="G945" s="8"/>
      <c r="H945" s="8"/>
    </row>
    <row r="946" spans="1:8" ht="14.25" customHeight="1" x14ac:dyDescent="0.25">
      <c r="A946" s="8"/>
      <c r="B946" s="8"/>
      <c r="C946" s="8"/>
      <c r="D946" s="8"/>
      <c r="E946" s="9"/>
      <c r="F946" s="8"/>
      <c r="G946" s="8"/>
      <c r="H946" s="8"/>
    </row>
    <row r="947" spans="1:8" ht="14.25" customHeight="1" x14ac:dyDescent="0.25">
      <c r="A947" s="8"/>
      <c r="B947" s="8"/>
      <c r="C947" s="8"/>
      <c r="D947" s="8"/>
      <c r="E947" s="9"/>
      <c r="F947" s="8"/>
      <c r="G947" s="8"/>
      <c r="H947" s="8"/>
    </row>
    <row r="948" spans="1:8" ht="14.25" customHeight="1" x14ac:dyDescent="0.25">
      <c r="A948" s="8"/>
      <c r="B948" s="8"/>
      <c r="C948" s="8"/>
      <c r="D948" s="8"/>
      <c r="E948" s="9"/>
      <c r="F948" s="8"/>
      <c r="G948" s="8"/>
      <c r="H948" s="8"/>
    </row>
    <row r="949" spans="1:8" ht="14.25" customHeight="1" x14ac:dyDescent="0.25">
      <c r="A949" s="8"/>
      <c r="B949" s="8"/>
      <c r="C949" s="8"/>
      <c r="D949" s="8"/>
      <c r="E949" s="9"/>
      <c r="F949" s="8"/>
      <c r="G949" s="8"/>
      <c r="H949" s="8"/>
    </row>
    <row r="950" spans="1:8" ht="14.25" customHeight="1" x14ac:dyDescent="0.25">
      <c r="A950" s="8"/>
      <c r="B950" s="8"/>
      <c r="C950" s="8"/>
      <c r="D950" s="8"/>
      <c r="E950" s="9"/>
      <c r="F950" s="8"/>
      <c r="G950" s="8"/>
      <c r="H950" s="8"/>
    </row>
    <row r="951" spans="1:8" ht="14.25" customHeight="1" x14ac:dyDescent="0.25">
      <c r="A951" s="8"/>
      <c r="B951" s="8"/>
      <c r="C951" s="8"/>
      <c r="D951" s="8"/>
      <c r="E951" s="9"/>
      <c r="F951" s="8"/>
      <c r="G951" s="8"/>
      <c r="H951" s="8"/>
    </row>
    <row r="952" spans="1:8" ht="14.25" customHeight="1" x14ac:dyDescent="0.25">
      <c r="A952" s="8"/>
      <c r="B952" s="8"/>
      <c r="C952" s="8"/>
      <c r="D952" s="8"/>
      <c r="E952" s="9"/>
      <c r="F952" s="8"/>
      <c r="G952" s="8"/>
      <c r="H952" s="8"/>
    </row>
    <row r="953" spans="1:8" ht="14.25" customHeight="1" x14ac:dyDescent="0.25">
      <c r="A953" s="8"/>
      <c r="B953" s="8"/>
      <c r="C953" s="8"/>
      <c r="D953" s="8"/>
      <c r="E953" s="9"/>
      <c r="F953" s="8"/>
      <c r="G953" s="8"/>
      <c r="H953" s="8"/>
    </row>
    <row r="954" spans="1:8" ht="14.25" customHeight="1" x14ac:dyDescent="0.25">
      <c r="A954" s="8"/>
      <c r="B954" s="8"/>
      <c r="C954" s="8"/>
      <c r="D954" s="8"/>
      <c r="E954" s="9"/>
      <c r="F954" s="8"/>
      <c r="G954" s="8"/>
      <c r="H954" s="8"/>
    </row>
    <row r="955" spans="1:8" ht="14.25" customHeight="1" x14ac:dyDescent="0.25">
      <c r="A955" s="8"/>
      <c r="B955" s="8"/>
      <c r="C955" s="8"/>
      <c r="D955" s="8"/>
      <c r="E955" s="9"/>
      <c r="F955" s="8"/>
      <c r="G955" s="8"/>
      <c r="H955" s="8"/>
    </row>
    <row r="956" spans="1:8" ht="14.25" customHeight="1" x14ac:dyDescent="0.25">
      <c r="A956" s="8"/>
      <c r="B956" s="8"/>
      <c r="C956" s="8"/>
      <c r="D956" s="8"/>
      <c r="E956" s="9"/>
      <c r="F956" s="8"/>
      <c r="G956" s="8"/>
      <c r="H956" s="8"/>
    </row>
    <row r="957" spans="1:8" ht="14.25" customHeight="1" x14ac:dyDescent="0.25">
      <c r="A957" s="8"/>
      <c r="B957" s="8"/>
      <c r="C957" s="8"/>
      <c r="D957" s="8"/>
      <c r="E957" s="9"/>
      <c r="F957" s="8"/>
      <c r="G957" s="8"/>
      <c r="H957" s="8"/>
    </row>
    <row r="958" spans="1:8" ht="14.25" customHeight="1" x14ac:dyDescent="0.25">
      <c r="A958" s="8"/>
      <c r="B958" s="8"/>
      <c r="C958" s="8"/>
      <c r="D958" s="8"/>
      <c r="E958" s="9"/>
      <c r="F958" s="8"/>
      <c r="G958" s="8"/>
      <c r="H958" s="8"/>
    </row>
    <row r="959" spans="1:8" ht="14.25" customHeight="1" x14ac:dyDescent="0.25">
      <c r="A959" s="8"/>
      <c r="B959" s="8"/>
      <c r="C959" s="8"/>
      <c r="D959" s="8"/>
      <c r="E959" s="9"/>
      <c r="F959" s="8"/>
      <c r="G959" s="8"/>
      <c r="H959" s="8"/>
    </row>
    <row r="960" spans="1:8" ht="14.25" customHeight="1" x14ac:dyDescent="0.25">
      <c r="A960" s="8"/>
      <c r="B960" s="8"/>
      <c r="C960" s="8"/>
      <c r="D960" s="8"/>
      <c r="E960" s="9"/>
      <c r="F960" s="8"/>
      <c r="G960" s="8"/>
      <c r="H960" s="8"/>
    </row>
    <row r="961" spans="1:8" ht="14.25" customHeight="1" x14ac:dyDescent="0.25">
      <c r="A961" s="8"/>
      <c r="B961" s="8"/>
      <c r="C961" s="8"/>
      <c r="D961" s="8"/>
      <c r="E961" s="9"/>
      <c r="F961" s="8"/>
      <c r="G961" s="8"/>
      <c r="H961" s="8"/>
    </row>
    <row r="962" spans="1:8" ht="14.25" customHeight="1" x14ac:dyDescent="0.25">
      <c r="A962" s="8"/>
      <c r="B962" s="8"/>
      <c r="C962" s="8"/>
      <c r="D962" s="8"/>
      <c r="E962" s="9"/>
      <c r="F962" s="8"/>
      <c r="G962" s="8"/>
      <c r="H962" s="8"/>
    </row>
    <row r="963" spans="1:8" ht="14.25" customHeight="1" x14ac:dyDescent="0.25">
      <c r="A963" s="8"/>
      <c r="B963" s="8"/>
      <c r="C963" s="8"/>
      <c r="D963" s="8"/>
      <c r="E963" s="9"/>
      <c r="F963" s="8"/>
      <c r="G963" s="8"/>
      <c r="H963" s="8"/>
    </row>
    <row r="964" spans="1:8" ht="14.25" customHeight="1" x14ac:dyDescent="0.25">
      <c r="A964" s="8"/>
      <c r="B964" s="8"/>
      <c r="C964" s="8"/>
      <c r="D964" s="8"/>
      <c r="E964" s="9"/>
      <c r="F964" s="8"/>
      <c r="G964" s="8"/>
      <c r="H964" s="8"/>
    </row>
    <row r="965" spans="1:8" ht="14.25" customHeight="1" x14ac:dyDescent="0.25">
      <c r="A965" s="8"/>
      <c r="B965" s="8"/>
      <c r="C965" s="8"/>
      <c r="D965" s="8"/>
      <c r="E965" s="9"/>
      <c r="F965" s="8"/>
      <c r="G965" s="8"/>
      <c r="H965" s="8"/>
    </row>
    <row r="966" spans="1:8" ht="14.25" customHeight="1" x14ac:dyDescent="0.25">
      <c r="A966" s="8"/>
      <c r="B966" s="8"/>
      <c r="C966" s="8"/>
      <c r="D966" s="8"/>
      <c r="E966" s="9"/>
      <c r="F966" s="8"/>
      <c r="G966" s="8"/>
      <c r="H966" s="8"/>
    </row>
    <row r="967" spans="1:8" ht="14.25" customHeight="1" x14ac:dyDescent="0.25">
      <c r="A967" s="8"/>
      <c r="B967" s="8"/>
      <c r="C967" s="8"/>
      <c r="D967" s="8"/>
      <c r="E967" s="9"/>
      <c r="F967" s="8"/>
      <c r="G967" s="8"/>
      <c r="H967" s="8"/>
    </row>
    <row r="968" spans="1:8" ht="14.25" customHeight="1" x14ac:dyDescent="0.25">
      <c r="A968" s="8"/>
      <c r="B968" s="8"/>
      <c r="C968" s="8"/>
      <c r="D968" s="8"/>
      <c r="E968" s="9"/>
      <c r="F968" s="8"/>
      <c r="G968" s="8"/>
      <c r="H968" s="8"/>
    </row>
    <row r="969" spans="1:8" ht="14.25" customHeight="1" x14ac:dyDescent="0.25">
      <c r="A969" s="8"/>
      <c r="B969" s="8"/>
      <c r="C969" s="8"/>
      <c r="D969" s="8"/>
      <c r="E969" s="9"/>
      <c r="F969" s="8"/>
      <c r="G969" s="8"/>
      <c r="H969" s="8"/>
    </row>
    <row r="970" spans="1:8" ht="14.25" customHeight="1" x14ac:dyDescent="0.25">
      <c r="A970" s="8"/>
      <c r="B970" s="8"/>
      <c r="C970" s="8"/>
      <c r="D970" s="8"/>
      <c r="E970" s="9"/>
      <c r="F970" s="8"/>
      <c r="G970" s="8"/>
      <c r="H970" s="8"/>
    </row>
    <row r="971" spans="1:8" ht="14.25" customHeight="1" x14ac:dyDescent="0.25">
      <c r="A971" s="8"/>
      <c r="B971" s="8"/>
      <c r="C971" s="8"/>
      <c r="D971" s="8"/>
      <c r="E971" s="9"/>
      <c r="F971" s="8"/>
      <c r="G971" s="8"/>
      <c r="H971" s="8"/>
    </row>
    <row r="972" spans="1:8" ht="14.25" customHeight="1" x14ac:dyDescent="0.25">
      <c r="A972" s="8"/>
      <c r="B972" s="8"/>
      <c r="C972" s="8"/>
      <c r="D972" s="8"/>
      <c r="E972" s="9"/>
      <c r="F972" s="8"/>
      <c r="G972" s="8"/>
      <c r="H972" s="8"/>
    </row>
    <row r="973" spans="1:8" ht="14.25" customHeight="1" x14ac:dyDescent="0.25">
      <c r="A973" s="8"/>
      <c r="B973" s="8"/>
      <c r="C973" s="8"/>
      <c r="D973" s="8"/>
      <c r="E973" s="9"/>
      <c r="F973" s="8"/>
      <c r="G973" s="8"/>
      <c r="H973" s="8"/>
    </row>
    <row r="974" spans="1:8" ht="14.25" customHeight="1" x14ac:dyDescent="0.25">
      <c r="A974" s="8"/>
      <c r="B974" s="8"/>
      <c r="C974" s="8"/>
      <c r="D974" s="8"/>
      <c r="E974" s="9"/>
      <c r="F974" s="8"/>
      <c r="G974" s="8"/>
      <c r="H974" s="8"/>
    </row>
    <row r="975" spans="1:8" ht="14.25" customHeight="1" x14ac:dyDescent="0.25">
      <c r="A975" s="8"/>
      <c r="B975" s="8"/>
      <c r="C975" s="8"/>
      <c r="D975" s="8"/>
      <c r="E975" s="9"/>
      <c r="F975" s="8"/>
      <c r="G975" s="8"/>
      <c r="H975" s="8"/>
    </row>
    <row r="976" spans="1:8" ht="14.25" customHeight="1" x14ac:dyDescent="0.25">
      <c r="A976" s="8"/>
      <c r="B976" s="8"/>
      <c r="C976" s="8"/>
      <c r="D976" s="8"/>
      <c r="E976" s="9"/>
      <c r="F976" s="8"/>
      <c r="G976" s="8"/>
      <c r="H976" s="8"/>
    </row>
    <row r="977" spans="1:8" ht="14.25" customHeight="1" x14ac:dyDescent="0.25">
      <c r="A977" s="8"/>
      <c r="B977" s="8"/>
      <c r="C977" s="8"/>
      <c r="D977" s="8"/>
      <c r="E977" s="9"/>
      <c r="F977" s="8"/>
      <c r="G977" s="8"/>
      <c r="H977" s="8"/>
    </row>
    <row r="978" spans="1:8" ht="14.25" customHeight="1" x14ac:dyDescent="0.25">
      <c r="A978" s="8"/>
      <c r="B978" s="8"/>
      <c r="C978" s="8"/>
      <c r="D978" s="8"/>
      <c r="E978" s="9"/>
      <c r="F978" s="8"/>
      <c r="G978" s="8"/>
      <c r="H978" s="8"/>
    </row>
    <row r="979" spans="1:8" ht="14.25" customHeight="1" x14ac:dyDescent="0.25">
      <c r="A979" s="8"/>
      <c r="B979" s="8"/>
      <c r="C979" s="8"/>
      <c r="D979" s="8"/>
      <c r="E979" s="9"/>
      <c r="F979" s="8"/>
      <c r="G979" s="8"/>
      <c r="H979" s="8"/>
    </row>
    <row r="980" spans="1:8" ht="14.25" customHeight="1" x14ac:dyDescent="0.25">
      <c r="A980" s="8"/>
      <c r="B980" s="8"/>
      <c r="C980" s="8"/>
      <c r="D980" s="8"/>
      <c r="E980" s="9"/>
      <c r="F980" s="8"/>
      <c r="G980" s="8"/>
      <c r="H980" s="8"/>
    </row>
    <row r="981" spans="1:8" ht="14.25" customHeight="1" x14ac:dyDescent="0.25">
      <c r="A981" s="8"/>
      <c r="B981" s="8"/>
      <c r="C981" s="8"/>
      <c r="D981" s="8"/>
      <c r="E981" s="9"/>
      <c r="F981" s="8"/>
      <c r="G981" s="8"/>
      <c r="H981" s="8"/>
    </row>
    <row r="982" spans="1:8" ht="14.25" customHeight="1" x14ac:dyDescent="0.25">
      <c r="A982" s="8"/>
      <c r="B982" s="8"/>
      <c r="C982" s="8"/>
      <c r="D982" s="8"/>
      <c r="E982" s="9"/>
      <c r="F982" s="8"/>
      <c r="G982" s="8"/>
      <c r="H982" s="8"/>
    </row>
    <row r="983" spans="1:8" ht="14.25" customHeight="1" x14ac:dyDescent="0.25">
      <c r="A983" s="8"/>
      <c r="B983" s="8"/>
      <c r="C983" s="8"/>
      <c r="D983" s="8"/>
      <c r="E983" s="9"/>
      <c r="F983" s="8"/>
      <c r="G983" s="8"/>
      <c r="H983" s="8"/>
    </row>
    <row r="984" spans="1:8" ht="14.25" customHeight="1" x14ac:dyDescent="0.25">
      <c r="A984" s="8"/>
      <c r="B984" s="8"/>
      <c r="C984" s="8"/>
      <c r="D984" s="8"/>
      <c r="E984" s="9"/>
      <c r="F984" s="8"/>
      <c r="G984" s="8"/>
      <c r="H984" s="8"/>
    </row>
    <row r="985" spans="1:8" ht="14.25" customHeight="1" x14ac:dyDescent="0.25">
      <c r="A985" s="8"/>
      <c r="B985" s="8"/>
      <c r="C985" s="8"/>
      <c r="D985" s="8"/>
      <c r="E985" s="9"/>
      <c r="F985" s="8"/>
      <c r="G985" s="8"/>
      <c r="H985" s="8"/>
    </row>
    <row r="986" spans="1:8" ht="14.25" customHeight="1" x14ac:dyDescent="0.25">
      <c r="A986" s="8"/>
      <c r="B986" s="8"/>
      <c r="C986" s="8"/>
      <c r="D986" s="8"/>
      <c r="E986" s="9"/>
      <c r="F986" s="8"/>
      <c r="G986" s="8"/>
      <c r="H986" s="8"/>
    </row>
    <row r="987" spans="1:8" ht="14.25" customHeight="1" x14ac:dyDescent="0.25">
      <c r="A987" s="8"/>
      <c r="B987" s="8"/>
      <c r="C987" s="8"/>
      <c r="D987" s="8"/>
      <c r="E987" s="9"/>
      <c r="F987" s="8"/>
      <c r="G987" s="8"/>
      <c r="H987" s="8"/>
    </row>
    <row r="988" spans="1:8" ht="14.25" customHeight="1" x14ac:dyDescent="0.25">
      <c r="A988" s="8"/>
      <c r="B988" s="8"/>
      <c r="C988" s="8"/>
      <c r="D988" s="8"/>
      <c r="E988" s="9"/>
      <c r="F988" s="8"/>
      <c r="G988" s="8"/>
      <c r="H988" s="8"/>
    </row>
    <row r="989" spans="1:8" ht="14.25" customHeight="1" x14ac:dyDescent="0.25">
      <c r="A989" s="8"/>
      <c r="B989" s="8"/>
      <c r="C989" s="8"/>
      <c r="D989" s="8"/>
      <c r="E989" s="9"/>
      <c r="F989" s="8"/>
      <c r="G989" s="8"/>
      <c r="H989" s="8"/>
    </row>
    <row r="990" spans="1:8" ht="14.25" customHeight="1" x14ac:dyDescent="0.25">
      <c r="A990" s="8"/>
      <c r="B990" s="8"/>
      <c r="C990" s="8"/>
      <c r="D990" s="8"/>
      <c r="E990" s="9"/>
      <c r="F990" s="8"/>
      <c r="G990" s="8"/>
      <c r="H990" s="8"/>
    </row>
    <row r="991" spans="1:8" ht="14.25" customHeight="1" x14ac:dyDescent="0.25">
      <c r="A991" s="8"/>
      <c r="B991" s="8"/>
      <c r="C991" s="8"/>
      <c r="D991" s="8"/>
      <c r="E991" s="9"/>
      <c r="F991" s="8"/>
      <c r="G991" s="8"/>
      <c r="H991" s="8"/>
    </row>
    <row r="992" spans="1:8" ht="14.25" customHeight="1" x14ac:dyDescent="0.25">
      <c r="A992" s="8"/>
      <c r="B992" s="8"/>
      <c r="C992" s="8"/>
      <c r="D992" s="8"/>
      <c r="E992" s="9"/>
      <c r="F992" s="8"/>
      <c r="G992" s="8"/>
      <c r="H992" s="8"/>
    </row>
    <row r="993" spans="1:8" ht="14.25" customHeight="1" x14ac:dyDescent="0.25">
      <c r="A993" s="8"/>
      <c r="B993" s="8"/>
      <c r="C993" s="8"/>
      <c r="D993" s="8"/>
      <c r="E993" s="9"/>
      <c r="F993" s="8"/>
      <c r="G993" s="8"/>
      <c r="H993" s="8"/>
    </row>
    <row r="994" spans="1:8" ht="14.25" customHeight="1" x14ac:dyDescent="0.25">
      <c r="A994" s="8"/>
      <c r="B994" s="8"/>
      <c r="C994" s="8"/>
      <c r="D994" s="8"/>
      <c r="E994" s="9"/>
      <c r="F994" s="8"/>
      <c r="G994" s="8"/>
      <c r="H994" s="8"/>
    </row>
    <row r="995" spans="1:8" ht="14.25" customHeight="1" x14ac:dyDescent="0.25">
      <c r="A995" s="8"/>
      <c r="B995" s="8"/>
      <c r="C995" s="8"/>
      <c r="D995" s="8"/>
      <c r="E995" s="9"/>
      <c r="F995" s="8"/>
      <c r="G995" s="8"/>
      <c r="H995" s="8"/>
    </row>
    <row r="996" spans="1:8" ht="14.25" customHeight="1" x14ac:dyDescent="0.25">
      <c r="A996" s="8"/>
      <c r="B996" s="8"/>
      <c r="C996" s="8"/>
      <c r="D996" s="8"/>
      <c r="E996" s="9"/>
      <c r="F996" s="8"/>
      <c r="G996" s="8"/>
      <c r="H996" s="8"/>
    </row>
    <row r="997" spans="1:8" ht="14.25" customHeight="1" x14ac:dyDescent="0.25">
      <c r="A997" s="8"/>
      <c r="B997" s="8"/>
      <c r="C997" s="8"/>
      <c r="D997" s="8"/>
      <c r="E997" s="9"/>
      <c r="F997" s="8"/>
      <c r="G997" s="8"/>
      <c r="H997" s="8"/>
    </row>
    <row r="998" spans="1:8" ht="14.25" customHeight="1" x14ac:dyDescent="0.25">
      <c r="A998" s="8"/>
      <c r="B998" s="8"/>
      <c r="C998" s="8"/>
      <c r="D998" s="8"/>
      <c r="E998" s="9"/>
      <c r="F998" s="8"/>
      <c r="G998" s="8"/>
      <c r="H998" s="8"/>
    </row>
    <row r="999" spans="1:8" ht="14.25" customHeight="1" x14ac:dyDescent="0.25">
      <c r="A999" s="8"/>
      <c r="B999" s="8"/>
      <c r="C999" s="8"/>
      <c r="D999" s="8"/>
      <c r="E999" s="9"/>
      <c r="F999" s="8"/>
      <c r="G999" s="8"/>
      <c r="H999" s="8"/>
    </row>
    <row r="1000" spans="1:8" ht="14.25" customHeight="1" x14ac:dyDescent="0.25">
      <c r="A1000" s="8"/>
      <c r="B1000" s="8"/>
      <c r="C1000" s="8"/>
      <c r="D1000" s="8"/>
      <c r="E1000" s="9"/>
      <c r="F1000" s="8"/>
      <c r="G1000" s="8"/>
      <c r="H1000" s="8"/>
    </row>
    <row r="1001" spans="1:8" ht="14.25" customHeight="1" x14ac:dyDescent="0.25">
      <c r="A1001" s="8"/>
      <c r="B1001" s="8"/>
      <c r="C1001" s="8"/>
      <c r="D1001" s="8"/>
      <c r="E1001" s="9"/>
      <c r="F1001" s="8"/>
      <c r="G1001" s="8"/>
      <c r="H1001" s="8"/>
    </row>
    <row r="1002" spans="1:8" ht="14.25" customHeight="1" x14ac:dyDescent="0.25">
      <c r="A1002" s="8"/>
      <c r="B1002" s="8"/>
      <c r="C1002" s="8"/>
      <c r="D1002" s="8"/>
      <c r="E1002" s="9"/>
      <c r="F1002" s="8"/>
      <c r="G1002" s="8"/>
      <c r="H1002" s="8"/>
    </row>
    <row r="1003" spans="1:8" ht="14.25" customHeight="1" x14ac:dyDescent="0.25">
      <c r="A1003" s="8"/>
      <c r="B1003" s="8"/>
      <c r="C1003" s="8"/>
      <c r="D1003" s="8"/>
      <c r="E1003" s="9"/>
      <c r="F1003" s="8"/>
      <c r="G1003" s="8"/>
      <c r="H1003" s="8"/>
    </row>
    <row r="1004" spans="1:8" ht="14.25" customHeight="1" x14ac:dyDescent="0.25">
      <c r="A1004" s="8"/>
      <c r="B1004" s="8"/>
      <c r="C1004" s="8"/>
      <c r="D1004" s="8"/>
      <c r="E1004" s="9"/>
      <c r="F1004" s="8"/>
      <c r="G1004" s="8"/>
      <c r="H1004" s="8"/>
    </row>
  </sheetData>
  <phoneticPr fontId="16"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007"/>
  <sheetViews>
    <sheetView workbookViewId="0"/>
  </sheetViews>
  <sheetFormatPr defaultColWidth="14.42578125" defaultRowHeight="15" x14ac:dyDescent="0.25"/>
  <cols>
    <col min="1" max="29" width="8.7109375" customWidth="1"/>
  </cols>
  <sheetData>
    <row r="1" spans="1:9" ht="14.25" customHeight="1" x14ac:dyDescent="0.25">
      <c r="A1" s="36" t="s">
        <v>51</v>
      </c>
      <c r="B1" s="36" t="s">
        <v>52</v>
      </c>
      <c r="C1" s="36" t="s">
        <v>54</v>
      </c>
      <c r="D1" s="36" t="s">
        <v>55</v>
      </c>
      <c r="E1" s="17" t="s">
        <v>32</v>
      </c>
      <c r="F1" s="30" t="s">
        <v>60</v>
      </c>
      <c r="G1" s="30" t="s">
        <v>61</v>
      </c>
      <c r="H1" s="30" t="s">
        <v>56</v>
      </c>
      <c r="I1" s="30" t="s">
        <v>3</v>
      </c>
    </row>
    <row r="2" spans="1:9" ht="14.25" customHeight="1" x14ac:dyDescent="0.25">
      <c r="A2" s="36" t="s">
        <v>81</v>
      </c>
      <c r="B2" s="36">
        <v>2026</v>
      </c>
      <c r="C2" s="36" t="s">
        <v>65</v>
      </c>
      <c r="D2" s="36" t="s">
        <v>46</v>
      </c>
      <c r="E2" s="36">
        <v>200</v>
      </c>
      <c r="F2" s="36">
        <f t="shared" ref="F2:F22" si="0">IF(ISNUMBER(FIND("-", E2)), LEFT(E2, FIND("-", E2) - 1) * 1, E2 * 1)</f>
        <v>200</v>
      </c>
      <c r="G2" s="36">
        <f t="shared" ref="G2:G22" si="1">IF(ISNUMBER(FIND("-", E2)), MID(E2, FIND("-", E2) + 1, LEN(E2)) * 1, E2 * 1)</f>
        <v>200</v>
      </c>
      <c r="H2" s="36">
        <f t="shared" ref="H2:H22" si="2">IF(ISNUMBER(FIND("-",E2)),(LEFT(E2,FIND("-",E2)-1) + MID(E2,FIND("-",E2)+1,LEN(E2))) / 2,E2*1)</f>
        <v>200</v>
      </c>
      <c r="I2" s="30"/>
    </row>
    <row r="3" spans="1:9" ht="14.25" customHeight="1" x14ac:dyDescent="0.25">
      <c r="A3" s="36" t="s">
        <v>81</v>
      </c>
      <c r="B3" s="36">
        <v>2026</v>
      </c>
      <c r="C3" s="36" t="s">
        <v>65</v>
      </c>
      <c r="D3" s="36" t="s">
        <v>47</v>
      </c>
      <c r="E3" s="36">
        <v>200</v>
      </c>
      <c r="F3" s="36">
        <f t="shared" si="0"/>
        <v>200</v>
      </c>
      <c r="G3" s="36">
        <f t="shared" si="1"/>
        <v>200</v>
      </c>
      <c r="H3" s="36">
        <f t="shared" si="2"/>
        <v>200</v>
      </c>
      <c r="I3" s="30"/>
    </row>
    <row r="4" spans="1:9" ht="14.25" customHeight="1" x14ac:dyDescent="0.25">
      <c r="A4" s="36" t="s">
        <v>180</v>
      </c>
      <c r="B4" s="36">
        <v>2025</v>
      </c>
      <c r="C4" s="36" t="s">
        <v>142</v>
      </c>
      <c r="D4" s="36" t="s">
        <v>48</v>
      </c>
      <c r="E4" s="36">
        <v>80</v>
      </c>
      <c r="F4" s="36">
        <f t="shared" si="0"/>
        <v>80</v>
      </c>
      <c r="G4" s="36">
        <f t="shared" si="1"/>
        <v>80</v>
      </c>
      <c r="H4" s="36">
        <f t="shared" si="2"/>
        <v>80</v>
      </c>
      <c r="I4" s="30"/>
    </row>
    <row r="5" spans="1:9" ht="14.25" customHeight="1" x14ac:dyDescent="0.25">
      <c r="A5" s="36" t="s">
        <v>98</v>
      </c>
      <c r="B5" s="36">
        <v>2025</v>
      </c>
      <c r="C5" s="36" t="s">
        <v>70</v>
      </c>
      <c r="D5" s="36" t="s">
        <v>48</v>
      </c>
      <c r="E5" s="36">
        <v>100</v>
      </c>
      <c r="F5" s="36">
        <f t="shared" si="0"/>
        <v>100</v>
      </c>
      <c r="G5" s="36">
        <f t="shared" si="1"/>
        <v>100</v>
      </c>
      <c r="H5" s="36">
        <f t="shared" si="2"/>
        <v>100</v>
      </c>
      <c r="I5" s="30"/>
    </row>
    <row r="6" spans="1:9" ht="14.25" customHeight="1" x14ac:dyDescent="0.25">
      <c r="A6" s="36" t="s">
        <v>431</v>
      </c>
      <c r="B6" s="36">
        <v>2025</v>
      </c>
      <c r="C6" s="36" t="s">
        <v>70</v>
      </c>
      <c r="D6" s="36" t="s">
        <v>48</v>
      </c>
      <c r="E6" s="36" t="s">
        <v>486</v>
      </c>
      <c r="F6" s="36">
        <f t="shared" si="0"/>
        <v>100</v>
      </c>
      <c r="G6" s="36">
        <f t="shared" si="1"/>
        <v>300</v>
      </c>
      <c r="H6" s="36">
        <f t="shared" si="2"/>
        <v>200</v>
      </c>
      <c r="I6" s="30"/>
    </row>
    <row r="7" spans="1:9" ht="14.25" customHeight="1" x14ac:dyDescent="0.25">
      <c r="A7" s="36" t="s">
        <v>433</v>
      </c>
      <c r="B7" s="36">
        <v>2025</v>
      </c>
      <c r="C7" s="36" t="s">
        <v>88</v>
      </c>
      <c r="D7" s="36" t="s">
        <v>71</v>
      </c>
      <c r="E7" s="36">
        <v>35</v>
      </c>
      <c r="F7" s="36">
        <f t="shared" si="0"/>
        <v>35</v>
      </c>
      <c r="G7" s="36">
        <f t="shared" si="1"/>
        <v>35</v>
      </c>
      <c r="H7" s="36">
        <f t="shared" si="2"/>
        <v>35</v>
      </c>
      <c r="I7" s="30"/>
    </row>
    <row r="8" spans="1:9" ht="14.25" customHeight="1" x14ac:dyDescent="0.25">
      <c r="A8" s="36" t="s">
        <v>111</v>
      </c>
      <c r="B8" s="36">
        <v>2025</v>
      </c>
      <c r="C8" s="36" t="s">
        <v>75</v>
      </c>
      <c r="D8" s="36" t="s">
        <v>48</v>
      </c>
      <c r="E8" s="36">
        <v>241</v>
      </c>
      <c r="F8" s="36">
        <f t="shared" si="0"/>
        <v>241</v>
      </c>
      <c r="G8" s="36">
        <f t="shared" si="1"/>
        <v>241</v>
      </c>
      <c r="H8" s="36">
        <f t="shared" si="2"/>
        <v>241</v>
      </c>
      <c r="I8" s="30"/>
    </row>
    <row r="9" spans="1:9" ht="14.25" customHeight="1" x14ac:dyDescent="0.25">
      <c r="A9" s="36" t="s">
        <v>186</v>
      </c>
      <c r="B9" s="36">
        <v>2024</v>
      </c>
      <c r="C9" s="36" t="s">
        <v>208</v>
      </c>
      <c r="D9" s="36" t="s">
        <v>46</v>
      </c>
      <c r="E9" s="36" t="s">
        <v>487</v>
      </c>
      <c r="F9" s="36">
        <f t="shared" si="0"/>
        <v>80</v>
      </c>
      <c r="G9" s="36">
        <f t="shared" si="1"/>
        <v>250</v>
      </c>
      <c r="H9" s="36">
        <f t="shared" si="2"/>
        <v>165</v>
      </c>
      <c r="I9" s="30"/>
    </row>
    <row r="10" spans="1:9" ht="14.25" customHeight="1" x14ac:dyDescent="0.25">
      <c r="A10" s="36" t="s">
        <v>186</v>
      </c>
      <c r="B10" s="36">
        <v>2024</v>
      </c>
      <c r="C10" s="36" t="s">
        <v>208</v>
      </c>
      <c r="D10" s="36" t="s">
        <v>47</v>
      </c>
      <c r="E10" s="36" t="s">
        <v>487</v>
      </c>
      <c r="F10" s="36">
        <f t="shared" si="0"/>
        <v>80</v>
      </c>
      <c r="G10" s="36">
        <f t="shared" si="1"/>
        <v>250</v>
      </c>
      <c r="H10" s="36">
        <f t="shared" si="2"/>
        <v>165</v>
      </c>
      <c r="I10" s="30"/>
    </row>
    <row r="11" spans="1:9" ht="14.25" customHeight="1" x14ac:dyDescent="0.25">
      <c r="A11" s="36" t="s">
        <v>315</v>
      </c>
      <c r="B11" s="36">
        <v>2024</v>
      </c>
      <c r="C11" s="36" t="s">
        <v>88</v>
      </c>
      <c r="D11" s="36" t="s">
        <v>48</v>
      </c>
      <c r="E11" s="36">
        <v>402</v>
      </c>
      <c r="F11" s="36">
        <f t="shared" si="0"/>
        <v>402</v>
      </c>
      <c r="G11" s="36">
        <f t="shared" si="1"/>
        <v>402</v>
      </c>
      <c r="H11" s="36">
        <f t="shared" si="2"/>
        <v>402</v>
      </c>
      <c r="I11" s="30"/>
    </row>
    <row r="12" spans="1:9" ht="14.25" customHeight="1" x14ac:dyDescent="0.25">
      <c r="A12" s="36" t="s">
        <v>440</v>
      </c>
      <c r="B12" s="36">
        <v>2024</v>
      </c>
      <c r="C12" s="36" t="s">
        <v>441</v>
      </c>
      <c r="D12" s="36" t="s">
        <v>46</v>
      </c>
      <c r="E12" s="36">
        <v>161</v>
      </c>
      <c r="F12" s="36">
        <f t="shared" si="0"/>
        <v>161</v>
      </c>
      <c r="G12" s="36">
        <f t="shared" si="1"/>
        <v>161</v>
      </c>
      <c r="H12" s="36">
        <f t="shared" si="2"/>
        <v>161</v>
      </c>
      <c r="I12" s="30"/>
    </row>
    <row r="13" spans="1:9" ht="14.25" customHeight="1" x14ac:dyDescent="0.25">
      <c r="A13" s="36" t="s">
        <v>442</v>
      </c>
      <c r="B13" s="36">
        <v>2023</v>
      </c>
      <c r="C13" s="36" t="s">
        <v>75</v>
      </c>
      <c r="D13" s="36" t="s">
        <v>47</v>
      </c>
      <c r="E13" s="36">
        <v>146</v>
      </c>
      <c r="F13" s="36">
        <f t="shared" si="0"/>
        <v>146</v>
      </c>
      <c r="G13" s="36">
        <f t="shared" si="1"/>
        <v>146</v>
      </c>
      <c r="H13" s="36">
        <f t="shared" si="2"/>
        <v>146</v>
      </c>
      <c r="I13" s="30"/>
    </row>
    <row r="14" spans="1:9" ht="14.25" customHeight="1" x14ac:dyDescent="0.25">
      <c r="A14" s="36" t="s">
        <v>186</v>
      </c>
      <c r="B14" s="36">
        <v>2022</v>
      </c>
      <c r="C14" s="36" t="s">
        <v>75</v>
      </c>
      <c r="D14" s="36" t="s">
        <v>46</v>
      </c>
      <c r="E14" s="36">
        <v>250</v>
      </c>
      <c r="F14" s="36">
        <f t="shared" si="0"/>
        <v>250</v>
      </c>
      <c r="G14" s="36">
        <f t="shared" si="1"/>
        <v>250</v>
      </c>
      <c r="H14" s="36">
        <f t="shared" si="2"/>
        <v>250</v>
      </c>
      <c r="I14" s="30"/>
    </row>
    <row r="15" spans="1:9" ht="14.25" customHeight="1" x14ac:dyDescent="0.25">
      <c r="A15" s="36" t="s">
        <v>236</v>
      </c>
      <c r="B15" s="36">
        <v>2022</v>
      </c>
      <c r="C15" s="36" t="s">
        <v>75</v>
      </c>
      <c r="D15" s="36" t="s">
        <v>46</v>
      </c>
      <c r="E15" s="36">
        <v>241</v>
      </c>
      <c r="F15" s="36">
        <f t="shared" si="0"/>
        <v>241</v>
      </c>
      <c r="G15" s="36">
        <f t="shared" si="1"/>
        <v>241</v>
      </c>
      <c r="H15" s="36">
        <f t="shared" si="2"/>
        <v>241</v>
      </c>
      <c r="I15" s="30"/>
    </row>
    <row r="16" spans="1:9" ht="14.25" customHeight="1" x14ac:dyDescent="0.25">
      <c r="A16" s="36" t="s">
        <v>244</v>
      </c>
      <c r="B16" s="36">
        <v>2021</v>
      </c>
      <c r="C16" s="36" t="s">
        <v>201</v>
      </c>
      <c r="D16" s="36" t="s">
        <v>46</v>
      </c>
      <c r="E16" s="36">
        <v>60</v>
      </c>
      <c r="F16" s="36">
        <f t="shared" si="0"/>
        <v>60</v>
      </c>
      <c r="G16" s="36">
        <f t="shared" si="1"/>
        <v>60</v>
      </c>
      <c r="H16" s="36">
        <f t="shared" si="2"/>
        <v>60</v>
      </c>
      <c r="I16" s="30" t="s">
        <v>488</v>
      </c>
    </row>
    <row r="17" spans="1:9" ht="14.25" customHeight="1" x14ac:dyDescent="0.25">
      <c r="A17" s="36" t="s">
        <v>244</v>
      </c>
      <c r="B17" s="36">
        <v>2021</v>
      </c>
      <c r="C17" s="36" t="s">
        <v>201</v>
      </c>
      <c r="D17" s="36" t="s">
        <v>46</v>
      </c>
      <c r="E17" s="36">
        <v>120</v>
      </c>
      <c r="F17" s="36">
        <f t="shared" si="0"/>
        <v>120</v>
      </c>
      <c r="G17" s="36">
        <f t="shared" si="1"/>
        <v>120</v>
      </c>
      <c r="H17" s="36">
        <f t="shared" si="2"/>
        <v>120</v>
      </c>
      <c r="I17" s="30" t="s">
        <v>489</v>
      </c>
    </row>
    <row r="18" spans="1:9" ht="14.25" customHeight="1" x14ac:dyDescent="0.25">
      <c r="A18" s="36" t="s">
        <v>135</v>
      </c>
      <c r="B18" s="36">
        <v>2021</v>
      </c>
      <c r="C18" s="36" t="s">
        <v>75</v>
      </c>
      <c r="D18" s="36" t="s">
        <v>46</v>
      </c>
      <c r="E18" s="36" t="s">
        <v>490</v>
      </c>
      <c r="F18" s="36">
        <f t="shared" si="0"/>
        <v>48</v>
      </c>
      <c r="G18" s="36">
        <f t="shared" si="1"/>
        <v>145</v>
      </c>
      <c r="H18" s="36">
        <f t="shared" si="2"/>
        <v>96.5</v>
      </c>
      <c r="I18" s="30"/>
    </row>
    <row r="19" spans="1:9" ht="14.25" customHeight="1" x14ac:dyDescent="0.25">
      <c r="A19" s="36" t="s">
        <v>140</v>
      </c>
      <c r="B19" s="36">
        <v>2021</v>
      </c>
      <c r="C19" s="36" t="s">
        <v>75</v>
      </c>
      <c r="D19" s="36" t="s">
        <v>46</v>
      </c>
      <c r="E19" s="36">
        <v>80.45</v>
      </c>
      <c r="F19" s="36">
        <f t="shared" si="0"/>
        <v>80.45</v>
      </c>
      <c r="G19" s="36">
        <f t="shared" si="1"/>
        <v>80.45</v>
      </c>
      <c r="H19" s="36">
        <f t="shared" si="2"/>
        <v>80.45</v>
      </c>
      <c r="I19" s="30"/>
    </row>
    <row r="20" spans="1:9" ht="14.25" customHeight="1" x14ac:dyDescent="0.25">
      <c r="A20" s="36" t="s">
        <v>264</v>
      </c>
      <c r="B20" s="36">
        <v>2021</v>
      </c>
      <c r="C20" s="36" t="s">
        <v>75</v>
      </c>
      <c r="D20" s="36" t="s">
        <v>48</v>
      </c>
      <c r="E20" s="36">
        <v>241</v>
      </c>
      <c r="F20" s="36">
        <f t="shared" si="0"/>
        <v>241</v>
      </c>
      <c r="G20" s="36">
        <f t="shared" si="1"/>
        <v>241</v>
      </c>
      <c r="H20" s="36">
        <f t="shared" si="2"/>
        <v>241</v>
      </c>
      <c r="I20" s="30"/>
    </row>
    <row r="21" spans="1:9" ht="14.25" customHeight="1" x14ac:dyDescent="0.25">
      <c r="A21" s="36" t="s">
        <v>452</v>
      </c>
      <c r="B21" s="36">
        <v>2021</v>
      </c>
      <c r="C21" s="36" t="s">
        <v>75</v>
      </c>
      <c r="D21" s="36" t="s">
        <v>48</v>
      </c>
      <c r="E21" s="36">
        <v>96</v>
      </c>
      <c r="F21" s="36">
        <f t="shared" si="0"/>
        <v>96</v>
      </c>
      <c r="G21" s="36">
        <f t="shared" si="1"/>
        <v>96</v>
      </c>
      <c r="H21" s="36">
        <f t="shared" si="2"/>
        <v>96</v>
      </c>
      <c r="I21" s="30"/>
    </row>
    <row r="22" spans="1:9" ht="14.25" customHeight="1" x14ac:dyDescent="0.25">
      <c r="A22" s="36" t="s">
        <v>472</v>
      </c>
      <c r="B22" s="36">
        <v>2019</v>
      </c>
      <c r="C22" s="36" t="s">
        <v>75</v>
      </c>
      <c r="D22" s="36" t="s">
        <v>46</v>
      </c>
      <c r="E22" s="36" t="s">
        <v>491</v>
      </c>
      <c r="F22" s="36">
        <f t="shared" si="0"/>
        <v>16.09</v>
      </c>
      <c r="G22" s="36">
        <f t="shared" si="1"/>
        <v>112.65</v>
      </c>
      <c r="H22" s="36">
        <f t="shared" si="2"/>
        <v>64.37</v>
      </c>
      <c r="I22" s="30"/>
    </row>
    <row r="23" spans="1:9" ht="14.25" customHeight="1" x14ac:dyDescent="0.25">
      <c r="A23" s="8"/>
      <c r="B23" s="8"/>
      <c r="C23" s="8"/>
      <c r="D23" s="8"/>
      <c r="E23" s="8"/>
    </row>
    <row r="24" spans="1:9" ht="14.25" customHeight="1" x14ac:dyDescent="0.25">
      <c r="A24" s="8"/>
      <c r="B24" s="8"/>
      <c r="C24" s="8"/>
      <c r="D24" s="8"/>
      <c r="E24" s="8"/>
    </row>
    <row r="25" spans="1:9" ht="14.25" customHeight="1" x14ac:dyDescent="0.25">
      <c r="A25" s="8"/>
      <c r="B25" s="8"/>
      <c r="C25" s="8"/>
      <c r="D25" s="8"/>
      <c r="E25" s="8"/>
    </row>
    <row r="26" spans="1:9" ht="14.25" customHeight="1" x14ac:dyDescent="0.25">
      <c r="A26" s="8"/>
      <c r="B26" s="8"/>
      <c r="C26" s="8"/>
      <c r="D26" s="8"/>
      <c r="E26" s="8"/>
    </row>
    <row r="27" spans="1:9" ht="14.25" customHeight="1" x14ac:dyDescent="0.25">
      <c r="A27" s="8"/>
      <c r="B27" s="8"/>
      <c r="C27" s="8"/>
      <c r="D27" s="8"/>
      <c r="E27" s="8"/>
    </row>
    <row r="28" spans="1:9" ht="14.25" customHeight="1" x14ac:dyDescent="0.25">
      <c r="A28" s="8"/>
      <c r="B28" s="8"/>
      <c r="C28" s="8"/>
      <c r="D28" s="8"/>
      <c r="E28" s="8"/>
    </row>
    <row r="29" spans="1:9" ht="14.25" customHeight="1" x14ac:dyDescent="0.25">
      <c r="A29" s="8"/>
      <c r="B29" s="8"/>
      <c r="C29" s="8"/>
      <c r="D29" s="8"/>
      <c r="E29" s="8"/>
    </row>
    <row r="30" spans="1:9" ht="14.25" customHeight="1" x14ac:dyDescent="0.25">
      <c r="A30" s="8"/>
      <c r="B30" s="8"/>
      <c r="C30" s="8"/>
      <c r="D30" s="8"/>
      <c r="E30" s="8"/>
    </row>
    <row r="31" spans="1:9" ht="14.25" customHeight="1" x14ac:dyDescent="0.25">
      <c r="A31" s="8"/>
      <c r="B31" s="8"/>
      <c r="C31" s="8"/>
      <c r="D31" s="8"/>
      <c r="E31" s="8"/>
    </row>
    <row r="32" spans="1:9" ht="14.25" customHeight="1" x14ac:dyDescent="0.25">
      <c r="A32" s="8"/>
      <c r="B32" s="8"/>
      <c r="C32" s="8"/>
      <c r="D32" s="8"/>
      <c r="E32" s="8"/>
    </row>
    <row r="33" spans="1:5" ht="14.25" customHeight="1" x14ac:dyDescent="0.25">
      <c r="A33" s="8"/>
      <c r="B33" s="8"/>
      <c r="C33" s="8"/>
      <c r="D33" s="8"/>
      <c r="E33" s="8"/>
    </row>
    <row r="34" spans="1:5" ht="14.25" customHeight="1" x14ac:dyDescent="0.25">
      <c r="A34" s="8"/>
      <c r="B34" s="8"/>
      <c r="C34" s="8"/>
      <c r="D34" s="8"/>
      <c r="E34" s="8"/>
    </row>
    <row r="35" spans="1:5" ht="14.25" customHeight="1" x14ac:dyDescent="0.25">
      <c r="A35" s="8"/>
      <c r="B35" s="8"/>
      <c r="C35" s="8"/>
      <c r="D35" s="8"/>
      <c r="E35" s="8"/>
    </row>
    <row r="36" spans="1:5" ht="14.25" customHeight="1" x14ac:dyDescent="0.25">
      <c r="A36" s="8"/>
      <c r="B36" s="8"/>
      <c r="C36" s="8"/>
      <c r="D36" s="8"/>
      <c r="E36" s="8"/>
    </row>
    <row r="37" spans="1:5" ht="14.25" customHeight="1" x14ac:dyDescent="0.25">
      <c r="A37" s="8"/>
      <c r="B37" s="8"/>
      <c r="C37" s="8"/>
      <c r="D37" s="8"/>
      <c r="E37" s="8"/>
    </row>
    <row r="38" spans="1:5" ht="14.25" customHeight="1" x14ac:dyDescent="0.25">
      <c r="A38" s="8"/>
      <c r="B38" s="8"/>
      <c r="C38" s="8"/>
      <c r="D38" s="8"/>
      <c r="E38" s="8"/>
    </row>
    <row r="39" spans="1:5" ht="14.25" customHeight="1" x14ac:dyDescent="0.25">
      <c r="A39" s="8"/>
      <c r="B39" s="8"/>
      <c r="C39" s="8"/>
      <c r="D39" s="8"/>
      <c r="E39" s="8"/>
    </row>
    <row r="40" spans="1:5" ht="14.25" customHeight="1" x14ac:dyDescent="0.25">
      <c r="A40" s="8"/>
      <c r="B40" s="8"/>
      <c r="C40" s="8"/>
      <c r="D40" s="8"/>
      <c r="E40" s="8"/>
    </row>
    <row r="41" spans="1:5" ht="14.25" customHeight="1" x14ac:dyDescent="0.25">
      <c r="A41" s="8"/>
      <c r="B41" s="8"/>
      <c r="C41" s="8"/>
      <c r="D41" s="8"/>
      <c r="E41" s="8"/>
    </row>
    <row r="42" spans="1:5" ht="14.25" customHeight="1" x14ac:dyDescent="0.25">
      <c r="A42" s="8"/>
      <c r="B42" s="8"/>
      <c r="C42" s="8"/>
      <c r="D42" s="8"/>
      <c r="E42" s="8"/>
    </row>
    <row r="43" spans="1:5" ht="14.25" customHeight="1" x14ac:dyDescent="0.25">
      <c r="A43" s="8"/>
      <c r="B43" s="8"/>
      <c r="C43" s="8"/>
      <c r="D43" s="8"/>
      <c r="E43" s="8"/>
    </row>
    <row r="44" spans="1:5" ht="14.25" customHeight="1" x14ac:dyDescent="0.25">
      <c r="A44" s="8"/>
      <c r="B44" s="8"/>
      <c r="C44" s="8"/>
      <c r="D44" s="8"/>
      <c r="E44" s="8"/>
    </row>
    <row r="45" spans="1:5" ht="14.25" customHeight="1" x14ac:dyDescent="0.25">
      <c r="A45" s="8"/>
      <c r="B45" s="8"/>
      <c r="C45" s="8"/>
      <c r="D45" s="8"/>
      <c r="E45" s="8"/>
    </row>
    <row r="46" spans="1:5" ht="14.25" customHeight="1" x14ac:dyDescent="0.25">
      <c r="A46" s="8"/>
      <c r="B46" s="8"/>
      <c r="C46" s="8"/>
      <c r="D46" s="8"/>
      <c r="E46" s="8"/>
    </row>
    <row r="47" spans="1:5" ht="14.25" customHeight="1" x14ac:dyDescent="0.25">
      <c r="A47" s="8"/>
      <c r="B47" s="8"/>
      <c r="C47" s="8"/>
      <c r="D47" s="8"/>
      <c r="E47" s="8"/>
    </row>
    <row r="48" spans="1:5" ht="14.25" customHeight="1" x14ac:dyDescent="0.25">
      <c r="A48" s="8"/>
      <c r="B48" s="8"/>
      <c r="C48" s="8"/>
      <c r="D48" s="8"/>
      <c r="E48" s="8"/>
    </row>
    <row r="49" spans="1:5" ht="14.25" customHeight="1" x14ac:dyDescent="0.25">
      <c r="A49" s="8"/>
      <c r="B49" s="8"/>
      <c r="C49" s="8"/>
      <c r="D49" s="8"/>
      <c r="E49" s="8"/>
    </row>
    <row r="50" spans="1:5" ht="14.25" customHeight="1" x14ac:dyDescent="0.25">
      <c r="A50" s="8"/>
      <c r="B50" s="8"/>
      <c r="C50" s="8"/>
      <c r="D50" s="8"/>
      <c r="E50" s="8"/>
    </row>
    <row r="51" spans="1:5" ht="14.25" customHeight="1" x14ac:dyDescent="0.25">
      <c r="A51" s="8"/>
      <c r="B51" s="8"/>
      <c r="C51" s="8"/>
      <c r="D51" s="8"/>
      <c r="E51" s="8"/>
    </row>
    <row r="52" spans="1:5" ht="14.25" customHeight="1" x14ac:dyDescent="0.25">
      <c r="A52" s="8"/>
      <c r="B52" s="8"/>
      <c r="C52" s="8"/>
      <c r="D52" s="8"/>
      <c r="E52" s="8"/>
    </row>
    <row r="53" spans="1:5" ht="14.25" customHeight="1" x14ac:dyDescent="0.25">
      <c r="A53" s="8"/>
      <c r="B53" s="8"/>
      <c r="C53" s="8"/>
      <c r="D53" s="8"/>
      <c r="E53" s="8"/>
    </row>
    <row r="54" spans="1:5" ht="14.25" customHeight="1" x14ac:dyDescent="0.25">
      <c r="A54" s="8"/>
      <c r="B54" s="8"/>
      <c r="C54" s="8"/>
      <c r="D54" s="8"/>
      <c r="E54" s="8"/>
    </row>
    <row r="55" spans="1:5" ht="14.25" customHeight="1" x14ac:dyDescent="0.25">
      <c r="A55" s="8"/>
      <c r="B55" s="8"/>
      <c r="C55" s="8"/>
      <c r="D55" s="8"/>
      <c r="E55" s="8"/>
    </row>
    <row r="56" spans="1:5" ht="14.25" customHeight="1" x14ac:dyDescent="0.25">
      <c r="A56" s="8"/>
      <c r="B56" s="8"/>
      <c r="C56" s="8"/>
      <c r="D56" s="8"/>
      <c r="E56" s="8"/>
    </row>
    <row r="57" spans="1:5" ht="14.25" customHeight="1" x14ac:dyDescent="0.25">
      <c r="A57" s="8"/>
      <c r="B57" s="8"/>
      <c r="C57" s="8"/>
      <c r="D57" s="8"/>
      <c r="E57" s="8"/>
    </row>
    <row r="58" spans="1:5" ht="14.25" customHeight="1" x14ac:dyDescent="0.25">
      <c r="A58" s="8"/>
      <c r="B58" s="8"/>
      <c r="C58" s="8"/>
      <c r="D58" s="8"/>
      <c r="E58" s="8"/>
    </row>
    <row r="59" spans="1:5" ht="14.25" customHeight="1" x14ac:dyDescent="0.25">
      <c r="A59" s="8"/>
      <c r="B59" s="8"/>
      <c r="C59" s="8"/>
      <c r="D59" s="8"/>
      <c r="E59" s="8"/>
    </row>
    <row r="60" spans="1:5" ht="14.25" customHeight="1" x14ac:dyDescent="0.25">
      <c r="A60" s="8"/>
      <c r="B60" s="8"/>
      <c r="C60" s="8"/>
      <c r="D60" s="8"/>
      <c r="E60" s="8"/>
    </row>
    <row r="61" spans="1:5" ht="14.25" customHeight="1" x14ac:dyDescent="0.25">
      <c r="A61" s="8"/>
      <c r="B61" s="8"/>
      <c r="C61" s="8"/>
      <c r="D61" s="8"/>
      <c r="E61" s="8"/>
    </row>
    <row r="62" spans="1:5" ht="14.25" customHeight="1" x14ac:dyDescent="0.25">
      <c r="A62" s="8"/>
      <c r="B62" s="8"/>
      <c r="C62" s="8"/>
      <c r="D62" s="8"/>
      <c r="E62" s="8"/>
    </row>
    <row r="63" spans="1:5" ht="14.25" customHeight="1" x14ac:dyDescent="0.25">
      <c r="A63" s="8"/>
      <c r="B63" s="8"/>
      <c r="C63" s="8"/>
      <c r="D63" s="8"/>
      <c r="E63" s="8"/>
    </row>
    <row r="64" spans="1:5" ht="14.25" customHeight="1" x14ac:dyDescent="0.25">
      <c r="A64" s="8"/>
      <c r="B64" s="8"/>
      <c r="C64" s="8"/>
      <c r="D64" s="8"/>
      <c r="E64" s="8"/>
    </row>
    <row r="65" spans="1:5" ht="14.25" customHeight="1" x14ac:dyDescent="0.25">
      <c r="A65" s="8"/>
      <c r="B65" s="8"/>
      <c r="C65" s="8"/>
      <c r="D65" s="8"/>
      <c r="E65" s="8"/>
    </row>
    <row r="66" spans="1:5" ht="14.25" customHeight="1" x14ac:dyDescent="0.25">
      <c r="A66" s="8"/>
      <c r="B66" s="8"/>
      <c r="C66" s="8"/>
      <c r="D66" s="8"/>
      <c r="E66" s="8"/>
    </row>
    <row r="67" spans="1:5" ht="14.25" customHeight="1" x14ac:dyDescent="0.25">
      <c r="A67" s="8"/>
      <c r="B67" s="8"/>
      <c r="C67" s="8"/>
      <c r="D67" s="8"/>
      <c r="E67" s="8"/>
    </row>
    <row r="68" spans="1:5" ht="14.25" customHeight="1" x14ac:dyDescent="0.25">
      <c r="A68" s="8"/>
      <c r="B68" s="8"/>
      <c r="C68" s="8"/>
      <c r="D68" s="8"/>
      <c r="E68" s="8"/>
    </row>
    <row r="69" spans="1:5" ht="14.25" customHeight="1" x14ac:dyDescent="0.25">
      <c r="A69" s="8"/>
      <c r="B69" s="8"/>
      <c r="C69" s="8"/>
      <c r="D69" s="8"/>
      <c r="E69" s="8"/>
    </row>
    <row r="70" spans="1:5" ht="14.25" customHeight="1" x14ac:dyDescent="0.25">
      <c r="A70" s="8"/>
      <c r="B70" s="8"/>
      <c r="C70" s="8"/>
      <c r="D70" s="8"/>
      <c r="E70" s="8"/>
    </row>
    <row r="71" spans="1:5" ht="14.25" customHeight="1" x14ac:dyDescent="0.25">
      <c r="A71" s="8"/>
      <c r="B71" s="8"/>
      <c r="C71" s="8"/>
      <c r="D71" s="8"/>
      <c r="E71" s="8"/>
    </row>
    <row r="72" spans="1:5" ht="14.25" customHeight="1" x14ac:dyDescent="0.25">
      <c r="A72" s="8"/>
      <c r="B72" s="8"/>
      <c r="C72" s="8"/>
      <c r="D72" s="8"/>
      <c r="E72" s="8"/>
    </row>
    <row r="73" spans="1:5" ht="14.25" customHeight="1" x14ac:dyDescent="0.25">
      <c r="A73" s="8"/>
      <c r="B73" s="8"/>
      <c r="C73" s="8"/>
      <c r="D73" s="8"/>
      <c r="E73" s="8"/>
    </row>
    <row r="74" spans="1:5" ht="14.25" customHeight="1" x14ac:dyDescent="0.25">
      <c r="A74" s="8"/>
      <c r="B74" s="8"/>
      <c r="C74" s="8"/>
      <c r="D74" s="8"/>
      <c r="E74" s="8"/>
    </row>
    <row r="75" spans="1:5" ht="14.25" customHeight="1" x14ac:dyDescent="0.25">
      <c r="A75" s="8"/>
      <c r="B75" s="8"/>
      <c r="C75" s="8"/>
      <c r="D75" s="8"/>
      <c r="E75" s="8"/>
    </row>
    <row r="76" spans="1:5" ht="14.25" customHeight="1" x14ac:dyDescent="0.25">
      <c r="A76" s="8"/>
      <c r="B76" s="8"/>
      <c r="C76" s="8"/>
      <c r="D76" s="8"/>
      <c r="E76" s="8"/>
    </row>
    <row r="77" spans="1:5" ht="14.25" customHeight="1" x14ac:dyDescent="0.25">
      <c r="A77" s="8"/>
      <c r="B77" s="8"/>
      <c r="C77" s="8"/>
      <c r="D77" s="8"/>
      <c r="E77" s="8"/>
    </row>
    <row r="78" spans="1:5" ht="14.25" customHeight="1" x14ac:dyDescent="0.25">
      <c r="A78" s="8"/>
      <c r="B78" s="8"/>
      <c r="C78" s="8"/>
      <c r="D78" s="8"/>
      <c r="E78" s="8"/>
    </row>
    <row r="79" spans="1:5" ht="14.25" customHeight="1" x14ac:dyDescent="0.25">
      <c r="A79" s="8"/>
      <c r="B79" s="8"/>
      <c r="C79" s="8"/>
      <c r="D79" s="8"/>
      <c r="E79" s="8"/>
    </row>
    <row r="80" spans="1:5" ht="14.25" customHeight="1" x14ac:dyDescent="0.25">
      <c r="A80" s="8"/>
      <c r="B80" s="8"/>
      <c r="C80" s="8"/>
      <c r="D80" s="8"/>
      <c r="E80" s="8"/>
    </row>
    <row r="81" spans="1:5" ht="14.25" customHeight="1" x14ac:dyDescent="0.25">
      <c r="A81" s="8"/>
      <c r="B81" s="8"/>
      <c r="C81" s="8"/>
      <c r="D81" s="8"/>
      <c r="E81" s="8"/>
    </row>
    <row r="82" spans="1:5" ht="14.25" customHeight="1" x14ac:dyDescent="0.25">
      <c r="A82" s="8"/>
      <c r="B82" s="8"/>
      <c r="C82" s="8"/>
      <c r="D82" s="8"/>
      <c r="E82" s="8"/>
    </row>
    <row r="83" spans="1:5" ht="14.25" customHeight="1" x14ac:dyDescent="0.25">
      <c r="A83" s="8"/>
      <c r="B83" s="8"/>
      <c r="C83" s="8"/>
      <c r="D83" s="8"/>
      <c r="E83" s="8"/>
    </row>
    <row r="84" spans="1:5" ht="14.25" customHeight="1" x14ac:dyDescent="0.25">
      <c r="A84" s="8"/>
      <c r="B84" s="8"/>
      <c r="C84" s="8"/>
      <c r="D84" s="8"/>
      <c r="E84" s="8"/>
    </row>
    <row r="85" spans="1:5" ht="14.25" customHeight="1" x14ac:dyDescent="0.25">
      <c r="A85" s="8"/>
      <c r="B85" s="8"/>
      <c r="C85" s="8"/>
      <c r="D85" s="8"/>
      <c r="E85" s="8"/>
    </row>
    <row r="86" spans="1:5" ht="14.25" customHeight="1" x14ac:dyDescent="0.25">
      <c r="A86" s="8"/>
      <c r="B86" s="8"/>
      <c r="C86" s="8"/>
      <c r="D86" s="8"/>
      <c r="E86" s="8"/>
    </row>
    <row r="87" spans="1:5" ht="14.25" customHeight="1" x14ac:dyDescent="0.25">
      <c r="A87" s="8"/>
      <c r="B87" s="8"/>
      <c r="C87" s="8"/>
      <c r="D87" s="8"/>
      <c r="E87" s="8"/>
    </row>
    <row r="88" spans="1:5" ht="14.25" customHeight="1" x14ac:dyDescent="0.25">
      <c r="A88" s="8"/>
      <c r="B88" s="8"/>
      <c r="C88" s="8"/>
      <c r="D88" s="8"/>
      <c r="E88" s="8"/>
    </row>
    <row r="89" spans="1:5" ht="14.25" customHeight="1" x14ac:dyDescent="0.25">
      <c r="A89" s="8"/>
      <c r="B89" s="8"/>
      <c r="C89" s="8"/>
      <c r="D89" s="8"/>
      <c r="E89" s="8"/>
    </row>
    <row r="90" spans="1:5" ht="14.25" customHeight="1" x14ac:dyDescent="0.25">
      <c r="A90" s="8"/>
      <c r="B90" s="8"/>
      <c r="C90" s="8"/>
      <c r="D90" s="8"/>
      <c r="E90" s="8"/>
    </row>
    <row r="91" spans="1:5" ht="14.25" customHeight="1" x14ac:dyDescent="0.25">
      <c r="A91" s="8"/>
      <c r="B91" s="8"/>
      <c r="C91" s="8"/>
      <c r="D91" s="8"/>
      <c r="E91" s="8"/>
    </row>
    <row r="92" spans="1:5" ht="14.25" customHeight="1" x14ac:dyDescent="0.25">
      <c r="A92" s="8"/>
      <c r="B92" s="8"/>
      <c r="C92" s="8"/>
      <c r="D92" s="8"/>
      <c r="E92" s="8"/>
    </row>
    <row r="93" spans="1:5" ht="14.25" customHeight="1" x14ac:dyDescent="0.25">
      <c r="A93" s="8"/>
      <c r="B93" s="8"/>
      <c r="C93" s="8"/>
      <c r="D93" s="8"/>
      <c r="E93" s="8"/>
    </row>
    <row r="94" spans="1:5" ht="14.25" customHeight="1" x14ac:dyDescent="0.25">
      <c r="A94" s="8"/>
      <c r="B94" s="8"/>
      <c r="C94" s="8"/>
      <c r="D94" s="8"/>
      <c r="E94" s="8"/>
    </row>
    <row r="95" spans="1:5" ht="14.25" customHeight="1" x14ac:dyDescent="0.25">
      <c r="A95" s="8"/>
      <c r="B95" s="8"/>
      <c r="C95" s="8"/>
      <c r="D95" s="8"/>
      <c r="E95" s="8"/>
    </row>
    <row r="96" spans="1:5" ht="14.25" customHeight="1" x14ac:dyDescent="0.25">
      <c r="A96" s="8"/>
      <c r="B96" s="8"/>
      <c r="C96" s="8"/>
      <c r="D96" s="8"/>
      <c r="E96" s="8"/>
    </row>
    <row r="97" spans="1:5" ht="14.25" customHeight="1" x14ac:dyDescent="0.25">
      <c r="A97" s="8"/>
      <c r="B97" s="8"/>
      <c r="C97" s="8"/>
      <c r="D97" s="8"/>
      <c r="E97" s="8"/>
    </row>
    <row r="98" spans="1:5" ht="14.25" customHeight="1" x14ac:dyDescent="0.25">
      <c r="A98" s="8"/>
      <c r="B98" s="8"/>
      <c r="C98" s="8"/>
      <c r="D98" s="8"/>
      <c r="E98" s="8"/>
    </row>
    <row r="99" spans="1:5" ht="14.25" customHeight="1" x14ac:dyDescent="0.25">
      <c r="A99" s="8"/>
      <c r="B99" s="8"/>
      <c r="C99" s="8"/>
      <c r="D99" s="8"/>
      <c r="E99" s="8"/>
    </row>
    <row r="100" spans="1:5" ht="14.25" customHeight="1" x14ac:dyDescent="0.25">
      <c r="A100" s="8"/>
      <c r="B100" s="8"/>
      <c r="C100" s="8"/>
      <c r="D100" s="8"/>
      <c r="E100" s="8"/>
    </row>
    <row r="101" spans="1:5" ht="14.25" customHeight="1" x14ac:dyDescent="0.25">
      <c r="A101" s="8"/>
      <c r="B101" s="8"/>
      <c r="C101" s="8"/>
      <c r="D101" s="8"/>
      <c r="E101" s="8"/>
    </row>
    <row r="102" spans="1:5" ht="14.25" customHeight="1" x14ac:dyDescent="0.25">
      <c r="A102" s="8"/>
      <c r="B102" s="8"/>
      <c r="C102" s="8"/>
      <c r="D102" s="8"/>
      <c r="E102" s="8"/>
    </row>
    <row r="103" spans="1:5" ht="14.25" customHeight="1" x14ac:dyDescent="0.25">
      <c r="A103" s="8"/>
      <c r="B103" s="8"/>
      <c r="C103" s="8"/>
      <c r="D103" s="8"/>
      <c r="E103" s="8"/>
    </row>
    <row r="104" spans="1:5" ht="14.25" customHeight="1" x14ac:dyDescent="0.25">
      <c r="A104" s="8"/>
      <c r="B104" s="8"/>
      <c r="C104" s="8"/>
      <c r="D104" s="8"/>
      <c r="E104" s="8"/>
    </row>
    <row r="105" spans="1:5" ht="14.25" customHeight="1" x14ac:dyDescent="0.25">
      <c r="A105" s="8"/>
      <c r="B105" s="8"/>
      <c r="C105" s="8"/>
      <c r="D105" s="8"/>
      <c r="E105" s="8"/>
    </row>
    <row r="106" spans="1:5" ht="14.25" customHeight="1" x14ac:dyDescent="0.25">
      <c r="A106" s="8"/>
      <c r="B106" s="8"/>
      <c r="C106" s="8"/>
      <c r="D106" s="8"/>
      <c r="E106" s="8"/>
    </row>
    <row r="107" spans="1:5" ht="14.25" customHeight="1" x14ac:dyDescent="0.25">
      <c r="A107" s="8"/>
      <c r="B107" s="8"/>
      <c r="C107" s="8"/>
      <c r="D107" s="8"/>
      <c r="E107" s="8"/>
    </row>
    <row r="108" spans="1:5" ht="14.25" customHeight="1" x14ac:dyDescent="0.25">
      <c r="A108" s="8"/>
      <c r="B108" s="8"/>
      <c r="C108" s="8"/>
      <c r="D108" s="8"/>
      <c r="E108" s="8"/>
    </row>
    <row r="109" spans="1:5" ht="14.25" customHeight="1" x14ac:dyDescent="0.25">
      <c r="A109" s="8"/>
      <c r="B109" s="8"/>
      <c r="C109" s="8"/>
      <c r="D109" s="8"/>
      <c r="E109" s="8"/>
    </row>
    <row r="110" spans="1:5" ht="14.25" customHeight="1" x14ac:dyDescent="0.25">
      <c r="A110" s="8"/>
      <c r="B110" s="8"/>
      <c r="C110" s="8"/>
      <c r="D110" s="8"/>
      <c r="E110" s="8"/>
    </row>
    <row r="111" spans="1:5" ht="14.25" customHeight="1" x14ac:dyDescent="0.25">
      <c r="A111" s="8"/>
      <c r="B111" s="8"/>
      <c r="C111" s="8"/>
      <c r="D111" s="8"/>
      <c r="E111" s="8"/>
    </row>
    <row r="112" spans="1:5" ht="14.25" customHeight="1" x14ac:dyDescent="0.25">
      <c r="A112" s="8"/>
      <c r="B112" s="8"/>
      <c r="C112" s="8"/>
      <c r="D112" s="8"/>
      <c r="E112" s="8"/>
    </row>
    <row r="113" spans="1:5" ht="14.25" customHeight="1" x14ac:dyDescent="0.25">
      <c r="A113" s="8"/>
      <c r="B113" s="8"/>
      <c r="C113" s="8"/>
      <c r="D113" s="8"/>
      <c r="E113" s="8"/>
    </row>
    <row r="114" spans="1:5" ht="14.25" customHeight="1" x14ac:dyDescent="0.25">
      <c r="A114" s="8"/>
      <c r="B114" s="8"/>
      <c r="C114" s="8"/>
      <c r="D114" s="8"/>
      <c r="E114" s="8"/>
    </row>
    <row r="115" spans="1:5" ht="14.25" customHeight="1" x14ac:dyDescent="0.25">
      <c r="A115" s="8"/>
      <c r="B115" s="8"/>
      <c r="C115" s="8"/>
      <c r="D115" s="8"/>
      <c r="E115" s="8"/>
    </row>
    <row r="116" spans="1:5" ht="14.25" customHeight="1" x14ac:dyDescent="0.25">
      <c r="A116" s="8"/>
      <c r="B116" s="8"/>
      <c r="C116" s="8"/>
      <c r="D116" s="8"/>
      <c r="E116" s="8"/>
    </row>
    <row r="117" spans="1:5" ht="14.25" customHeight="1" x14ac:dyDescent="0.25">
      <c r="A117" s="8"/>
      <c r="B117" s="8"/>
      <c r="C117" s="8"/>
      <c r="D117" s="8"/>
      <c r="E117" s="8"/>
    </row>
    <row r="118" spans="1:5" ht="14.25" customHeight="1" x14ac:dyDescent="0.25">
      <c r="A118" s="8"/>
      <c r="B118" s="8"/>
      <c r="C118" s="8"/>
      <c r="D118" s="8"/>
      <c r="E118" s="8"/>
    </row>
    <row r="119" spans="1:5" ht="14.25" customHeight="1" x14ac:dyDescent="0.25">
      <c r="A119" s="8"/>
      <c r="B119" s="8"/>
      <c r="C119" s="8"/>
      <c r="D119" s="8"/>
      <c r="E119" s="8"/>
    </row>
    <row r="120" spans="1:5" ht="14.25" customHeight="1" x14ac:dyDescent="0.25">
      <c r="A120" s="8"/>
      <c r="B120" s="8"/>
      <c r="C120" s="8"/>
      <c r="D120" s="8"/>
      <c r="E120" s="8"/>
    </row>
    <row r="121" spans="1:5" ht="14.25" customHeight="1" x14ac:dyDescent="0.25">
      <c r="A121" s="8"/>
      <c r="B121" s="8"/>
      <c r="C121" s="8"/>
      <c r="D121" s="8"/>
      <c r="E121" s="8"/>
    </row>
    <row r="122" spans="1:5" ht="14.25" customHeight="1" x14ac:dyDescent="0.25">
      <c r="A122" s="8"/>
      <c r="B122" s="8"/>
      <c r="C122" s="8"/>
      <c r="D122" s="8"/>
      <c r="E122" s="8"/>
    </row>
    <row r="123" spans="1:5" ht="14.25" customHeight="1" x14ac:dyDescent="0.25">
      <c r="A123" s="8"/>
      <c r="B123" s="8"/>
      <c r="C123" s="8"/>
      <c r="D123" s="8"/>
      <c r="E123" s="8"/>
    </row>
    <row r="124" spans="1:5" ht="14.25" customHeight="1" x14ac:dyDescent="0.25">
      <c r="A124" s="8"/>
      <c r="B124" s="8"/>
      <c r="C124" s="8"/>
      <c r="D124" s="8"/>
      <c r="E124" s="8"/>
    </row>
    <row r="125" spans="1:5" ht="14.25" customHeight="1" x14ac:dyDescent="0.25">
      <c r="A125" s="8"/>
      <c r="B125" s="8"/>
      <c r="C125" s="8"/>
      <c r="D125" s="8"/>
      <c r="E125" s="8"/>
    </row>
    <row r="126" spans="1:5" ht="14.25" customHeight="1" x14ac:dyDescent="0.25">
      <c r="A126" s="8"/>
      <c r="B126" s="8"/>
      <c r="C126" s="8"/>
      <c r="D126" s="8"/>
      <c r="E126" s="8"/>
    </row>
    <row r="127" spans="1:5" ht="14.25" customHeight="1" x14ac:dyDescent="0.25">
      <c r="A127" s="8"/>
      <c r="B127" s="8"/>
      <c r="C127" s="8"/>
      <c r="D127" s="8"/>
      <c r="E127" s="8"/>
    </row>
    <row r="128" spans="1:5" ht="14.25" customHeight="1" x14ac:dyDescent="0.25">
      <c r="A128" s="8"/>
      <c r="B128" s="8"/>
      <c r="C128" s="8"/>
      <c r="D128" s="8"/>
      <c r="E128" s="8"/>
    </row>
    <row r="129" spans="1:5" ht="14.25" customHeight="1" x14ac:dyDescent="0.25">
      <c r="A129" s="8"/>
      <c r="B129" s="8"/>
      <c r="C129" s="8"/>
      <c r="D129" s="8"/>
      <c r="E129" s="8"/>
    </row>
    <row r="130" spans="1:5" ht="14.25" customHeight="1" x14ac:dyDescent="0.25">
      <c r="A130" s="8"/>
      <c r="B130" s="8"/>
      <c r="C130" s="8"/>
      <c r="D130" s="8"/>
      <c r="E130" s="8"/>
    </row>
    <row r="131" spans="1:5" ht="14.25" customHeight="1" x14ac:dyDescent="0.25">
      <c r="A131" s="8"/>
      <c r="B131" s="8"/>
      <c r="C131" s="8"/>
      <c r="D131" s="8"/>
      <c r="E131" s="8"/>
    </row>
    <row r="132" spans="1:5" ht="14.25" customHeight="1" x14ac:dyDescent="0.25">
      <c r="A132" s="8"/>
      <c r="B132" s="8"/>
      <c r="C132" s="8"/>
      <c r="D132" s="8"/>
      <c r="E132" s="8"/>
    </row>
    <row r="133" spans="1:5" ht="14.25" customHeight="1" x14ac:dyDescent="0.25">
      <c r="A133" s="8"/>
      <c r="B133" s="8"/>
      <c r="C133" s="8"/>
      <c r="D133" s="8"/>
      <c r="E133" s="8"/>
    </row>
    <row r="134" spans="1:5" ht="14.25" customHeight="1" x14ac:dyDescent="0.25">
      <c r="A134" s="8"/>
      <c r="B134" s="8"/>
      <c r="C134" s="8"/>
      <c r="D134" s="8"/>
      <c r="E134" s="8"/>
    </row>
    <row r="135" spans="1:5" ht="14.25" customHeight="1" x14ac:dyDescent="0.25">
      <c r="A135" s="8"/>
      <c r="B135" s="8"/>
      <c r="C135" s="8"/>
      <c r="D135" s="8"/>
      <c r="E135" s="8"/>
    </row>
    <row r="136" spans="1:5" ht="14.25" customHeight="1" x14ac:dyDescent="0.25">
      <c r="A136" s="8"/>
      <c r="B136" s="8"/>
      <c r="C136" s="8"/>
      <c r="D136" s="8"/>
      <c r="E136" s="8"/>
    </row>
    <row r="137" spans="1:5" ht="14.25" customHeight="1" x14ac:dyDescent="0.25">
      <c r="A137" s="8"/>
      <c r="B137" s="8"/>
      <c r="C137" s="8"/>
      <c r="D137" s="8"/>
      <c r="E137" s="8"/>
    </row>
    <row r="138" spans="1:5" ht="14.25" customHeight="1" x14ac:dyDescent="0.25">
      <c r="A138" s="8"/>
      <c r="B138" s="8"/>
      <c r="C138" s="8"/>
      <c r="D138" s="8"/>
      <c r="E138" s="8"/>
    </row>
    <row r="139" spans="1:5" ht="14.25" customHeight="1" x14ac:dyDescent="0.25">
      <c r="A139" s="8"/>
      <c r="B139" s="8"/>
      <c r="C139" s="8"/>
      <c r="D139" s="8"/>
      <c r="E139" s="8"/>
    </row>
    <row r="140" spans="1:5" ht="14.25" customHeight="1" x14ac:dyDescent="0.25">
      <c r="A140" s="8"/>
      <c r="B140" s="8"/>
      <c r="C140" s="8"/>
      <c r="D140" s="8"/>
      <c r="E140" s="8"/>
    </row>
    <row r="141" spans="1:5" ht="14.25" customHeight="1" x14ac:dyDescent="0.25">
      <c r="A141" s="8"/>
      <c r="B141" s="8"/>
      <c r="C141" s="8"/>
      <c r="D141" s="8"/>
      <c r="E141" s="8"/>
    </row>
    <row r="142" spans="1:5" ht="14.25" customHeight="1" x14ac:dyDescent="0.25">
      <c r="A142" s="8"/>
      <c r="B142" s="8"/>
      <c r="C142" s="8"/>
      <c r="D142" s="8"/>
      <c r="E142" s="8"/>
    </row>
    <row r="143" spans="1:5" ht="14.25" customHeight="1" x14ac:dyDescent="0.25">
      <c r="A143" s="8"/>
      <c r="B143" s="8"/>
      <c r="C143" s="8"/>
      <c r="D143" s="8"/>
      <c r="E143" s="8"/>
    </row>
    <row r="144" spans="1:5" ht="14.25" customHeight="1" x14ac:dyDescent="0.25">
      <c r="A144" s="8"/>
      <c r="B144" s="8"/>
      <c r="C144" s="8"/>
      <c r="D144" s="8"/>
      <c r="E144" s="8"/>
    </row>
    <row r="145" spans="1:5" ht="14.25" customHeight="1" x14ac:dyDescent="0.25">
      <c r="A145" s="8"/>
      <c r="B145" s="8"/>
      <c r="C145" s="8"/>
      <c r="D145" s="8"/>
      <c r="E145" s="8"/>
    </row>
    <row r="146" spans="1:5" ht="14.25" customHeight="1" x14ac:dyDescent="0.25">
      <c r="A146" s="8"/>
      <c r="B146" s="8"/>
      <c r="C146" s="8"/>
      <c r="D146" s="8"/>
      <c r="E146" s="8"/>
    </row>
    <row r="147" spans="1:5" ht="14.25" customHeight="1" x14ac:dyDescent="0.25">
      <c r="A147" s="8"/>
      <c r="B147" s="8"/>
      <c r="C147" s="8"/>
      <c r="D147" s="8"/>
      <c r="E147" s="8"/>
    </row>
    <row r="148" spans="1:5" ht="14.25" customHeight="1" x14ac:dyDescent="0.25">
      <c r="A148" s="8"/>
      <c r="B148" s="8"/>
      <c r="C148" s="8"/>
      <c r="D148" s="8"/>
      <c r="E148" s="8"/>
    </row>
    <row r="149" spans="1:5" ht="14.25" customHeight="1" x14ac:dyDescent="0.25">
      <c r="A149" s="8"/>
      <c r="B149" s="8"/>
      <c r="C149" s="8"/>
      <c r="D149" s="8"/>
      <c r="E149" s="8"/>
    </row>
    <row r="150" spans="1:5" ht="14.25" customHeight="1" x14ac:dyDescent="0.25">
      <c r="A150" s="8"/>
      <c r="B150" s="8"/>
      <c r="C150" s="8"/>
      <c r="D150" s="8"/>
      <c r="E150" s="8"/>
    </row>
    <row r="151" spans="1:5" ht="14.25" customHeight="1" x14ac:dyDescent="0.25">
      <c r="A151" s="8"/>
      <c r="B151" s="8"/>
      <c r="C151" s="8"/>
      <c r="D151" s="8"/>
      <c r="E151" s="8"/>
    </row>
    <row r="152" spans="1:5" ht="14.25" customHeight="1" x14ac:dyDescent="0.25">
      <c r="A152" s="8"/>
      <c r="B152" s="8"/>
      <c r="C152" s="8"/>
      <c r="D152" s="8"/>
      <c r="E152" s="8"/>
    </row>
    <row r="153" spans="1:5" ht="14.25" customHeight="1" x14ac:dyDescent="0.25">
      <c r="A153" s="8"/>
      <c r="B153" s="8"/>
      <c r="C153" s="8"/>
      <c r="D153" s="8"/>
      <c r="E153" s="8"/>
    </row>
    <row r="154" spans="1:5" ht="14.25" customHeight="1" x14ac:dyDescent="0.25">
      <c r="A154" s="8"/>
      <c r="B154" s="8"/>
      <c r="C154" s="8"/>
      <c r="D154" s="8"/>
      <c r="E154" s="8"/>
    </row>
    <row r="155" spans="1:5" ht="14.25" customHeight="1" x14ac:dyDescent="0.25">
      <c r="A155" s="8"/>
      <c r="B155" s="8"/>
      <c r="C155" s="8"/>
      <c r="D155" s="8"/>
      <c r="E155" s="8"/>
    </row>
    <row r="156" spans="1:5" ht="14.25" customHeight="1" x14ac:dyDescent="0.25">
      <c r="A156" s="8"/>
      <c r="B156" s="8"/>
      <c r="C156" s="8"/>
      <c r="D156" s="8"/>
      <c r="E156" s="8"/>
    </row>
    <row r="157" spans="1:5" ht="14.25" customHeight="1" x14ac:dyDescent="0.25">
      <c r="A157" s="8"/>
      <c r="B157" s="8"/>
      <c r="C157" s="8"/>
      <c r="D157" s="8"/>
      <c r="E157" s="8"/>
    </row>
    <row r="158" spans="1:5" ht="14.25" customHeight="1" x14ac:dyDescent="0.25">
      <c r="A158" s="8"/>
      <c r="B158" s="8"/>
      <c r="C158" s="8"/>
      <c r="D158" s="8"/>
      <c r="E158" s="8"/>
    </row>
    <row r="159" spans="1:5" ht="14.25" customHeight="1" x14ac:dyDescent="0.25">
      <c r="A159" s="8"/>
      <c r="B159" s="8"/>
      <c r="C159" s="8"/>
      <c r="D159" s="8"/>
      <c r="E159" s="8"/>
    </row>
    <row r="160" spans="1:5" ht="14.25" customHeight="1" x14ac:dyDescent="0.25">
      <c r="A160" s="8"/>
      <c r="B160" s="8"/>
      <c r="C160" s="8"/>
      <c r="D160" s="8"/>
      <c r="E160" s="8"/>
    </row>
    <row r="161" spans="1:5" ht="14.25" customHeight="1" x14ac:dyDescent="0.25">
      <c r="A161" s="8"/>
      <c r="B161" s="8"/>
      <c r="C161" s="8"/>
      <c r="D161" s="8"/>
      <c r="E161" s="8"/>
    </row>
    <row r="162" spans="1:5" ht="14.25" customHeight="1" x14ac:dyDescent="0.25">
      <c r="A162" s="8"/>
      <c r="B162" s="8"/>
      <c r="C162" s="8"/>
      <c r="D162" s="8"/>
      <c r="E162" s="8"/>
    </row>
    <row r="163" spans="1:5" ht="14.25" customHeight="1" x14ac:dyDescent="0.25">
      <c r="A163" s="8"/>
      <c r="B163" s="8"/>
      <c r="C163" s="8"/>
      <c r="D163" s="8"/>
      <c r="E163" s="8"/>
    </row>
    <row r="164" spans="1:5" ht="14.25" customHeight="1" x14ac:dyDescent="0.25">
      <c r="A164" s="8"/>
      <c r="B164" s="8"/>
      <c r="C164" s="8"/>
      <c r="D164" s="8"/>
      <c r="E164" s="8"/>
    </row>
    <row r="165" spans="1:5" ht="14.25" customHeight="1" x14ac:dyDescent="0.25">
      <c r="A165" s="8"/>
      <c r="B165" s="8"/>
      <c r="C165" s="8"/>
      <c r="D165" s="8"/>
      <c r="E165" s="8"/>
    </row>
    <row r="166" spans="1:5" ht="14.25" customHeight="1" x14ac:dyDescent="0.25">
      <c r="A166" s="8"/>
      <c r="B166" s="8"/>
      <c r="C166" s="8"/>
      <c r="D166" s="8"/>
      <c r="E166" s="8"/>
    </row>
    <row r="167" spans="1:5" ht="14.25" customHeight="1" x14ac:dyDescent="0.25">
      <c r="A167" s="8"/>
      <c r="B167" s="8"/>
      <c r="C167" s="8"/>
      <c r="D167" s="8"/>
      <c r="E167" s="8"/>
    </row>
    <row r="168" spans="1:5" ht="14.25" customHeight="1" x14ac:dyDescent="0.25">
      <c r="A168" s="8"/>
      <c r="B168" s="8"/>
      <c r="C168" s="8"/>
      <c r="D168" s="8"/>
      <c r="E168" s="8"/>
    </row>
    <row r="169" spans="1:5" ht="14.25" customHeight="1" x14ac:dyDescent="0.25">
      <c r="A169" s="8"/>
      <c r="B169" s="8"/>
      <c r="C169" s="8"/>
      <c r="D169" s="8"/>
      <c r="E169" s="8"/>
    </row>
    <row r="170" spans="1:5" ht="14.25" customHeight="1" x14ac:dyDescent="0.25">
      <c r="A170" s="8"/>
      <c r="B170" s="8"/>
      <c r="C170" s="8"/>
      <c r="D170" s="8"/>
      <c r="E170" s="8"/>
    </row>
    <row r="171" spans="1:5" ht="14.25" customHeight="1" x14ac:dyDescent="0.25">
      <c r="A171" s="8"/>
      <c r="B171" s="8"/>
      <c r="C171" s="8"/>
      <c r="D171" s="8"/>
      <c r="E171" s="8"/>
    </row>
    <row r="172" spans="1:5" ht="14.25" customHeight="1" x14ac:dyDescent="0.25">
      <c r="A172" s="8"/>
      <c r="B172" s="8"/>
      <c r="C172" s="8"/>
      <c r="D172" s="8"/>
      <c r="E172" s="8"/>
    </row>
    <row r="173" spans="1:5" ht="14.25" customHeight="1" x14ac:dyDescent="0.25">
      <c r="A173" s="8"/>
      <c r="B173" s="8"/>
      <c r="C173" s="8"/>
      <c r="D173" s="8"/>
      <c r="E173" s="8"/>
    </row>
    <row r="174" spans="1:5" ht="14.25" customHeight="1" x14ac:dyDescent="0.25">
      <c r="A174" s="8"/>
      <c r="B174" s="8"/>
      <c r="C174" s="8"/>
      <c r="D174" s="8"/>
      <c r="E174" s="8"/>
    </row>
    <row r="175" spans="1:5" ht="14.25" customHeight="1" x14ac:dyDescent="0.25">
      <c r="A175" s="8"/>
      <c r="B175" s="8"/>
      <c r="C175" s="8"/>
      <c r="D175" s="8"/>
      <c r="E175" s="8"/>
    </row>
    <row r="176" spans="1:5" ht="14.25" customHeight="1" x14ac:dyDescent="0.25">
      <c r="A176" s="8"/>
      <c r="B176" s="8"/>
      <c r="C176" s="8"/>
      <c r="D176" s="8"/>
      <c r="E176" s="8"/>
    </row>
    <row r="177" spans="1:5" ht="14.25" customHeight="1" x14ac:dyDescent="0.25">
      <c r="A177" s="8"/>
      <c r="B177" s="8"/>
      <c r="C177" s="8"/>
      <c r="D177" s="8"/>
      <c r="E177" s="8"/>
    </row>
    <row r="178" spans="1:5" ht="14.25" customHeight="1" x14ac:dyDescent="0.25">
      <c r="A178" s="8"/>
      <c r="B178" s="8"/>
      <c r="C178" s="8"/>
      <c r="D178" s="8"/>
      <c r="E178" s="8"/>
    </row>
    <row r="179" spans="1:5" ht="14.25" customHeight="1" x14ac:dyDescent="0.25">
      <c r="A179" s="8"/>
      <c r="B179" s="8"/>
      <c r="C179" s="8"/>
      <c r="D179" s="8"/>
      <c r="E179" s="8"/>
    </row>
    <row r="180" spans="1:5" ht="14.25" customHeight="1" x14ac:dyDescent="0.25">
      <c r="A180" s="8"/>
      <c r="B180" s="8"/>
      <c r="C180" s="8"/>
      <c r="D180" s="8"/>
      <c r="E180" s="8"/>
    </row>
    <row r="181" spans="1:5" ht="14.25" customHeight="1" x14ac:dyDescent="0.25">
      <c r="A181" s="8"/>
      <c r="B181" s="8"/>
      <c r="C181" s="8"/>
      <c r="D181" s="8"/>
      <c r="E181" s="8"/>
    </row>
    <row r="182" spans="1:5" ht="14.25" customHeight="1" x14ac:dyDescent="0.25">
      <c r="A182" s="8"/>
      <c r="B182" s="8"/>
      <c r="C182" s="8"/>
      <c r="D182" s="8"/>
      <c r="E182" s="8"/>
    </row>
    <row r="183" spans="1:5" ht="14.25" customHeight="1" x14ac:dyDescent="0.25">
      <c r="A183" s="8"/>
      <c r="B183" s="8"/>
      <c r="C183" s="8"/>
      <c r="D183" s="8"/>
      <c r="E183" s="8"/>
    </row>
    <row r="184" spans="1:5" ht="14.25" customHeight="1" x14ac:dyDescent="0.25">
      <c r="A184" s="8"/>
      <c r="B184" s="8"/>
      <c r="C184" s="8"/>
      <c r="D184" s="8"/>
      <c r="E184" s="8"/>
    </row>
    <row r="185" spans="1:5" ht="14.25" customHeight="1" x14ac:dyDescent="0.25">
      <c r="A185" s="8"/>
      <c r="B185" s="8"/>
      <c r="C185" s="8"/>
      <c r="D185" s="8"/>
      <c r="E185" s="8"/>
    </row>
    <row r="186" spans="1:5" ht="14.25" customHeight="1" x14ac:dyDescent="0.25">
      <c r="A186" s="8"/>
      <c r="B186" s="8"/>
      <c r="C186" s="8"/>
      <c r="D186" s="8"/>
      <c r="E186" s="8"/>
    </row>
    <row r="187" spans="1:5" ht="14.25" customHeight="1" x14ac:dyDescent="0.25">
      <c r="A187" s="8"/>
      <c r="B187" s="8"/>
      <c r="C187" s="8"/>
      <c r="D187" s="8"/>
      <c r="E187" s="8"/>
    </row>
    <row r="188" spans="1:5" ht="14.25" customHeight="1" x14ac:dyDescent="0.25">
      <c r="A188" s="8"/>
      <c r="B188" s="8"/>
      <c r="C188" s="8"/>
      <c r="D188" s="8"/>
      <c r="E188" s="8"/>
    </row>
    <row r="189" spans="1:5" ht="14.25" customHeight="1" x14ac:dyDescent="0.25">
      <c r="A189" s="8"/>
      <c r="B189" s="8"/>
      <c r="C189" s="8"/>
      <c r="D189" s="8"/>
      <c r="E189" s="8"/>
    </row>
    <row r="190" spans="1:5" ht="14.25" customHeight="1" x14ac:dyDescent="0.25">
      <c r="A190" s="8"/>
      <c r="B190" s="8"/>
      <c r="C190" s="8"/>
      <c r="D190" s="8"/>
      <c r="E190" s="8"/>
    </row>
    <row r="191" spans="1:5" ht="14.25" customHeight="1" x14ac:dyDescent="0.25">
      <c r="A191" s="8"/>
      <c r="B191" s="8"/>
      <c r="C191" s="8"/>
      <c r="D191" s="8"/>
      <c r="E191" s="8"/>
    </row>
    <row r="192" spans="1:5" ht="14.25" customHeight="1" x14ac:dyDescent="0.25">
      <c r="A192" s="8"/>
      <c r="B192" s="8"/>
      <c r="C192" s="8"/>
      <c r="D192" s="8"/>
      <c r="E192" s="8"/>
    </row>
    <row r="193" spans="1:5" ht="14.25" customHeight="1" x14ac:dyDescent="0.25">
      <c r="A193" s="8"/>
      <c r="B193" s="8"/>
      <c r="C193" s="8"/>
      <c r="D193" s="8"/>
      <c r="E193" s="8"/>
    </row>
    <row r="194" spans="1:5" ht="14.25" customHeight="1" x14ac:dyDescent="0.25">
      <c r="A194" s="8"/>
      <c r="B194" s="8"/>
      <c r="C194" s="8"/>
      <c r="D194" s="8"/>
      <c r="E194" s="8"/>
    </row>
    <row r="195" spans="1:5" ht="14.25" customHeight="1" x14ac:dyDescent="0.25">
      <c r="A195" s="8"/>
      <c r="B195" s="8"/>
      <c r="C195" s="8"/>
      <c r="D195" s="8"/>
      <c r="E195" s="8"/>
    </row>
    <row r="196" spans="1:5" ht="14.25" customHeight="1" x14ac:dyDescent="0.25">
      <c r="A196" s="8"/>
      <c r="B196" s="8"/>
      <c r="C196" s="8"/>
      <c r="D196" s="8"/>
      <c r="E196" s="8"/>
    </row>
    <row r="197" spans="1:5" ht="14.25" customHeight="1" x14ac:dyDescent="0.25">
      <c r="A197" s="8"/>
      <c r="B197" s="8"/>
      <c r="C197" s="8"/>
      <c r="D197" s="8"/>
      <c r="E197" s="8"/>
    </row>
    <row r="198" spans="1:5" ht="14.25" customHeight="1" x14ac:dyDescent="0.25">
      <c r="A198" s="8"/>
      <c r="B198" s="8"/>
      <c r="C198" s="8"/>
      <c r="D198" s="8"/>
      <c r="E198" s="8"/>
    </row>
    <row r="199" spans="1:5" ht="14.25" customHeight="1" x14ac:dyDescent="0.25">
      <c r="A199" s="8"/>
      <c r="B199" s="8"/>
      <c r="C199" s="8"/>
      <c r="D199" s="8"/>
      <c r="E199" s="8"/>
    </row>
    <row r="200" spans="1:5" ht="14.25" customHeight="1" x14ac:dyDescent="0.25">
      <c r="A200" s="8"/>
      <c r="B200" s="8"/>
      <c r="C200" s="8"/>
      <c r="D200" s="8"/>
      <c r="E200" s="8"/>
    </row>
    <row r="201" spans="1:5" ht="14.25" customHeight="1" x14ac:dyDescent="0.25">
      <c r="A201" s="8"/>
      <c r="B201" s="8"/>
      <c r="C201" s="8"/>
      <c r="D201" s="8"/>
      <c r="E201" s="8"/>
    </row>
    <row r="202" spans="1:5" ht="14.25" customHeight="1" x14ac:dyDescent="0.25">
      <c r="A202" s="8"/>
      <c r="B202" s="8"/>
      <c r="C202" s="8"/>
      <c r="D202" s="8"/>
      <c r="E202" s="8"/>
    </row>
    <row r="203" spans="1:5" ht="14.25" customHeight="1" x14ac:dyDescent="0.25">
      <c r="A203" s="8"/>
      <c r="B203" s="8"/>
      <c r="C203" s="8"/>
      <c r="D203" s="8"/>
      <c r="E203" s="8"/>
    </row>
    <row r="204" spans="1:5" ht="14.25" customHeight="1" x14ac:dyDescent="0.25">
      <c r="A204" s="8"/>
      <c r="B204" s="8"/>
      <c r="C204" s="8"/>
      <c r="D204" s="8"/>
      <c r="E204" s="8"/>
    </row>
    <row r="205" spans="1:5" ht="14.25" customHeight="1" x14ac:dyDescent="0.25">
      <c r="A205" s="8"/>
      <c r="B205" s="8"/>
      <c r="C205" s="8"/>
      <c r="D205" s="8"/>
      <c r="E205" s="8"/>
    </row>
    <row r="206" spans="1:5" ht="14.25" customHeight="1" x14ac:dyDescent="0.25">
      <c r="A206" s="8"/>
      <c r="B206" s="8"/>
      <c r="C206" s="8"/>
      <c r="D206" s="8"/>
      <c r="E206" s="8"/>
    </row>
    <row r="207" spans="1:5" ht="14.25" customHeight="1" x14ac:dyDescent="0.25">
      <c r="A207" s="8"/>
      <c r="B207" s="8"/>
      <c r="C207" s="8"/>
      <c r="D207" s="8"/>
      <c r="E207" s="8"/>
    </row>
    <row r="208" spans="1:5" ht="14.25" customHeight="1" x14ac:dyDescent="0.25">
      <c r="A208" s="8"/>
      <c r="B208" s="8"/>
      <c r="C208" s="8"/>
      <c r="D208" s="8"/>
      <c r="E208" s="8"/>
    </row>
    <row r="209" spans="1:5" ht="14.25" customHeight="1" x14ac:dyDescent="0.25">
      <c r="A209" s="8"/>
      <c r="B209" s="8"/>
      <c r="C209" s="8"/>
      <c r="D209" s="8"/>
      <c r="E209" s="8"/>
    </row>
    <row r="210" spans="1:5" ht="14.25" customHeight="1" x14ac:dyDescent="0.25">
      <c r="A210" s="8"/>
      <c r="B210" s="8"/>
      <c r="C210" s="8"/>
      <c r="D210" s="8"/>
      <c r="E210" s="8"/>
    </row>
    <row r="211" spans="1:5" ht="14.25" customHeight="1" x14ac:dyDescent="0.25">
      <c r="A211" s="8"/>
      <c r="B211" s="8"/>
      <c r="C211" s="8"/>
      <c r="D211" s="8"/>
      <c r="E211" s="8"/>
    </row>
    <row r="212" spans="1:5" ht="14.25" customHeight="1" x14ac:dyDescent="0.25">
      <c r="A212" s="8"/>
      <c r="B212" s="8"/>
      <c r="C212" s="8"/>
      <c r="D212" s="8"/>
      <c r="E212" s="8"/>
    </row>
    <row r="213" spans="1:5" ht="14.25" customHeight="1" x14ac:dyDescent="0.25">
      <c r="A213" s="8"/>
      <c r="B213" s="8"/>
      <c r="C213" s="8"/>
      <c r="D213" s="8"/>
      <c r="E213" s="8"/>
    </row>
    <row r="214" spans="1:5" ht="14.25" customHeight="1" x14ac:dyDescent="0.25">
      <c r="A214" s="8"/>
      <c r="B214" s="8"/>
      <c r="C214" s="8"/>
      <c r="D214" s="8"/>
      <c r="E214" s="8"/>
    </row>
    <row r="215" spans="1:5" ht="14.25" customHeight="1" x14ac:dyDescent="0.25">
      <c r="A215" s="8"/>
      <c r="B215" s="8"/>
      <c r="C215" s="8"/>
      <c r="D215" s="8"/>
      <c r="E215" s="8"/>
    </row>
    <row r="216" spans="1:5" ht="14.25" customHeight="1" x14ac:dyDescent="0.25">
      <c r="A216" s="8"/>
      <c r="B216" s="8"/>
      <c r="C216" s="8"/>
      <c r="D216" s="8"/>
      <c r="E216" s="8"/>
    </row>
    <row r="217" spans="1:5" ht="14.25" customHeight="1" x14ac:dyDescent="0.25">
      <c r="A217" s="8"/>
      <c r="B217" s="8"/>
      <c r="C217" s="8"/>
      <c r="D217" s="8"/>
      <c r="E217" s="8"/>
    </row>
    <row r="218" spans="1:5" ht="14.25" customHeight="1" x14ac:dyDescent="0.25">
      <c r="A218" s="8"/>
      <c r="B218" s="8"/>
      <c r="C218" s="8"/>
      <c r="D218" s="8"/>
      <c r="E218" s="8"/>
    </row>
    <row r="219" spans="1:5" ht="14.25" customHeight="1" x14ac:dyDescent="0.25">
      <c r="A219" s="8"/>
      <c r="B219" s="8"/>
      <c r="C219" s="8"/>
      <c r="D219" s="8"/>
      <c r="E219" s="8"/>
    </row>
    <row r="220" spans="1:5" ht="14.25" customHeight="1" x14ac:dyDescent="0.25">
      <c r="A220" s="8"/>
      <c r="B220" s="8"/>
      <c r="C220" s="8"/>
      <c r="D220" s="8"/>
      <c r="E220" s="8"/>
    </row>
    <row r="221" spans="1:5" ht="14.25" customHeight="1" x14ac:dyDescent="0.25">
      <c r="A221" s="8"/>
      <c r="B221" s="8"/>
      <c r="C221" s="8"/>
      <c r="D221" s="8"/>
      <c r="E221" s="8"/>
    </row>
    <row r="222" spans="1:5" ht="14.25" customHeight="1" x14ac:dyDescent="0.25">
      <c r="A222" s="8"/>
      <c r="B222" s="8"/>
      <c r="C222" s="8"/>
      <c r="D222" s="8"/>
      <c r="E222" s="8"/>
    </row>
    <row r="223" spans="1:5" ht="14.25" customHeight="1" x14ac:dyDescent="0.25">
      <c r="A223" s="8"/>
      <c r="B223" s="8"/>
      <c r="C223" s="8"/>
      <c r="D223" s="8"/>
      <c r="E223" s="8"/>
    </row>
    <row r="224" spans="1:5" ht="14.25" customHeight="1" x14ac:dyDescent="0.25">
      <c r="A224" s="8"/>
      <c r="B224" s="8"/>
      <c r="C224" s="8"/>
      <c r="D224" s="8"/>
      <c r="E224" s="8"/>
    </row>
    <row r="225" spans="1:5" ht="14.25" customHeight="1" x14ac:dyDescent="0.25">
      <c r="A225" s="8"/>
      <c r="B225" s="8"/>
      <c r="C225" s="8"/>
      <c r="D225" s="8"/>
      <c r="E225" s="8"/>
    </row>
    <row r="226" spans="1:5" ht="14.25" customHeight="1" x14ac:dyDescent="0.25">
      <c r="A226" s="8"/>
      <c r="B226" s="8"/>
      <c r="C226" s="8"/>
      <c r="D226" s="8"/>
      <c r="E226" s="8"/>
    </row>
    <row r="227" spans="1:5" ht="14.25" customHeight="1" x14ac:dyDescent="0.25">
      <c r="A227" s="8"/>
      <c r="B227" s="8"/>
      <c r="C227" s="8"/>
      <c r="D227" s="8"/>
      <c r="E227" s="8"/>
    </row>
    <row r="228" spans="1:5" ht="14.25" customHeight="1" x14ac:dyDescent="0.25">
      <c r="A228" s="8"/>
      <c r="B228" s="8"/>
      <c r="C228" s="8"/>
      <c r="D228" s="8"/>
      <c r="E228" s="8"/>
    </row>
    <row r="229" spans="1:5" ht="14.25" customHeight="1" x14ac:dyDescent="0.25">
      <c r="A229" s="8"/>
      <c r="B229" s="8"/>
      <c r="C229" s="8"/>
      <c r="D229" s="8"/>
      <c r="E229" s="8"/>
    </row>
    <row r="230" spans="1:5" ht="14.25" customHeight="1" x14ac:dyDescent="0.25">
      <c r="A230" s="8"/>
      <c r="B230" s="8"/>
      <c r="C230" s="8"/>
      <c r="D230" s="8"/>
      <c r="E230" s="8"/>
    </row>
    <row r="231" spans="1:5" ht="14.25" customHeight="1" x14ac:dyDescent="0.25">
      <c r="A231" s="8"/>
      <c r="B231" s="8"/>
      <c r="C231" s="8"/>
      <c r="D231" s="8"/>
      <c r="E231" s="8"/>
    </row>
    <row r="232" spans="1:5" ht="14.25" customHeight="1" x14ac:dyDescent="0.25">
      <c r="A232" s="8"/>
      <c r="B232" s="8"/>
      <c r="C232" s="8"/>
      <c r="D232" s="8"/>
      <c r="E232" s="8"/>
    </row>
    <row r="233" spans="1:5" ht="14.25" customHeight="1" x14ac:dyDescent="0.25">
      <c r="A233" s="8"/>
      <c r="B233" s="8"/>
      <c r="C233" s="8"/>
      <c r="D233" s="8"/>
      <c r="E233" s="8"/>
    </row>
    <row r="234" spans="1:5" ht="14.25" customHeight="1" x14ac:dyDescent="0.25">
      <c r="A234" s="8"/>
      <c r="B234" s="8"/>
      <c r="C234" s="8"/>
      <c r="D234" s="8"/>
      <c r="E234" s="8"/>
    </row>
    <row r="235" spans="1:5" ht="14.25" customHeight="1" x14ac:dyDescent="0.25">
      <c r="A235" s="8"/>
      <c r="B235" s="8"/>
      <c r="C235" s="8"/>
      <c r="D235" s="8"/>
      <c r="E235" s="8"/>
    </row>
    <row r="236" spans="1:5" ht="14.25" customHeight="1" x14ac:dyDescent="0.25">
      <c r="A236" s="8"/>
      <c r="B236" s="8"/>
      <c r="C236" s="8"/>
      <c r="D236" s="8"/>
      <c r="E236" s="8"/>
    </row>
    <row r="237" spans="1:5" ht="14.25" customHeight="1" x14ac:dyDescent="0.25">
      <c r="A237" s="8"/>
      <c r="B237" s="8"/>
      <c r="C237" s="8"/>
      <c r="D237" s="8"/>
      <c r="E237" s="8"/>
    </row>
    <row r="238" spans="1:5" ht="14.25" customHeight="1" x14ac:dyDescent="0.25">
      <c r="A238" s="8"/>
      <c r="B238" s="8"/>
      <c r="C238" s="8"/>
      <c r="D238" s="8"/>
      <c r="E238" s="8"/>
    </row>
    <row r="239" spans="1:5" ht="14.25" customHeight="1" x14ac:dyDescent="0.25">
      <c r="A239" s="8"/>
      <c r="B239" s="8"/>
      <c r="C239" s="8"/>
      <c r="D239" s="8"/>
      <c r="E239" s="8"/>
    </row>
    <row r="240" spans="1:5" ht="14.25" customHeight="1" x14ac:dyDescent="0.25">
      <c r="A240" s="8"/>
      <c r="B240" s="8"/>
      <c r="C240" s="8"/>
      <c r="D240" s="8"/>
      <c r="E240" s="8"/>
    </row>
    <row r="241" spans="1:5" ht="14.25" customHeight="1" x14ac:dyDescent="0.25">
      <c r="A241" s="8"/>
      <c r="B241" s="8"/>
      <c r="C241" s="8"/>
      <c r="D241" s="8"/>
      <c r="E241" s="8"/>
    </row>
    <row r="242" spans="1:5" ht="14.25" customHeight="1" x14ac:dyDescent="0.25">
      <c r="A242" s="8"/>
      <c r="B242" s="8"/>
      <c r="C242" s="8"/>
      <c r="D242" s="8"/>
      <c r="E242" s="8"/>
    </row>
    <row r="243" spans="1:5" ht="14.25" customHeight="1" x14ac:dyDescent="0.25">
      <c r="A243" s="8"/>
      <c r="B243" s="8"/>
      <c r="C243" s="8"/>
      <c r="D243" s="8"/>
      <c r="E243" s="8"/>
    </row>
    <row r="244" spans="1:5" ht="14.25" customHeight="1" x14ac:dyDescent="0.25">
      <c r="A244" s="8"/>
      <c r="B244" s="8"/>
      <c r="C244" s="8"/>
      <c r="D244" s="8"/>
      <c r="E244" s="8"/>
    </row>
    <row r="245" spans="1:5" ht="14.25" customHeight="1" x14ac:dyDescent="0.25">
      <c r="A245" s="8"/>
      <c r="B245" s="8"/>
      <c r="C245" s="8"/>
      <c r="D245" s="8"/>
      <c r="E245" s="8"/>
    </row>
    <row r="246" spans="1:5" ht="14.25" customHeight="1" x14ac:dyDescent="0.25">
      <c r="A246" s="8"/>
      <c r="B246" s="8"/>
      <c r="C246" s="8"/>
      <c r="D246" s="8"/>
      <c r="E246" s="8"/>
    </row>
    <row r="247" spans="1:5" ht="14.25" customHeight="1" x14ac:dyDescent="0.25">
      <c r="A247" s="8"/>
      <c r="B247" s="8"/>
      <c r="C247" s="8"/>
      <c r="D247" s="8"/>
      <c r="E247" s="8"/>
    </row>
    <row r="248" spans="1:5" ht="14.25" customHeight="1" x14ac:dyDescent="0.25">
      <c r="A248" s="8"/>
      <c r="B248" s="8"/>
      <c r="C248" s="8"/>
      <c r="D248" s="8"/>
      <c r="E248" s="8"/>
    </row>
    <row r="249" spans="1:5" ht="14.25" customHeight="1" x14ac:dyDescent="0.25">
      <c r="A249" s="8"/>
      <c r="B249" s="8"/>
      <c r="C249" s="8"/>
      <c r="D249" s="8"/>
      <c r="E249" s="8"/>
    </row>
    <row r="250" spans="1:5" ht="14.25" customHeight="1" x14ac:dyDescent="0.25">
      <c r="A250" s="8"/>
      <c r="B250" s="8"/>
      <c r="C250" s="8"/>
      <c r="D250" s="8"/>
      <c r="E250" s="8"/>
    </row>
    <row r="251" spans="1:5" ht="14.25" customHeight="1" x14ac:dyDescent="0.25">
      <c r="A251" s="8"/>
      <c r="B251" s="8"/>
      <c r="C251" s="8"/>
      <c r="D251" s="8"/>
      <c r="E251" s="8"/>
    </row>
    <row r="252" spans="1:5" ht="14.25" customHeight="1" x14ac:dyDescent="0.25">
      <c r="A252" s="8"/>
      <c r="B252" s="8"/>
      <c r="C252" s="8"/>
      <c r="D252" s="8"/>
      <c r="E252" s="8"/>
    </row>
    <row r="253" spans="1:5" ht="14.25" customHeight="1" x14ac:dyDescent="0.25">
      <c r="A253" s="8"/>
      <c r="B253" s="8"/>
      <c r="C253" s="8"/>
      <c r="D253" s="8"/>
      <c r="E253" s="8"/>
    </row>
    <row r="254" spans="1:5" ht="14.25" customHeight="1" x14ac:dyDescent="0.25">
      <c r="A254" s="8"/>
      <c r="B254" s="8"/>
      <c r="C254" s="8"/>
      <c r="D254" s="8"/>
      <c r="E254" s="8"/>
    </row>
    <row r="255" spans="1:5" ht="14.25" customHeight="1" x14ac:dyDescent="0.25">
      <c r="A255" s="8"/>
      <c r="B255" s="8"/>
      <c r="C255" s="8"/>
      <c r="D255" s="8"/>
      <c r="E255" s="8"/>
    </row>
    <row r="256" spans="1:5" ht="14.25" customHeight="1" x14ac:dyDescent="0.25">
      <c r="A256" s="8"/>
      <c r="B256" s="8"/>
      <c r="C256" s="8"/>
      <c r="D256" s="8"/>
      <c r="E256" s="8"/>
    </row>
    <row r="257" spans="1:5" ht="14.25" customHeight="1" x14ac:dyDescent="0.25">
      <c r="A257" s="8"/>
      <c r="B257" s="8"/>
      <c r="C257" s="8"/>
      <c r="D257" s="8"/>
      <c r="E257" s="8"/>
    </row>
    <row r="258" spans="1:5" ht="14.25" customHeight="1" x14ac:dyDescent="0.25">
      <c r="A258" s="8"/>
      <c r="B258" s="8"/>
      <c r="C258" s="8"/>
      <c r="D258" s="8"/>
      <c r="E258" s="8"/>
    </row>
    <row r="259" spans="1:5" ht="14.25" customHeight="1" x14ac:dyDescent="0.25">
      <c r="A259" s="8"/>
      <c r="B259" s="8"/>
      <c r="C259" s="8"/>
      <c r="D259" s="8"/>
      <c r="E259" s="8"/>
    </row>
    <row r="260" spans="1:5" ht="14.25" customHeight="1" x14ac:dyDescent="0.25">
      <c r="A260" s="8"/>
      <c r="B260" s="8"/>
      <c r="C260" s="8"/>
      <c r="D260" s="8"/>
      <c r="E260" s="8"/>
    </row>
    <row r="261" spans="1:5" ht="14.25" customHeight="1" x14ac:dyDescent="0.25">
      <c r="A261" s="8"/>
      <c r="B261" s="8"/>
      <c r="C261" s="8"/>
      <c r="D261" s="8"/>
      <c r="E261" s="8"/>
    </row>
    <row r="262" spans="1:5" ht="14.25" customHeight="1" x14ac:dyDescent="0.25">
      <c r="A262" s="8"/>
      <c r="B262" s="8"/>
      <c r="C262" s="8"/>
      <c r="D262" s="8"/>
      <c r="E262" s="8"/>
    </row>
    <row r="263" spans="1:5" ht="14.25" customHeight="1" x14ac:dyDescent="0.25">
      <c r="A263" s="8"/>
      <c r="B263" s="8"/>
      <c r="C263" s="8"/>
      <c r="D263" s="8"/>
      <c r="E263" s="8"/>
    </row>
    <row r="264" spans="1:5" ht="14.25" customHeight="1" x14ac:dyDescent="0.25">
      <c r="A264" s="8"/>
      <c r="B264" s="8"/>
      <c r="C264" s="8"/>
      <c r="D264" s="8"/>
      <c r="E264" s="8"/>
    </row>
    <row r="265" spans="1:5" ht="14.25" customHeight="1" x14ac:dyDescent="0.25">
      <c r="A265" s="8"/>
      <c r="B265" s="8"/>
      <c r="C265" s="8"/>
      <c r="D265" s="8"/>
      <c r="E265" s="8"/>
    </row>
    <row r="266" spans="1:5" ht="14.25" customHeight="1" x14ac:dyDescent="0.25">
      <c r="A266" s="8"/>
      <c r="B266" s="8"/>
      <c r="C266" s="8"/>
      <c r="D266" s="8"/>
      <c r="E266" s="8"/>
    </row>
    <row r="267" spans="1:5" ht="14.25" customHeight="1" x14ac:dyDescent="0.25">
      <c r="A267" s="8"/>
      <c r="B267" s="8"/>
      <c r="C267" s="8"/>
      <c r="D267" s="8"/>
      <c r="E267" s="8"/>
    </row>
    <row r="268" spans="1:5" ht="14.25" customHeight="1" x14ac:dyDescent="0.25">
      <c r="A268" s="8"/>
      <c r="B268" s="8"/>
      <c r="C268" s="8"/>
      <c r="D268" s="8"/>
      <c r="E268" s="8"/>
    </row>
    <row r="269" spans="1:5" ht="14.25" customHeight="1" x14ac:dyDescent="0.25">
      <c r="A269" s="8"/>
      <c r="B269" s="8"/>
      <c r="C269" s="8"/>
      <c r="D269" s="8"/>
      <c r="E269" s="8"/>
    </row>
    <row r="270" spans="1:5" ht="14.25" customHeight="1" x14ac:dyDescent="0.25">
      <c r="A270" s="8"/>
      <c r="B270" s="8"/>
      <c r="C270" s="8"/>
      <c r="D270" s="8"/>
      <c r="E270" s="8"/>
    </row>
    <row r="271" spans="1:5" ht="14.25" customHeight="1" x14ac:dyDescent="0.25">
      <c r="A271" s="8"/>
      <c r="B271" s="8"/>
      <c r="C271" s="8"/>
      <c r="D271" s="8"/>
      <c r="E271" s="8"/>
    </row>
    <row r="272" spans="1:5" ht="14.25" customHeight="1" x14ac:dyDescent="0.25">
      <c r="A272" s="8"/>
      <c r="B272" s="8"/>
      <c r="C272" s="8"/>
      <c r="D272" s="8"/>
      <c r="E272" s="8"/>
    </row>
    <row r="273" spans="1:5" ht="14.25" customHeight="1" x14ac:dyDescent="0.25">
      <c r="A273" s="8"/>
      <c r="B273" s="8"/>
      <c r="C273" s="8"/>
      <c r="D273" s="8"/>
      <c r="E273" s="8"/>
    </row>
    <row r="274" spans="1:5" ht="14.25" customHeight="1" x14ac:dyDescent="0.25">
      <c r="A274" s="8"/>
      <c r="B274" s="8"/>
      <c r="C274" s="8"/>
      <c r="D274" s="8"/>
      <c r="E274" s="8"/>
    </row>
    <row r="275" spans="1:5" ht="14.25" customHeight="1" x14ac:dyDescent="0.25">
      <c r="A275" s="8"/>
      <c r="B275" s="8"/>
      <c r="C275" s="8"/>
      <c r="D275" s="8"/>
      <c r="E275" s="8"/>
    </row>
    <row r="276" spans="1:5" ht="14.25" customHeight="1" x14ac:dyDescent="0.25">
      <c r="A276" s="8"/>
      <c r="B276" s="8"/>
      <c r="C276" s="8"/>
      <c r="D276" s="8"/>
      <c r="E276" s="8"/>
    </row>
    <row r="277" spans="1:5" ht="14.25" customHeight="1" x14ac:dyDescent="0.25">
      <c r="A277" s="8"/>
      <c r="B277" s="8"/>
      <c r="C277" s="8"/>
      <c r="D277" s="8"/>
      <c r="E277" s="8"/>
    </row>
    <row r="278" spans="1:5" ht="14.25" customHeight="1" x14ac:dyDescent="0.25">
      <c r="A278" s="8"/>
      <c r="B278" s="8"/>
      <c r="C278" s="8"/>
      <c r="D278" s="8"/>
      <c r="E278" s="8"/>
    </row>
    <row r="279" spans="1:5" ht="14.25" customHeight="1" x14ac:dyDescent="0.25">
      <c r="A279" s="8"/>
      <c r="B279" s="8"/>
      <c r="C279" s="8"/>
      <c r="D279" s="8"/>
      <c r="E279" s="8"/>
    </row>
    <row r="280" spans="1:5" ht="14.25" customHeight="1" x14ac:dyDescent="0.25">
      <c r="A280" s="8"/>
      <c r="B280" s="8"/>
      <c r="C280" s="8"/>
      <c r="D280" s="8"/>
      <c r="E280" s="8"/>
    </row>
    <row r="281" spans="1:5" ht="14.25" customHeight="1" x14ac:dyDescent="0.25">
      <c r="A281" s="8"/>
      <c r="B281" s="8"/>
      <c r="C281" s="8"/>
      <c r="D281" s="8"/>
      <c r="E281" s="8"/>
    </row>
    <row r="282" spans="1:5" ht="14.25" customHeight="1" x14ac:dyDescent="0.25">
      <c r="A282" s="8"/>
      <c r="B282" s="8"/>
      <c r="C282" s="8"/>
      <c r="D282" s="8"/>
      <c r="E282" s="8"/>
    </row>
    <row r="283" spans="1:5" ht="14.25" customHeight="1" x14ac:dyDescent="0.25">
      <c r="A283" s="8"/>
      <c r="B283" s="8"/>
      <c r="C283" s="8"/>
      <c r="D283" s="8"/>
      <c r="E283" s="8"/>
    </row>
    <row r="284" spans="1:5" ht="14.25" customHeight="1" x14ac:dyDescent="0.25">
      <c r="A284" s="8"/>
      <c r="B284" s="8"/>
      <c r="C284" s="8"/>
      <c r="D284" s="8"/>
      <c r="E284" s="8"/>
    </row>
    <row r="285" spans="1:5" ht="14.25" customHeight="1" x14ac:dyDescent="0.25">
      <c r="A285" s="8"/>
      <c r="B285" s="8"/>
      <c r="C285" s="8"/>
      <c r="D285" s="8"/>
      <c r="E285" s="8"/>
    </row>
    <row r="286" spans="1:5" ht="14.25" customHeight="1" x14ac:dyDescent="0.25">
      <c r="A286" s="8"/>
      <c r="B286" s="8"/>
      <c r="C286" s="8"/>
      <c r="D286" s="8"/>
      <c r="E286" s="8"/>
    </row>
    <row r="287" spans="1:5" ht="14.25" customHeight="1" x14ac:dyDescent="0.25">
      <c r="A287" s="8"/>
      <c r="B287" s="8"/>
      <c r="C287" s="8"/>
      <c r="D287" s="8"/>
      <c r="E287" s="8"/>
    </row>
    <row r="288" spans="1:5" ht="14.25" customHeight="1" x14ac:dyDescent="0.25">
      <c r="A288" s="8"/>
      <c r="B288" s="8"/>
      <c r="C288" s="8"/>
      <c r="D288" s="8"/>
      <c r="E288" s="8"/>
    </row>
    <row r="289" spans="1:5" ht="14.25" customHeight="1" x14ac:dyDescent="0.25">
      <c r="A289" s="8"/>
      <c r="B289" s="8"/>
      <c r="C289" s="8"/>
      <c r="D289" s="8"/>
      <c r="E289" s="8"/>
    </row>
    <row r="290" spans="1:5" ht="14.25" customHeight="1" x14ac:dyDescent="0.25">
      <c r="A290" s="8"/>
      <c r="B290" s="8"/>
      <c r="C290" s="8"/>
      <c r="D290" s="8"/>
      <c r="E290" s="8"/>
    </row>
    <row r="291" spans="1:5" ht="14.25" customHeight="1" x14ac:dyDescent="0.25">
      <c r="A291" s="8"/>
      <c r="B291" s="8"/>
      <c r="C291" s="8"/>
      <c r="D291" s="8"/>
      <c r="E291" s="8"/>
    </row>
    <row r="292" spans="1:5" ht="14.25" customHeight="1" x14ac:dyDescent="0.25">
      <c r="A292" s="8"/>
      <c r="B292" s="8"/>
      <c r="C292" s="8"/>
      <c r="D292" s="8"/>
      <c r="E292" s="8"/>
    </row>
    <row r="293" spans="1:5" ht="14.25" customHeight="1" x14ac:dyDescent="0.25">
      <c r="A293" s="8"/>
      <c r="B293" s="8"/>
      <c r="C293" s="8"/>
      <c r="D293" s="8"/>
      <c r="E293" s="8"/>
    </row>
    <row r="294" spans="1:5" ht="14.25" customHeight="1" x14ac:dyDescent="0.25">
      <c r="A294" s="8"/>
      <c r="B294" s="8"/>
      <c r="C294" s="8"/>
      <c r="D294" s="8"/>
      <c r="E294" s="8"/>
    </row>
    <row r="295" spans="1:5" ht="14.25" customHeight="1" x14ac:dyDescent="0.25">
      <c r="A295" s="8"/>
      <c r="B295" s="8"/>
      <c r="C295" s="8"/>
      <c r="D295" s="8"/>
      <c r="E295" s="8"/>
    </row>
    <row r="296" spans="1:5" ht="14.25" customHeight="1" x14ac:dyDescent="0.25">
      <c r="A296" s="8"/>
      <c r="B296" s="8"/>
      <c r="C296" s="8"/>
      <c r="D296" s="8"/>
      <c r="E296" s="8"/>
    </row>
    <row r="297" spans="1:5" ht="14.25" customHeight="1" x14ac:dyDescent="0.25">
      <c r="A297" s="8"/>
      <c r="B297" s="8"/>
      <c r="C297" s="8"/>
      <c r="D297" s="8"/>
      <c r="E297" s="8"/>
    </row>
    <row r="298" spans="1:5" ht="14.25" customHeight="1" x14ac:dyDescent="0.25">
      <c r="A298" s="8"/>
      <c r="B298" s="8"/>
      <c r="C298" s="8"/>
      <c r="D298" s="8"/>
      <c r="E298" s="8"/>
    </row>
    <row r="299" spans="1:5" ht="14.25" customHeight="1" x14ac:dyDescent="0.25">
      <c r="A299" s="8"/>
      <c r="B299" s="8"/>
      <c r="C299" s="8"/>
      <c r="D299" s="8"/>
      <c r="E299" s="8"/>
    </row>
    <row r="300" spans="1:5" ht="14.25" customHeight="1" x14ac:dyDescent="0.25">
      <c r="A300" s="8"/>
      <c r="B300" s="8"/>
      <c r="C300" s="8"/>
      <c r="D300" s="8"/>
      <c r="E300" s="8"/>
    </row>
    <row r="301" spans="1:5" ht="14.25" customHeight="1" x14ac:dyDescent="0.25">
      <c r="A301" s="8"/>
      <c r="B301" s="8"/>
      <c r="C301" s="8"/>
      <c r="D301" s="8"/>
      <c r="E301" s="8"/>
    </row>
    <row r="302" spans="1:5" ht="14.25" customHeight="1" x14ac:dyDescent="0.25">
      <c r="A302" s="8"/>
      <c r="B302" s="8"/>
      <c r="C302" s="8"/>
      <c r="D302" s="8"/>
      <c r="E302" s="8"/>
    </row>
    <row r="303" spans="1:5" ht="14.25" customHeight="1" x14ac:dyDescent="0.25">
      <c r="A303" s="8"/>
      <c r="B303" s="8"/>
      <c r="C303" s="8"/>
      <c r="D303" s="8"/>
      <c r="E303" s="8"/>
    </row>
    <row r="304" spans="1:5" ht="14.25" customHeight="1" x14ac:dyDescent="0.25">
      <c r="A304" s="8"/>
      <c r="B304" s="8"/>
      <c r="C304" s="8"/>
      <c r="D304" s="8"/>
      <c r="E304" s="8"/>
    </row>
    <row r="305" spans="1:5" ht="14.25" customHeight="1" x14ac:dyDescent="0.25">
      <c r="A305" s="8"/>
      <c r="B305" s="8"/>
      <c r="C305" s="8"/>
      <c r="D305" s="8"/>
      <c r="E305" s="8"/>
    </row>
    <row r="306" spans="1:5" ht="14.25" customHeight="1" x14ac:dyDescent="0.25">
      <c r="A306" s="8"/>
      <c r="B306" s="8"/>
      <c r="C306" s="8"/>
      <c r="D306" s="8"/>
      <c r="E306" s="8"/>
    </row>
    <row r="307" spans="1:5" ht="14.25" customHeight="1" x14ac:dyDescent="0.25">
      <c r="A307" s="8"/>
      <c r="B307" s="8"/>
      <c r="C307" s="8"/>
      <c r="D307" s="8"/>
      <c r="E307" s="8"/>
    </row>
    <row r="308" spans="1:5" ht="14.25" customHeight="1" x14ac:dyDescent="0.25">
      <c r="A308" s="8"/>
      <c r="B308" s="8"/>
      <c r="C308" s="8"/>
      <c r="D308" s="8"/>
      <c r="E308" s="8"/>
    </row>
    <row r="309" spans="1:5" ht="14.25" customHeight="1" x14ac:dyDescent="0.25">
      <c r="A309" s="8"/>
      <c r="B309" s="8"/>
      <c r="C309" s="8"/>
      <c r="D309" s="8"/>
      <c r="E309" s="8"/>
    </row>
    <row r="310" spans="1:5" ht="14.25" customHeight="1" x14ac:dyDescent="0.25">
      <c r="A310" s="8"/>
      <c r="B310" s="8"/>
      <c r="C310" s="8"/>
      <c r="D310" s="8"/>
      <c r="E310" s="8"/>
    </row>
    <row r="311" spans="1:5" ht="14.25" customHeight="1" x14ac:dyDescent="0.25">
      <c r="A311" s="8"/>
      <c r="B311" s="8"/>
      <c r="C311" s="8"/>
      <c r="D311" s="8"/>
      <c r="E311" s="8"/>
    </row>
    <row r="312" spans="1:5" ht="14.25" customHeight="1" x14ac:dyDescent="0.25">
      <c r="A312" s="8"/>
      <c r="B312" s="8"/>
      <c r="C312" s="8"/>
      <c r="D312" s="8"/>
      <c r="E312" s="8"/>
    </row>
    <row r="313" spans="1:5" ht="14.25" customHeight="1" x14ac:dyDescent="0.25">
      <c r="A313" s="8"/>
      <c r="B313" s="8"/>
      <c r="C313" s="8"/>
      <c r="D313" s="8"/>
      <c r="E313" s="8"/>
    </row>
    <row r="314" spans="1:5" ht="14.25" customHeight="1" x14ac:dyDescent="0.25">
      <c r="A314" s="8"/>
      <c r="B314" s="8"/>
      <c r="C314" s="8"/>
      <c r="D314" s="8"/>
      <c r="E314" s="8"/>
    </row>
    <row r="315" spans="1:5" ht="14.25" customHeight="1" x14ac:dyDescent="0.25">
      <c r="A315" s="8"/>
      <c r="B315" s="8"/>
      <c r="C315" s="8"/>
      <c r="D315" s="8"/>
      <c r="E315" s="8"/>
    </row>
    <row r="316" spans="1:5" ht="14.25" customHeight="1" x14ac:dyDescent="0.25">
      <c r="A316" s="8"/>
      <c r="B316" s="8"/>
      <c r="C316" s="8"/>
      <c r="D316" s="8"/>
      <c r="E316" s="8"/>
    </row>
    <row r="317" spans="1:5" ht="14.25" customHeight="1" x14ac:dyDescent="0.25">
      <c r="A317" s="8"/>
      <c r="B317" s="8"/>
      <c r="C317" s="8"/>
      <c r="D317" s="8"/>
      <c r="E317" s="8"/>
    </row>
    <row r="318" spans="1:5" ht="14.25" customHeight="1" x14ac:dyDescent="0.25">
      <c r="A318" s="8"/>
      <c r="B318" s="8"/>
      <c r="C318" s="8"/>
      <c r="D318" s="8"/>
      <c r="E318" s="8"/>
    </row>
    <row r="319" spans="1:5" ht="14.25" customHeight="1" x14ac:dyDescent="0.25">
      <c r="A319" s="8"/>
      <c r="B319" s="8"/>
      <c r="C319" s="8"/>
      <c r="D319" s="8"/>
      <c r="E319" s="8"/>
    </row>
    <row r="320" spans="1:5" ht="14.25" customHeight="1" x14ac:dyDescent="0.25">
      <c r="A320" s="8"/>
      <c r="B320" s="8"/>
      <c r="C320" s="8"/>
      <c r="D320" s="8"/>
      <c r="E320" s="8"/>
    </row>
    <row r="321" spans="1:5" ht="14.25" customHeight="1" x14ac:dyDescent="0.25">
      <c r="A321" s="8"/>
      <c r="B321" s="8"/>
      <c r="C321" s="8"/>
      <c r="D321" s="8"/>
      <c r="E321" s="8"/>
    </row>
    <row r="322" spans="1:5" ht="14.25" customHeight="1" x14ac:dyDescent="0.25">
      <c r="A322" s="8"/>
      <c r="B322" s="8"/>
      <c r="C322" s="8"/>
      <c r="D322" s="8"/>
      <c r="E322" s="8"/>
    </row>
    <row r="323" spans="1:5" ht="14.25" customHeight="1" x14ac:dyDescent="0.25">
      <c r="A323" s="8"/>
      <c r="B323" s="8"/>
      <c r="C323" s="8"/>
      <c r="D323" s="8"/>
      <c r="E323" s="8"/>
    </row>
    <row r="324" spans="1:5" ht="14.25" customHeight="1" x14ac:dyDescent="0.25">
      <c r="A324" s="8"/>
      <c r="B324" s="8"/>
      <c r="C324" s="8"/>
      <c r="D324" s="8"/>
      <c r="E324" s="8"/>
    </row>
    <row r="325" spans="1:5" ht="14.25" customHeight="1" x14ac:dyDescent="0.25">
      <c r="A325" s="8"/>
      <c r="B325" s="8"/>
      <c r="C325" s="8"/>
      <c r="D325" s="8"/>
      <c r="E325" s="8"/>
    </row>
    <row r="326" spans="1:5" ht="14.25" customHeight="1" x14ac:dyDescent="0.25">
      <c r="A326" s="8"/>
      <c r="B326" s="8"/>
      <c r="C326" s="8"/>
      <c r="D326" s="8"/>
      <c r="E326" s="8"/>
    </row>
    <row r="327" spans="1:5" ht="14.25" customHeight="1" x14ac:dyDescent="0.25">
      <c r="A327" s="8"/>
      <c r="B327" s="8"/>
      <c r="C327" s="8"/>
      <c r="D327" s="8"/>
      <c r="E327" s="8"/>
    </row>
    <row r="328" spans="1:5" ht="14.25" customHeight="1" x14ac:dyDescent="0.25">
      <c r="A328" s="8"/>
      <c r="B328" s="8"/>
      <c r="C328" s="8"/>
      <c r="D328" s="8"/>
      <c r="E328" s="8"/>
    </row>
    <row r="329" spans="1:5" ht="14.25" customHeight="1" x14ac:dyDescent="0.25">
      <c r="A329" s="8"/>
      <c r="B329" s="8"/>
      <c r="C329" s="8"/>
      <c r="D329" s="8"/>
      <c r="E329" s="8"/>
    </row>
    <row r="330" spans="1:5" ht="14.25" customHeight="1" x14ac:dyDescent="0.25">
      <c r="A330" s="8"/>
      <c r="B330" s="8"/>
      <c r="C330" s="8"/>
      <c r="D330" s="8"/>
      <c r="E330" s="8"/>
    </row>
    <row r="331" spans="1:5" ht="14.25" customHeight="1" x14ac:dyDescent="0.25">
      <c r="A331" s="8"/>
      <c r="B331" s="8"/>
      <c r="C331" s="8"/>
      <c r="D331" s="8"/>
      <c r="E331" s="8"/>
    </row>
    <row r="332" spans="1:5" ht="14.25" customHeight="1" x14ac:dyDescent="0.25">
      <c r="A332" s="8"/>
      <c r="B332" s="8"/>
      <c r="C332" s="8"/>
      <c r="D332" s="8"/>
      <c r="E332" s="8"/>
    </row>
    <row r="333" spans="1:5" ht="14.25" customHeight="1" x14ac:dyDescent="0.25">
      <c r="A333" s="8"/>
      <c r="B333" s="8"/>
      <c r="C333" s="8"/>
      <c r="D333" s="8"/>
      <c r="E333" s="8"/>
    </row>
    <row r="334" spans="1:5" ht="14.25" customHeight="1" x14ac:dyDescent="0.25">
      <c r="A334" s="8"/>
      <c r="B334" s="8"/>
      <c r="C334" s="8"/>
      <c r="D334" s="8"/>
      <c r="E334" s="8"/>
    </row>
    <row r="335" spans="1:5" ht="14.25" customHeight="1" x14ac:dyDescent="0.25">
      <c r="A335" s="8"/>
      <c r="B335" s="8"/>
      <c r="C335" s="8"/>
      <c r="D335" s="8"/>
      <c r="E335" s="8"/>
    </row>
    <row r="336" spans="1:5" ht="14.25" customHeight="1" x14ac:dyDescent="0.25">
      <c r="A336" s="8"/>
      <c r="B336" s="8"/>
      <c r="C336" s="8"/>
      <c r="D336" s="8"/>
      <c r="E336" s="8"/>
    </row>
    <row r="337" spans="1:5" ht="14.25" customHeight="1" x14ac:dyDescent="0.25">
      <c r="A337" s="8"/>
      <c r="B337" s="8"/>
      <c r="C337" s="8"/>
      <c r="D337" s="8"/>
      <c r="E337" s="8"/>
    </row>
    <row r="338" spans="1:5" ht="14.25" customHeight="1" x14ac:dyDescent="0.25">
      <c r="A338" s="8"/>
      <c r="B338" s="8"/>
      <c r="C338" s="8"/>
      <c r="D338" s="8"/>
      <c r="E338" s="8"/>
    </row>
    <row r="339" spans="1:5" ht="14.25" customHeight="1" x14ac:dyDescent="0.25">
      <c r="A339" s="8"/>
      <c r="B339" s="8"/>
      <c r="C339" s="8"/>
      <c r="D339" s="8"/>
      <c r="E339" s="8"/>
    </row>
    <row r="340" spans="1:5" ht="14.25" customHeight="1" x14ac:dyDescent="0.25">
      <c r="A340" s="8"/>
      <c r="B340" s="8"/>
      <c r="C340" s="8"/>
      <c r="D340" s="8"/>
      <c r="E340" s="8"/>
    </row>
    <row r="341" spans="1:5" ht="14.25" customHeight="1" x14ac:dyDescent="0.25">
      <c r="A341" s="8"/>
      <c r="B341" s="8"/>
      <c r="C341" s="8"/>
      <c r="D341" s="8"/>
      <c r="E341" s="8"/>
    </row>
    <row r="342" spans="1:5" ht="14.25" customHeight="1" x14ac:dyDescent="0.25">
      <c r="A342" s="8"/>
      <c r="B342" s="8"/>
      <c r="C342" s="8"/>
      <c r="D342" s="8"/>
      <c r="E342" s="8"/>
    </row>
    <row r="343" spans="1:5" ht="14.25" customHeight="1" x14ac:dyDescent="0.25">
      <c r="A343" s="8"/>
      <c r="B343" s="8"/>
      <c r="C343" s="8"/>
      <c r="D343" s="8"/>
      <c r="E343" s="8"/>
    </row>
    <row r="344" spans="1:5" ht="14.25" customHeight="1" x14ac:dyDescent="0.25">
      <c r="A344" s="8"/>
      <c r="B344" s="8"/>
      <c r="C344" s="8"/>
      <c r="D344" s="8"/>
      <c r="E344" s="8"/>
    </row>
    <row r="345" spans="1:5" ht="14.25" customHeight="1" x14ac:dyDescent="0.25">
      <c r="A345" s="8"/>
      <c r="B345" s="8"/>
      <c r="C345" s="8"/>
      <c r="D345" s="8"/>
      <c r="E345" s="8"/>
    </row>
    <row r="346" spans="1:5" ht="14.25" customHeight="1" x14ac:dyDescent="0.25">
      <c r="A346" s="8"/>
      <c r="B346" s="8"/>
      <c r="C346" s="8"/>
      <c r="D346" s="8"/>
      <c r="E346" s="8"/>
    </row>
    <row r="347" spans="1:5" ht="14.25" customHeight="1" x14ac:dyDescent="0.25">
      <c r="A347" s="8"/>
      <c r="B347" s="8"/>
      <c r="C347" s="8"/>
      <c r="D347" s="8"/>
      <c r="E347" s="8"/>
    </row>
    <row r="348" spans="1:5" ht="14.25" customHeight="1" x14ac:dyDescent="0.25">
      <c r="A348" s="8"/>
      <c r="B348" s="8"/>
      <c r="C348" s="8"/>
      <c r="D348" s="8"/>
      <c r="E348" s="8"/>
    </row>
    <row r="349" spans="1:5" ht="14.25" customHeight="1" x14ac:dyDescent="0.25">
      <c r="A349" s="8"/>
      <c r="B349" s="8"/>
      <c r="C349" s="8"/>
      <c r="D349" s="8"/>
      <c r="E349" s="8"/>
    </row>
    <row r="350" spans="1:5" ht="14.25" customHeight="1" x14ac:dyDescent="0.25">
      <c r="A350" s="8"/>
      <c r="B350" s="8"/>
      <c r="C350" s="8"/>
      <c r="D350" s="8"/>
      <c r="E350" s="8"/>
    </row>
    <row r="351" spans="1:5" ht="14.25" customHeight="1" x14ac:dyDescent="0.25">
      <c r="A351" s="8"/>
      <c r="B351" s="8"/>
      <c r="C351" s="8"/>
      <c r="D351" s="8"/>
      <c r="E351" s="8"/>
    </row>
    <row r="352" spans="1:5" ht="14.25" customHeight="1" x14ac:dyDescent="0.25">
      <c r="A352" s="8"/>
      <c r="B352" s="8"/>
      <c r="C352" s="8"/>
      <c r="D352" s="8"/>
      <c r="E352" s="8"/>
    </row>
    <row r="353" spans="1:5" ht="14.25" customHeight="1" x14ac:dyDescent="0.25">
      <c r="A353" s="8"/>
      <c r="B353" s="8"/>
      <c r="C353" s="8"/>
      <c r="D353" s="8"/>
      <c r="E353" s="8"/>
    </row>
    <row r="354" spans="1:5" ht="14.25" customHeight="1" x14ac:dyDescent="0.25">
      <c r="A354" s="8"/>
      <c r="B354" s="8"/>
      <c r="C354" s="8"/>
      <c r="D354" s="8"/>
      <c r="E354" s="8"/>
    </row>
    <row r="355" spans="1:5" ht="14.25" customHeight="1" x14ac:dyDescent="0.25">
      <c r="A355" s="8"/>
      <c r="B355" s="8"/>
      <c r="C355" s="8"/>
      <c r="D355" s="8"/>
      <c r="E355" s="8"/>
    </row>
    <row r="356" spans="1:5" ht="14.25" customHeight="1" x14ac:dyDescent="0.25">
      <c r="A356" s="8"/>
      <c r="B356" s="8"/>
      <c r="C356" s="8"/>
      <c r="D356" s="8"/>
      <c r="E356" s="8"/>
    </row>
    <row r="357" spans="1:5" ht="14.25" customHeight="1" x14ac:dyDescent="0.25">
      <c r="A357" s="8"/>
      <c r="B357" s="8"/>
      <c r="C357" s="8"/>
      <c r="D357" s="8"/>
      <c r="E357" s="8"/>
    </row>
    <row r="358" spans="1:5" ht="14.25" customHeight="1" x14ac:dyDescent="0.25">
      <c r="A358" s="8"/>
      <c r="B358" s="8"/>
      <c r="C358" s="8"/>
      <c r="D358" s="8"/>
      <c r="E358" s="8"/>
    </row>
    <row r="359" spans="1:5" ht="14.25" customHeight="1" x14ac:dyDescent="0.25">
      <c r="A359" s="8"/>
      <c r="B359" s="8"/>
      <c r="C359" s="8"/>
      <c r="D359" s="8"/>
      <c r="E359" s="8"/>
    </row>
    <row r="360" spans="1:5" ht="14.25" customHeight="1" x14ac:dyDescent="0.25">
      <c r="A360" s="8"/>
      <c r="B360" s="8"/>
      <c r="C360" s="8"/>
      <c r="D360" s="8"/>
      <c r="E360" s="8"/>
    </row>
    <row r="361" spans="1:5" ht="14.25" customHeight="1" x14ac:dyDescent="0.25">
      <c r="A361" s="8"/>
      <c r="B361" s="8"/>
      <c r="C361" s="8"/>
      <c r="D361" s="8"/>
      <c r="E361" s="8"/>
    </row>
    <row r="362" spans="1:5" ht="14.25" customHeight="1" x14ac:dyDescent="0.25">
      <c r="A362" s="8"/>
      <c r="B362" s="8"/>
      <c r="C362" s="8"/>
      <c r="D362" s="8"/>
      <c r="E362" s="8"/>
    </row>
    <row r="363" spans="1:5" ht="14.25" customHeight="1" x14ac:dyDescent="0.25">
      <c r="A363" s="8"/>
      <c r="B363" s="8"/>
      <c r="C363" s="8"/>
      <c r="D363" s="8"/>
      <c r="E363" s="8"/>
    </row>
    <row r="364" spans="1:5" ht="14.25" customHeight="1" x14ac:dyDescent="0.25">
      <c r="A364" s="8"/>
      <c r="B364" s="8"/>
      <c r="C364" s="8"/>
      <c r="D364" s="8"/>
      <c r="E364" s="8"/>
    </row>
    <row r="365" spans="1:5" ht="14.25" customHeight="1" x14ac:dyDescent="0.25">
      <c r="A365" s="8"/>
      <c r="B365" s="8"/>
      <c r="C365" s="8"/>
      <c r="D365" s="8"/>
      <c r="E365" s="8"/>
    </row>
    <row r="366" spans="1:5" ht="14.25" customHeight="1" x14ac:dyDescent="0.25">
      <c r="A366" s="8"/>
      <c r="B366" s="8"/>
      <c r="C366" s="8"/>
      <c r="D366" s="8"/>
      <c r="E366" s="8"/>
    </row>
    <row r="367" spans="1:5" ht="14.25" customHeight="1" x14ac:dyDescent="0.25">
      <c r="A367" s="8"/>
      <c r="B367" s="8"/>
      <c r="C367" s="8"/>
      <c r="D367" s="8"/>
      <c r="E367" s="8"/>
    </row>
    <row r="368" spans="1:5" ht="14.25" customHeight="1" x14ac:dyDescent="0.25">
      <c r="A368" s="8"/>
      <c r="B368" s="8"/>
      <c r="C368" s="8"/>
      <c r="D368" s="8"/>
      <c r="E368" s="8"/>
    </row>
    <row r="369" spans="1:5" ht="14.25" customHeight="1" x14ac:dyDescent="0.25">
      <c r="A369" s="8"/>
      <c r="B369" s="8"/>
      <c r="C369" s="8"/>
      <c r="D369" s="8"/>
      <c r="E369" s="8"/>
    </row>
    <row r="370" spans="1:5" ht="14.25" customHeight="1" x14ac:dyDescent="0.25">
      <c r="A370" s="8"/>
      <c r="B370" s="8"/>
      <c r="C370" s="8"/>
      <c r="D370" s="8"/>
      <c r="E370" s="8"/>
    </row>
    <row r="371" spans="1:5" ht="14.25" customHeight="1" x14ac:dyDescent="0.25">
      <c r="A371" s="8"/>
      <c r="B371" s="8"/>
      <c r="C371" s="8"/>
      <c r="D371" s="8"/>
      <c r="E371" s="8"/>
    </row>
    <row r="372" spans="1:5" ht="14.25" customHeight="1" x14ac:dyDescent="0.25">
      <c r="A372" s="8"/>
      <c r="B372" s="8"/>
      <c r="C372" s="8"/>
      <c r="D372" s="8"/>
      <c r="E372" s="8"/>
    </row>
    <row r="373" spans="1:5" ht="14.25" customHeight="1" x14ac:dyDescent="0.25">
      <c r="A373" s="8"/>
      <c r="B373" s="8"/>
      <c r="C373" s="8"/>
      <c r="D373" s="8"/>
      <c r="E373" s="8"/>
    </row>
    <row r="374" spans="1:5" ht="14.25" customHeight="1" x14ac:dyDescent="0.25">
      <c r="A374" s="8"/>
      <c r="B374" s="8"/>
      <c r="C374" s="8"/>
      <c r="D374" s="8"/>
      <c r="E374" s="8"/>
    </row>
    <row r="375" spans="1:5" ht="14.25" customHeight="1" x14ac:dyDescent="0.25">
      <c r="A375" s="8"/>
      <c r="B375" s="8"/>
      <c r="C375" s="8"/>
      <c r="D375" s="8"/>
      <c r="E375" s="8"/>
    </row>
    <row r="376" spans="1:5" ht="14.25" customHeight="1" x14ac:dyDescent="0.25">
      <c r="A376" s="8"/>
      <c r="B376" s="8"/>
      <c r="C376" s="8"/>
      <c r="D376" s="8"/>
      <c r="E376" s="8"/>
    </row>
    <row r="377" spans="1:5" ht="14.25" customHeight="1" x14ac:dyDescent="0.25">
      <c r="A377" s="8"/>
      <c r="B377" s="8"/>
      <c r="C377" s="8"/>
      <c r="D377" s="8"/>
      <c r="E377" s="8"/>
    </row>
    <row r="378" spans="1:5" ht="14.25" customHeight="1" x14ac:dyDescent="0.25">
      <c r="A378" s="8"/>
      <c r="B378" s="8"/>
      <c r="C378" s="8"/>
      <c r="D378" s="8"/>
      <c r="E378" s="8"/>
    </row>
    <row r="379" spans="1:5" ht="14.25" customHeight="1" x14ac:dyDescent="0.25">
      <c r="A379" s="8"/>
      <c r="B379" s="8"/>
      <c r="C379" s="8"/>
      <c r="D379" s="8"/>
      <c r="E379" s="8"/>
    </row>
    <row r="380" spans="1:5" ht="14.25" customHeight="1" x14ac:dyDescent="0.25">
      <c r="A380" s="8"/>
      <c r="B380" s="8"/>
      <c r="C380" s="8"/>
      <c r="D380" s="8"/>
      <c r="E380" s="8"/>
    </row>
    <row r="381" spans="1:5" ht="14.25" customHeight="1" x14ac:dyDescent="0.25">
      <c r="A381" s="8"/>
      <c r="B381" s="8"/>
      <c r="C381" s="8"/>
      <c r="D381" s="8"/>
      <c r="E381" s="8"/>
    </row>
    <row r="382" spans="1:5" ht="14.25" customHeight="1" x14ac:dyDescent="0.25">
      <c r="A382" s="8"/>
      <c r="B382" s="8"/>
      <c r="C382" s="8"/>
      <c r="D382" s="8"/>
      <c r="E382" s="8"/>
    </row>
    <row r="383" spans="1:5" ht="14.25" customHeight="1" x14ac:dyDescent="0.25">
      <c r="A383" s="8"/>
      <c r="B383" s="8"/>
      <c r="C383" s="8"/>
      <c r="D383" s="8"/>
      <c r="E383" s="8"/>
    </row>
    <row r="384" spans="1:5" ht="14.25" customHeight="1" x14ac:dyDescent="0.25">
      <c r="A384" s="8"/>
      <c r="B384" s="8"/>
      <c r="C384" s="8"/>
      <c r="D384" s="8"/>
      <c r="E384" s="8"/>
    </row>
    <row r="385" spans="1:5" ht="14.25" customHeight="1" x14ac:dyDescent="0.25">
      <c r="A385" s="8"/>
      <c r="B385" s="8"/>
      <c r="C385" s="8"/>
      <c r="D385" s="8"/>
      <c r="E385" s="8"/>
    </row>
    <row r="386" spans="1:5" ht="14.25" customHeight="1" x14ac:dyDescent="0.25">
      <c r="A386" s="8"/>
      <c r="B386" s="8"/>
      <c r="C386" s="8"/>
      <c r="D386" s="8"/>
      <c r="E386" s="8"/>
    </row>
    <row r="387" spans="1:5" ht="14.25" customHeight="1" x14ac:dyDescent="0.25">
      <c r="A387" s="8"/>
      <c r="B387" s="8"/>
      <c r="C387" s="8"/>
      <c r="D387" s="8"/>
      <c r="E387" s="8"/>
    </row>
    <row r="388" spans="1:5" ht="14.25" customHeight="1" x14ac:dyDescent="0.25">
      <c r="A388" s="8"/>
      <c r="B388" s="8"/>
      <c r="C388" s="8"/>
      <c r="D388" s="8"/>
      <c r="E388" s="8"/>
    </row>
    <row r="389" spans="1:5" ht="14.25" customHeight="1" x14ac:dyDescent="0.25">
      <c r="A389" s="8"/>
      <c r="B389" s="8"/>
      <c r="C389" s="8"/>
      <c r="D389" s="8"/>
      <c r="E389" s="8"/>
    </row>
    <row r="390" spans="1:5" ht="14.25" customHeight="1" x14ac:dyDescent="0.25">
      <c r="A390" s="8"/>
      <c r="B390" s="8"/>
      <c r="C390" s="8"/>
      <c r="D390" s="8"/>
      <c r="E390" s="8"/>
    </row>
    <row r="391" spans="1:5" ht="14.25" customHeight="1" x14ac:dyDescent="0.25">
      <c r="A391" s="8"/>
      <c r="B391" s="8"/>
      <c r="C391" s="8"/>
      <c r="D391" s="8"/>
      <c r="E391" s="8"/>
    </row>
    <row r="392" spans="1:5" ht="14.25" customHeight="1" x14ac:dyDescent="0.25">
      <c r="A392" s="8"/>
      <c r="B392" s="8"/>
      <c r="C392" s="8"/>
      <c r="D392" s="8"/>
      <c r="E392" s="8"/>
    </row>
    <row r="393" spans="1:5" ht="14.25" customHeight="1" x14ac:dyDescent="0.25">
      <c r="A393" s="8"/>
      <c r="B393" s="8"/>
      <c r="C393" s="8"/>
      <c r="D393" s="8"/>
      <c r="E393" s="8"/>
    </row>
    <row r="394" spans="1:5" ht="14.25" customHeight="1" x14ac:dyDescent="0.25">
      <c r="A394" s="8"/>
      <c r="B394" s="8"/>
      <c r="C394" s="8"/>
      <c r="D394" s="8"/>
      <c r="E394" s="8"/>
    </row>
    <row r="395" spans="1:5" ht="14.25" customHeight="1" x14ac:dyDescent="0.25">
      <c r="A395" s="8"/>
      <c r="B395" s="8"/>
      <c r="C395" s="8"/>
      <c r="D395" s="8"/>
      <c r="E395" s="8"/>
    </row>
    <row r="396" spans="1:5" ht="14.25" customHeight="1" x14ac:dyDescent="0.25">
      <c r="A396" s="8"/>
      <c r="B396" s="8"/>
      <c r="C396" s="8"/>
      <c r="D396" s="8"/>
      <c r="E396" s="8"/>
    </row>
    <row r="397" spans="1:5" ht="14.25" customHeight="1" x14ac:dyDescent="0.25">
      <c r="A397" s="8"/>
      <c r="B397" s="8"/>
      <c r="C397" s="8"/>
      <c r="D397" s="8"/>
      <c r="E397" s="8"/>
    </row>
    <row r="398" spans="1:5" ht="14.25" customHeight="1" x14ac:dyDescent="0.25">
      <c r="A398" s="8"/>
      <c r="B398" s="8"/>
      <c r="C398" s="8"/>
      <c r="D398" s="8"/>
      <c r="E398" s="8"/>
    </row>
    <row r="399" spans="1:5" ht="14.25" customHeight="1" x14ac:dyDescent="0.25">
      <c r="A399" s="8"/>
      <c r="B399" s="8"/>
      <c r="C399" s="8"/>
      <c r="D399" s="8"/>
      <c r="E399" s="8"/>
    </row>
    <row r="400" spans="1:5" ht="14.25" customHeight="1" x14ac:dyDescent="0.25">
      <c r="A400" s="8"/>
      <c r="B400" s="8"/>
      <c r="C400" s="8"/>
      <c r="D400" s="8"/>
      <c r="E400" s="8"/>
    </row>
    <row r="401" spans="1:5" ht="14.25" customHeight="1" x14ac:dyDescent="0.25">
      <c r="A401" s="8"/>
      <c r="B401" s="8"/>
      <c r="C401" s="8"/>
      <c r="D401" s="8"/>
      <c r="E401" s="8"/>
    </row>
    <row r="402" spans="1:5" ht="14.25" customHeight="1" x14ac:dyDescent="0.25">
      <c r="A402" s="8"/>
      <c r="B402" s="8"/>
      <c r="C402" s="8"/>
      <c r="D402" s="8"/>
      <c r="E402" s="8"/>
    </row>
    <row r="403" spans="1:5" ht="14.25" customHeight="1" x14ac:dyDescent="0.25">
      <c r="A403" s="8"/>
      <c r="B403" s="8"/>
      <c r="C403" s="8"/>
      <c r="D403" s="8"/>
      <c r="E403" s="8"/>
    </row>
    <row r="404" spans="1:5" ht="14.25" customHeight="1" x14ac:dyDescent="0.25">
      <c r="A404" s="8"/>
      <c r="B404" s="8"/>
      <c r="C404" s="8"/>
      <c r="D404" s="8"/>
      <c r="E404" s="8"/>
    </row>
    <row r="405" spans="1:5" ht="14.25" customHeight="1" x14ac:dyDescent="0.25">
      <c r="A405" s="8"/>
      <c r="B405" s="8"/>
      <c r="C405" s="8"/>
      <c r="D405" s="8"/>
      <c r="E405" s="8"/>
    </row>
    <row r="406" spans="1:5" ht="14.25" customHeight="1" x14ac:dyDescent="0.25">
      <c r="A406" s="8"/>
      <c r="B406" s="8"/>
      <c r="C406" s="8"/>
      <c r="D406" s="8"/>
      <c r="E406" s="8"/>
    </row>
    <row r="407" spans="1:5" ht="14.25" customHeight="1" x14ac:dyDescent="0.25">
      <c r="A407" s="8"/>
      <c r="B407" s="8"/>
      <c r="C407" s="8"/>
      <c r="D407" s="8"/>
      <c r="E407" s="8"/>
    </row>
    <row r="408" spans="1:5" ht="14.25" customHeight="1" x14ac:dyDescent="0.25">
      <c r="A408" s="8"/>
      <c r="B408" s="8"/>
      <c r="C408" s="8"/>
      <c r="D408" s="8"/>
      <c r="E408" s="8"/>
    </row>
    <row r="409" spans="1:5" ht="14.25" customHeight="1" x14ac:dyDescent="0.25">
      <c r="A409" s="8"/>
      <c r="B409" s="8"/>
      <c r="C409" s="8"/>
      <c r="D409" s="8"/>
      <c r="E409" s="8"/>
    </row>
    <row r="410" spans="1:5" ht="14.25" customHeight="1" x14ac:dyDescent="0.25">
      <c r="A410" s="8"/>
      <c r="B410" s="8"/>
      <c r="C410" s="8"/>
      <c r="D410" s="8"/>
      <c r="E410" s="8"/>
    </row>
    <row r="411" spans="1:5" ht="14.25" customHeight="1" x14ac:dyDescent="0.25">
      <c r="A411" s="8"/>
      <c r="B411" s="8"/>
      <c r="C411" s="8"/>
      <c r="D411" s="8"/>
      <c r="E411" s="8"/>
    </row>
    <row r="412" spans="1:5" ht="14.25" customHeight="1" x14ac:dyDescent="0.25">
      <c r="A412" s="8"/>
      <c r="B412" s="8"/>
      <c r="C412" s="8"/>
      <c r="D412" s="8"/>
      <c r="E412" s="8"/>
    </row>
    <row r="413" spans="1:5" ht="14.25" customHeight="1" x14ac:dyDescent="0.25">
      <c r="A413" s="8"/>
      <c r="B413" s="8"/>
      <c r="C413" s="8"/>
      <c r="D413" s="8"/>
      <c r="E413" s="8"/>
    </row>
    <row r="414" spans="1:5" ht="14.25" customHeight="1" x14ac:dyDescent="0.25">
      <c r="A414" s="8"/>
      <c r="B414" s="8"/>
      <c r="C414" s="8"/>
      <c r="D414" s="8"/>
      <c r="E414" s="8"/>
    </row>
    <row r="415" spans="1:5" ht="14.25" customHeight="1" x14ac:dyDescent="0.25">
      <c r="A415" s="8"/>
      <c r="B415" s="8"/>
      <c r="C415" s="8"/>
      <c r="D415" s="8"/>
      <c r="E415" s="8"/>
    </row>
    <row r="416" spans="1:5" ht="14.25" customHeight="1" x14ac:dyDescent="0.25">
      <c r="A416" s="8"/>
      <c r="B416" s="8"/>
      <c r="C416" s="8"/>
      <c r="D416" s="8"/>
      <c r="E416" s="8"/>
    </row>
    <row r="417" spans="1:5" ht="14.25" customHeight="1" x14ac:dyDescent="0.25">
      <c r="A417" s="8"/>
      <c r="B417" s="8"/>
      <c r="C417" s="8"/>
      <c r="D417" s="8"/>
      <c r="E417" s="8"/>
    </row>
    <row r="418" spans="1:5" ht="14.25" customHeight="1" x14ac:dyDescent="0.25">
      <c r="A418" s="8"/>
      <c r="B418" s="8"/>
      <c r="C418" s="8"/>
      <c r="D418" s="8"/>
      <c r="E418" s="8"/>
    </row>
    <row r="419" spans="1:5" ht="14.25" customHeight="1" x14ac:dyDescent="0.25">
      <c r="A419" s="8"/>
      <c r="B419" s="8"/>
      <c r="C419" s="8"/>
      <c r="D419" s="8"/>
      <c r="E419" s="8"/>
    </row>
    <row r="420" spans="1:5" ht="14.25" customHeight="1" x14ac:dyDescent="0.25">
      <c r="A420" s="8"/>
      <c r="B420" s="8"/>
      <c r="C420" s="8"/>
      <c r="D420" s="8"/>
      <c r="E420" s="8"/>
    </row>
    <row r="421" spans="1:5" ht="14.25" customHeight="1" x14ac:dyDescent="0.25">
      <c r="A421" s="8"/>
      <c r="B421" s="8"/>
      <c r="C421" s="8"/>
      <c r="D421" s="8"/>
      <c r="E421" s="8"/>
    </row>
    <row r="422" spans="1:5" ht="14.25" customHeight="1" x14ac:dyDescent="0.25">
      <c r="A422" s="8"/>
      <c r="B422" s="8"/>
      <c r="C422" s="8"/>
      <c r="D422" s="8"/>
      <c r="E422" s="8"/>
    </row>
    <row r="423" spans="1:5" ht="14.25" customHeight="1" x14ac:dyDescent="0.25">
      <c r="A423" s="8"/>
      <c r="B423" s="8"/>
      <c r="C423" s="8"/>
      <c r="D423" s="8"/>
      <c r="E423" s="8"/>
    </row>
    <row r="424" spans="1:5" ht="14.25" customHeight="1" x14ac:dyDescent="0.25">
      <c r="A424" s="8"/>
      <c r="B424" s="8"/>
      <c r="C424" s="8"/>
      <c r="D424" s="8"/>
      <c r="E424" s="8"/>
    </row>
    <row r="425" spans="1:5" ht="14.25" customHeight="1" x14ac:dyDescent="0.25">
      <c r="A425" s="8"/>
      <c r="B425" s="8"/>
      <c r="C425" s="8"/>
      <c r="D425" s="8"/>
      <c r="E425" s="8"/>
    </row>
    <row r="426" spans="1:5" ht="14.25" customHeight="1" x14ac:dyDescent="0.25">
      <c r="A426" s="8"/>
      <c r="B426" s="8"/>
      <c r="C426" s="8"/>
      <c r="D426" s="8"/>
      <c r="E426" s="8"/>
    </row>
    <row r="427" spans="1:5" ht="14.25" customHeight="1" x14ac:dyDescent="0.25">
      <c r="A427" s="8"/>
      <c r="B427" s="8"/>
      <c r="C427" s="8"/>
      <c r="D427" s="8"/>
      <c r="E427" s="8"/>
    </row>
    <row r="428" spans="1:5" ht="14.25" customHeight="1" x14ac:dyDescent="0.25">
      <c r="A428" s="8"/>
      <c r="B428" s="8"/>
      <c r="C428" s="8"/>
      <c r="D428" s="8"/>
      <c r="E428" s="8"/>
    </row>
    <row r="429" spans="1:5" ht="14.25" customHeight="1" x14ac:dyDescent="0.25">
      <c r="A429" s="8"/>
      <c r="B429" s="8"/>
      <c r="C429" s="8"/>
      <c r="D429" s="8"/>
      <c r="E429" s="8"/>
    </row>
    <row r="430" spans="1:5" ht="14.25" customHeight="1" x14ac:dyDescent="0.25">
      <c r="A430" s="8"/>
      <c r="B430" s="8"/>
      <c r="C430" s="8"/>
      <c r="D430" s="8"/>
      <c r="E430" s="8"/>
    </row>
    <row r="431" spans="1:5" ht="14.25" customHeight="1" x14ac:dyDescent="0.25">
      <c r="A431" s="8"/>
      <c r="B431" s="8"/>
      <c r="C431" s="8"/>
      <c r="D431" s="8"/>
      <c r="E431" s="8"/>
    </row>
    <row r="432" spans="1:5" ht="14.25" customHeight="1" x14ac:dyDescent="0.25">
      <c r="A432" s="8"/>
      <c r="B432" s="8"/>
      <c r="C432" s="8"/>
      <c r="D432" s="8"/>
      <c r="E432" s="8"/>
    </row>
    <row r="433" spans="1:5" ht="14.25" customHeight="1" x14ac:dyDescent="0.25">
      <c r="A433" s="8"/>
      <c r="B433" s="8"/>
      <c r="C433" s="8"/>
      <c r="D433" s="8"/>
      <c r="E433" s="8"/>
    </row>
    <row r="434" spans="1:5" ht="14.25" customHeight="1" x14ac:dyDescent="0.25">
      <c r="A434" s="8"/>
      <c r="B434" s="8"/>
      <c r="C434" s="8"/>
      <c r="D434" s="8"/>
      <c r="E434" s="8"/>
    </row>
    <row r="435" spans="1:5" ht="14.25" customHeight="1" x14ac:dyDescent="0.25">
      <c r="A435" s="8"/>
      <c r="B435" s="8"/>
      <c r="C435" s="8"/>
      <c r="D435" s="8"/>
      <c r="E435" s="8"/>
    </row>
    <row r="436" spans="1:5" ht="14.25" customHeight="1" x14ac:dyDescent="0.25">
      <c r="A436" s="8"/>
      <c r="B436" s="8"/>
      <c r="C436" s="8"/>
      <c r="D436" s="8"/>
      <c r="E436" s="8"/>
    </row>
    <row r="437" spans="1:5" ht="14.25" customHeight="1" x14ac:dyDescent="0.25">
      <c r="A437" s="8"/>
      <c r="B437" s="8"/>
      <c r="C437" s="8"/>
      <c r="D437" s="8"/>
      <c r="E437" s="8"/>
    </row>
    <row r="438" spans="1:5" ht="14.25" customHeight="1" x14ac:dyDescent="0.25">
      <c r="A438" s="8"/>
      <c r="B438" s="8"/>
      <c r="C438" s="8"/>
      <c r="D438" s="8"/>
      <c r="E438" s="8"/>
    </row>
    <row r="439" spans="1:5" ht="14.25" customHeight="1" x14ac:dyDescent="0.25">
      <c r="A439" s="8"/>
      <c r="B439" s="8"/>
      <c r="C439" s="8"/>
      <c r="D439" s="8"/>
      <c r="E439" s="8"/>
    </row>
    <row r="440" spans="1:5" ht="14.25" customHeight="1" x14ac:dyDescent="0.25">
      <c r="A440" s="8"/>
      <c r="B440" s="8"/>
      <c r="C440" s="8"/>
      <c r="D440" s="8"/>
      <c r="E440" s="8"/>
    </row>
    <row r="441" spans="1:5" ht="14.25" customHeight="1" x14ac:dyDescent="0.25">
      <c r="A441" s="8"/>
      <c r="B441" s="8"/>
      <c r="C441" s="8"/>
      <c r="D441" s="8"/>
      <c r="E441" s="8"/>
    </row>
    <row r="442" spans="1:5" ht="14.25" customHeight="1" x14ac:dyDescent="0.25">
      <c r="A442" s="8"/>
      <c r="B442" s="8"/>
      <c r="C442" s="8"/>
      <c r="D442" s="8"/>
      <c r="E442" s="8"/>
    </row>
    <row r="443" spans="1:5" ht="14.25" customHeight="1" x14ac:dyDescent="0.25">
      <c r="A443" s="8"/>
      <c r="B443" s="8"/>
      <c r="C443" s="8"/>
      <c r="D443" s="8"/>
      <c r="E443" s="8"/>
    </row>
    <row r="444" spans="1:5" ht="14.25" customHeight="1" x14ac:dyDescent="0.25">
      <c r="A444" s="8"/>
      <c r="B444" s="8"/>
      <c r="C444" s="8"/>
      <c r="D444" s="8"/>
      <c r="E444" s="8"/>
    </row>
    <row r="445" spans="1:5" ht="14.25" customHeight="1" x14ac:dyDescent="0.25">
      <c r="A445" s="8"/>
      <c r="B445" s="8"/>
      <c r="C445" s="8"/>
      <c r="D445" s="8"/>
      <c r="E445" s="8"/>
    </row>
    <row r="446" spans="1:5" ht="14.25" customHeight="1" x14ac:dyDescent="0.25">
      <c r="A446" s="8"/>
      <c r="B446" s="8"/>
      <c r="C446" s="8"/>
      <c r="D446" s="8"/>
      <c r="E446" s="8"/>
    </row>
    <row r="447" spans="1:5" ht="14.25" customHeight="1" x14ac:dyDescent="0.25">
      <c r="A447" s="8"/>
      <c r="B447" s="8"/>
      <c r="C447" s="8"/>
      <c r="D447" s="8"/>
      <c r="E447" s="8"/>
    </row>
    <row r="448" spans="1:5" ht="14.25" customHeight="1" x14ac:dyDescent="0.25">
      <c r="A448" s="8"/>
      <c r="B448" s="8"/>
      <c r="C448" s="8"/>
      <c r="D448" s="8"/>
      <c r="E448" s="8"/>
    </row>
    <row r="449" spans="1:5" ht="14.25" customHeight="1" x14ac:dyDescent="0.25">
      <c r="A449" s="8"/>
      <c r="B449" s="8"/>
      <c r="C449" s="8"/>
      <c r="D449" s="8"/>
      <c r="E449" s="8"/>
    </row>
    <row r="450" spans="1:5" ht="14.25" customHeight="1" x14ac:dyDescent="0.25">
      <c r="A450" s="8"/>
      <c r="B450" s="8"/>
      <c r="C450" s="8"/>
      <c r="D450" s="8"/>
      <c r="E450" s="8"/>
    </row>
    <row r="451" spans="1:5" ht="14.25" customHeight="1" x14ac:dyDescent="0.25">
      <c r="A451" s="8"/>
      <c r="B451" s="8"/>
      <c r="C451" s="8"/>
      <c r="D451" s="8"/>
      <c r="E451" s="8"/>
    </row>
    <row r="452" spans="1:5" ht="14.25" customHeight="1" x14ac:dyDescent="0.25">
      <c r="A452" s="8"/>
      <c r="B452" s="8"/>
      <c r="C452" s="8"/>
      <c r="D452" s="8"/>
      <c r="E452" s="8"/>
    </row>
    <row r="453" spans="1:5" ht="14.25" customHeight="1" x14ac:dyDescent="0.25">
      <c r="A453" s="8"/>
      <c r="B453" s="8"/>
      <c r="C453" s="8"/>
      <c r="D453" s="8"/>
      <c r="E453" s="8"/>
    </row>
    <row r="454" spans="1:5" ht="14.25" customHeight="1" x14ac:dyDescent="0.25">
      <c r="A454" s="8"/>
      <c r="B454" s="8"/>
      <c r="C454" s="8"/>
      <c r="D454" s="8"/>
      <c r="E454" s="8"/>
    </row>
    <row r="455" spans="1:5" ht="14.25" customHeight="1" x14ac:dyDescent="0.25">
      <c r="A455" s="8"/>
      <c r="B455" s="8"/>
      <c r="C455" s="8"/>
      <c r="D455" s="8"/>
      <c r="E455" s="8"/>
    </row>
    <row r="456" spans="1:5" ht="14.25" customHeight="1" x14ac:dyDescent="0.25">
      <c r="A456" s="8"/>
      <c r="B456" s="8"/>
      <c r="C456" s="8"/>
      <c r="D456" s="8"/>
      <c r="E456" s="8"/>
    </row>
    <row r="457" spans="1:5" ht="14.25" customHeight="1" x14ac:dyDescent="0.25">
      <c r="A457" s="8"/>
      <c r="B457" s="8"/>
      <c r="C457" s="8"/>
      <c r="D457" s="8"/>
      <c r="E457" s="8"/>
    </row>
    <row r="458" spans="1:5" ht="14.25" customHeight="1" x14ac:dyDescent="0.25">
      <c r="A458" s="8"/>
      <c r="B458" s="8"/>
      <c r="C458" s="8"/>
      <c r="D458" s="8"/>
      <c r="E458" s="8"/>
    </row>
    <row r="459" spans="1:5" ht="14.25" customHeight="1" x14ac:dyDescent="0.25">
      <c r="A459" s="8"/>
      <c r="B459" s="8"/>
      <c r="C459" s="8"/>
      <c r="D459" s="8"/>
      <c r="E459" s="8"/>
    </row>
    <row r="460" spans="1:5" ht="14.25" customHeight="1" x14ac:dyDescent="0.25">
      <c r="A460" s="8"/>
      <c r="B460" s="8"/>
      <c r="C460" s="8"/>
      <c r="D460" s="8"/>
      <c r="E460" s="8"/>
    </row>
    <row r="461" spans="1:5" ht="14.25" customHeight="1" x14ac:dyDescent="0.25">
      <c r="A461" s="8"/>
      <c r="B461" s="8"/>
      <c r="C461" s="8"/>
      <c r="D461" s="8"/>
      <c r="E461" s="8"/>
    </row>
    <row r="462" spans="1:5" ht="14.25" customHeight="1" x14ac:dyDescent="0.25">
      <c r="A462" s="8"/>
      <c r="B462" s="8"/>
      <c r="C462" s="8"/>
      <c r="D462" s="8"/>
      <c r="E462" s="8"/>
    </row>
    <row r="463" spans="1:5" ht="14.25" customHeight="1" x14ac:dyDescent="0.25">
      <c r="A463" s="8"/>
      <c r="B463" s="8"/>
      <c r="C463" s="8"/>
      <c r="D463" s="8"/>
      <c r="E463" s="8"/>
    </row>
    <row r="464" spans="1:5" ht="14.25" customHeight="1" x14ac:dyDescent="0.25">
      <c r="A464" s="8"/>
      <c r="B464" s="8"/>
      <c r="C464" s="8"/>
      <c r="D464" s="8"/>
      <c r="E464" s="8"/>
    </row>
    <row r="465" spans="1:5" ht="14.25" customHeight="1" x14ac:dyDescent="0.25">
      <c r="A465" s="8"/>
      <c r="B465" s="8"/>
      <c r="C465" s="8"/>
      <c r="D465" s="8"/>
      <c r="E465" s="8"/>
    </row>
    <row r="466" spans="1:5" ht="14.25" customHeight="1" x14ac:dyDescent="0.25">
      <c r="A466" s="8"/>
      <c r="B466" s="8"/>
      <c r="C466" s="8"/>
      <c r="D466" s="8"/>
      <c r="E466" s="8"/>
    </row>
    <row r="467" spans="1:5" ht="14.25" customHeight="1" x14ac:dyDescent="0.25">
      <c r="A467" s="8"/>
      <c r="B467" s="8"/>
      <c r="C467" s="8"/>
      <c r="D467" s="8"/>
      <c r="E467" s="8"/>
    </row>
    <row r="468" spans="1:5" ht="14.25" customHeight="1" x14ac:dyDescent="0.25">
      <c r="A468" s="8"/>
      <c r="B468" s="8"/>
      <c r="C468" s="8"/>
      <c r="D468" s="8"/>
      <c r="E468" s="8"/>
    </row>
    <row r="469" spans="1:5" ht="14.25" customHeight="1" x14ac:dyDescent="0.25">
      <c r="A469" s="8"/>
      <c r="B469" s="8"/>
      <c r="C469" s="8"/>
      <c r="D469" s="8"/>
      <c r="E469" s="8"/>
    </row>
    <row r="470" spans="1:5" ht="14.25" customHeight="1" x14ac:dyDescent="0.25">
      <c r="A470" s="8"/>
      <c r="B470" s="8"/>
      <c r="C470" s="8"/>
      <c r="D470" s="8"/>
      <c r="E470" s="8"/>
    </row>
    <row r="471" spans="1:5" ht="14.25" customHeight="1" x14ac:dyDescent="0.25">
      <c r="A471" s="8"/>
      <c r="B471" s="8"/>
      <c r="C471" s="8"/>
      <c r="D471" s="8"/>
      <c r="E471" s="8"/>
    </row>
    <row r="472" spans="1:5" ht="14.25" customHeight="1" x14ac:dyDescent="0.25">
      <c r="A472" s="8"/>
      <c r="B472" s="8"/>
      <c r="C472" s="8"/>
      <c r="D472" s="8"/>
      <c r="E472" s="8"/>
    </row>
    <row r="473" spans="1:5" ht="14.25" customHeight="1" x14ac:dyDescent="0.25">
      <c r="A473" s="8"/>
      <c r="B473" s="8"/>
      <c r="C473" s="8"/>
      <c r="D473" s="8"/>
      <c r="E473" s="8"/>
    </row>
    <row r="474" spans="1:5" ht="14.25" customHeight="1" x14ac:dyDescent="0.25">
      <c r="A474" s="8"/>
      <c r="B474" s="8"/>
      <c r="C474" s="8"/>
      <c r="D474" s="8"/>
      <c r="E474" s="8"/>
    </row>
    <row r="475" spans="1:5" ht="14.25" customHeight="1" x14ac:dyDescent="0.25">
      <c r="A475" s="8"/>
      <c r="B475" s="8"/>
      <c r="C475" s="8"/>
      <c r="D475" s="8"/>
      <c r="E475" s="8"/>
    </row>
    <row r="476" spans="1:5" ht="14.25" customHeight="1" x14ac:dyDescent="0.25">
      <c r="A476" s="8"/>
      <c r="B476" s="8"/>
      <c r="C476" s="8"/>
      <c r="D476" s="8"/>
      <c r="E476" s="8"/>
    </row>
    <row r="477" spans="1:5" ht="14.25" customHeight="1" x14ac:dyDescent="0.25">
      <c r="A477" s="8"/>
      <c r="B477" s="8"/>
      <c r="C477" s="8"/>
      <c r="D477" s="8"/>
      <c r="E477" s="8"/>
    </row>
    <row r="478" spans="1:5" ht="14.25" customHeight="1" x14ac:dyDescent="0.25">
      <c r="A478" s="8"/>
      <c r="B478" s="8"/>
      <c r="C478" s="8"/>
      <c r="D478" s="8"/>
      <c r="E478" s="8"/>
    </row>
    <row r="479" spans="1:5" ht="14.25" customHeight="1" x14ac:dyDescent="0.25">
      <c r="A479" s="8"/>
      <c r="B479" s="8"/>
      <c r="C479" s="8"/>
      <c r="D479" s="8"/>
      <c r="E479" s="8"/>
    </row>
    <row r="480" spans="1:5" ht="14.25" customHeight="1" x14ac:dyDescent="0.25">
      <c r="A480" s="8"/>
      <c r="B480" s="8"/>
      <c r="C480" s="8"/>
      <c r="D480" s="8"/>
      <c r="E480" s="8"/>
    </row>
    <row r="481" spans="1:5" ht="14.25" customHeight="1" x14ac:dyDescent="0.25">
      <c r="A481" s="8"/>
      <c r="B481" s="8"/>
      <c r="C481" s="8"/>
      <c r="D481" s="8"/>
      <c r="E481" s="8"/>
    </row>
    <row r="482" spans="1:5" ht="14.25" customHeight="1" x14ac:dyDescent="0.25">
      <c r="A482" s="8"/>
      <c r="B482" s="8"/>
      <c r="C482" s="8"/>
      <c r="D482" s="8"/>
      <c r="E482" s="8"/>
    </row>
    <row r="483" spans="1:5" ht="14.25" customHeight="1" x14ac:dyDescent="0.25">
      <c r="A483" s="8"/>
      <c r="B483" s="8"/>
      <c r="C483" s="8"/>
      <c r="D483" s="8"/>
      <c r="E483" s="8"/>
    </row>
    <row r="484" spans="1:5" ht="14.25" customHeight="1" x14ac:dyDescent="0.25">
      <c r="A484" s="8"/>
      <c r="B484" s="8"/>
      <c r="C484" s="8"/>
      <c r="D484" s="8"/>
      <c r="E484" s="8"/>
    </row>
    <row r="485" spans="1:5" ht="14.25" customHeight="1" x14ac:dyDescent="0.25">
      <c r="A485" s="8"/>
      <c r="B485" s="8"/>
      <c r="C485" s="8"/>
      <c r="D485" s="8"/>
      <c r="E485" s="8"/>
    </row>
    <row r="486" spans="1:5" ht="14.25" customHeight="1" x14ac:dyDescent="0.25">
      <c r="A486" s="8"/>
      <c r="B486" s="8"/>
      <c r="C486" s="8"/>
      <c r="D486" s="8"/>
      <c r="E486" s="8"/>
    </row>
    <row r="487" spans="1:5" ht="14.25" customHeight="1" x14ac:dyDescent="0.25">
      <c r="A487" s="8"/>
      <c r="B487" s="8"/>
      <c r="C487" s="8"/>
      <c r="D487" s="8"/>
      <c r="E487" s="8"/>
    </row>
    <row r="488" spans="1:5" ht="14.25" customHeight="1" x14ac:dyDescent="0.25">
      <c r="A488" s="8"/>
      <c r="B488" s="8"/>
      <c r="C488" s="8"/>
      <c r="D488" s="8"/>
      <c r="E488" s="8"/>
    </row>
    <row r="489" spans="1:5" ht="14.25" customHeight="1" x14ac:dyDescent="0.25">
      <c r="A489" s="8"/>
      <c r="B489" s="8"/>
      <c r="C489" s="8"/>
      <c r="D489" s="8"/>
      <c r="E489" s="8"/>
    </row>
    <row r="490" spans="1:5" ht="14.25" customHeight="1" x14ac:dyDescent="0.25">
      <c r="A490" s="8"/>
      <c r="B490" s="8"/>
      <c r="C490" s="8"/>
      <c r="D490" s="8"/>
      <c r="E490" s="8"/>
    </row>
    <row r="491" spans="1:5" ht="14.25" customHeight="1" x14ac:dyDescent="0.25">
      <c r="A491" s="8"/>
      <c r="B491" s="8"/>
      <c r="C491" s="8"/>
      <c r="D491" s="8"/>
      <c r="E491" s="8"/>
    </row>
    <row r="492" spans="1:5" ht="14.25" customHeight="1" x14ac:dyDescent="0.25">
      <c r="A492" s="8"/>
      <c r="B492" s="8"/>
      <c r="C492" s="8"/>
      <c r="D492" s="8"/>
      <c r="E492" s="8"/>
    </row>
    <row r="493" spans="1:5" ht="14.25" customHeight="1" x14ac:dyDescent="0.25">
      <c r="A493" s="8"/>
      <c r="B493" s="8"/>
      <c r="C493" s="8"/>
      <c r="D493" s="8"/>
      <c r="E493" s="8"/>
    </row>
    <row r="494" spans="1:5" ht="14.25" customHeight="1" x14ac:dyDescent="0.25">
      <c r="A494" s="8"/>
      <c r="B494" s="8"/>
      <c r="C494" s="8"/>
      <c r="D494" s="8"/>
      <c r="E494" s="8"/>
    </row>
    <row r="495" spans="1:5" ht="14.25" customHeight="1" x14ac:dyDescent="0.25">
      <c r="A495" s="8"/>
      <c r="B495" s="8"/>
      <c r="C495" s="8"/>
      <c r="D495" s="8"/>
      <c r="E495" s="8"/>
    </row>
    <row r="496" spans="1:5" ht="14.25" customHeight="1" x14ac:dyDescent="0.25">
      <c r="A496" s="8"/>
      <c r="B496" s="8"/>
      <c r="C496" s="8"/>
      <c r="D496" s="8"/>
      <c r="E496" s="8"/>
    </row>
    <row r="497" spans="1:5" ht="14.25" customHeight="1" x14ac:dyDescent="0.25">
      <c r="A497" s="8"/>
      <c r="B497" s="8"/>
      <c r="C497" s="8"/>
      <c r="D497" s="8"/>
      <c r="E497" s="8"/>
    </row>
    <row r="498" spans="1:5" ht="14.25" customHeight="1" x14ac:dyDescent="0.25">
      <c r="A498" s="8"/>
      <c r="B498" s="8"/>
      <c r="C498" s="8"/>
      <c r="D498" s="8"/>
      <c r="E498" s="8"/>
    </row>
    <row r="499" spans="1:5" ht="14.25" customHeight="1" x14ac:dyDescent="0.25">
      <c r="A499" s="8"/>
      <c r="B499" s="8"/>
      <c r="C499" s="8"/>
      <c r="D499" s="8"/>
      <c r="E499" s="8"/>
    </row>
    <row r="500" spans="1:5" ht="14.25" customHeight="1" x14ac:dyDescent="0.25">
      <c r="A500" s="8"/>
      <c r="B500" s="8"/>
      <c r="C500" s="8"/>
      <c r="D500" s="8"/>
      <c r="E500" s="8"/>
    </row>
    <row r="501" spans="1:5" ht="14.25" customHeight="1" x14ac:dyDescent="0.25">
      <c r="A501" s="8"/>
      <c r="B501" s="8"/>
      <c r="C501" s="8"/>
      <c r="D501" s="8"/>
      <c r="E501" s="8"/>
    </row>
    <row r="502" spans="1:5" ht="14.25" customHeight="1" x14ac:dyDescent="0.25">
      <c r="A502" s="8"/>
      <c r="B502" s="8"/>
      <c r="C502" s="8"/>
      <c r="D502" s="8"/>
      <c r="E502" s="8"/>
    </row>
    <row r="503" spans="1:5" ht="14.25" customHeight="1" x14ac:dyDescent="0.25">
      <c r="A503" s="8"/>
      <c r="B503" s="8"/>
      <c r="C503" s="8"/>
      <c r="D503" s="8"/>
      <c r="E503" s="8"/>
    </row>
    <row r="504" spans="1:5" ht="14.25" customHeight="1" x14ac:dyDescent="0.25">
      <c r="A504" s="8"/>
      <c r="B504" s="8"/>
      <c r="C504" s="8"/>
      <c r="D504" s="8"/>
      <c r="E504" s="8"/>
    </row>
    <row r="505" spans="1:5" ht="14.25" customHeight="1" x14ac:dyDescent="0.25">
      <c r="A505" s="8"/>
      <c r="B505" s="8"/>
      <c r="C505" s="8"/>
      <c r="D505" s="8"/>
      <c r="E505" s="8"/>
    </row>
    <row r="506" spans="1:5" ht="14.25" customHeight="1" x14ac:dyDescent="0.25">
      <c r="A506" s="8"/>
      <c r="B506" s="8"/>
      <c r="C506" s="8"/>
      <c r="D506" s="8"/>
      <c r="E506" s="8"/>
    </row>
    <row r="507" spans="1:5" ht="14.25" customHeight="1" x14ac:dyDescent="0.25">
      <c r="A507" s="8"/>
      <c r="B507" s="8"/>
      <c r="C507" s="8"/>
      <c r="D507" s="8"/>
      <c r="E507" s="8"/>
    </row>
    <row r="508" spans="1:5" ht="14.25" customHeight="1" x14ac:dyDescent="0.25">
      <c r="A508" s="8"/>
      <c r="B508" s="8"/>
      <c r="C508" s="8"/>
      <c r="D508" s="8"/>
      <c r="E508" s="8"/>
    </row>
    <row r="509" spans="1:5" ht="14.25" customHeight="1" x14ac:dyDescent="0.25">
      <c r="A509" s="8"/>
      <c r="B509" s="8"/>
      <c r="C509" s="8"/>
      <c r="D509" s="8"/>
      <c r="E509" s="8"/>
    </row>
    <row r="510" spans="1:5" ht="14.25" customHeight="1" x14ac:dyDescent="0.25">
      <c r="A510" s="8"/>
      <c r="B510" s="8"/>
      <c r="C510" s="8"/>
      <c r="D510" s="8"/>
      <c r="E510" s="8"/>
    </row>
    <row r="511" spans="1:5" ht="14.25" customHeight="1" x14ac:dyDescent="0.25">
      <c r="A511" s="8"/>
      <c r="B511" s="8"/>
      <c r="C511" s="8"/>
      <c r="D511" s="8"/>
      <c r="E511" s="8"/>
    </row>
    <row r="512" spans="1:5" ht="14.25" customHeight="1" x14ac:dyDescent="0.25">
      <c r="A512" s="8"/>
      <c r="B512" s="8"/>
      <c r="C512" s="8"/>
      <c r="D512" s="8"/>
      <c r="E512" s="8"/>
    </row>
    <row r="513" spans="1:5" ht="14.25" customHeight="1" x14ac:dyDescent="0.25">
      <c r="A513" s="8"/>
      <c r="B513" s="8"/>
      <c r="C513" s="8"/>
      <c r="D513" s="8"/>
      <c r="E513" s="8"/>
    </row>
    <row r="514" spans="1:5" ht="14.25" customHeight="1" x14ac:dyDescent="0.25">
      <c r="A514" s="8"/>
      <c r="B514" s="8"/>
      <c r="C514" s="8"/>
      <c r="D514" s="8"/>
      <c r="E514" s="8"/>
    </row>
    <row r="515" spans="1:5" ht="14.25" customHeight="1" x14ac:dyDescent="0.25">
      <c r="A515" s="8"/>
      <c r="B515" s="8"/>
      <c r="C515" s="8"/>
      <c r="D515" s="8"/>
      <c r="E515" s="8"/>
    </row>
    <row r="516" spans="1:5" ht="14.25" customHeight="1" x14ac:dyDescent="0.25">
      <c r="A516" s="8"/>
      <c r="B516" s="8"/>
      <c r="C516" s="8"/>
      <c r="D516" s="8"/>
      <c r="E516" s="8"/>
    </row>
    <row r="517" spans="1:5" ht="14.25" customHeight="1" x14ac:dyDescent="0.25">
      <c r="A517" s="8"/>
      <c r="B517" s="8"/>
      <c r="C517" s="8"/>
      <c r="D517" s="8"/>
      <c r="E517" s="8"/>
    </row>
    <row r="518" spans="1:5" ht="14.25" customHeight="1" x14ac:dyDescent="0.25">
      <c r="A518" s="8"/>
      <c r="B518" s="8"/>
      <c r="C518" s="8"/>
      <c r="D518" s="8"/>
      <c r="E518" s="8"/>
    </row>
    <row r="519" spans="1:5" ht="14.25" customHeight="1" x14ac:dyDescent="0.25">
      <c r="A519" s="8"/>
      <c r="B519" s="8"/>
      <c r="C519" s="8"/>
      <c r="D519" s="8"/>
      <c r="E519" s="8"/>
    </row>
    <row r="520" spans="1:5" ht="14.25" customHeight="1" x14ac:dyDescent="0.25">
      <c r="A520" s="8"/>
      <c r="B520" s="8"/>
      <c r="C520" s="8"/>
      <c r="D520" s="8"/>
      <c r="E520" s="8"/>
    </row>
    <row r="521" spans="1:5" ht="14.25" customHeight="1" x14ac:dyDescent="0.25">
      <c r="A521" s="8"/>
      <c r="B521" s="8"/>
      <c r="C521" s="8"/>
      <c r="D521" s="8"/>
      <c r="E521" s="8"/>
    </row>
    <row r="522" spans="1:5" ht="14.25" customHeight="1" x14ac:dyDescent="0.25">
      <c r="A522" s="8"/>
      <c r="B522" s="8"/>
      <c r="C522" s="8"/>
      <c r="D522" s="8"/>
      <c r="E522" s="8"/>
    </row>
    <row r="523" spans="1:5" ht="14.25" customHeight="1" x14ac:dyDescent="0.25">
      <c r="A523" s="8"/>
      <c r="B523" s="8"/>
      <c r="C523" s="8"/>
      <c r="D523" s="8"/>
      <c r="E523" s="8"/>
    </row>
    <row r="524" spans="1:5" ht="14.25" customHeight="1" x14ac:dyDescent="0.25">
      <c r="A524" s="8"/>
      <c r="B524" s="8"/>
      <c r="C524" s="8"/>
      <c r="D524" s="8"/>
      <c r="E524" s="8"/>
    </row>
    <row r="525" spans="1:5" ht="14.25" customHeight="1" x14ac:dyDescent="0.25">
      <c r="A525" s="8"/>
      <c r="B525" s="8"/>
      <c r="C525" s="8"/>
      <c r="D525" s="8"/>
      <c r="E525" s="8"/>
    </row>
    <row r="526" spans="1:5" ht="14.25" customHeight="1" x14ac:dyDescent="0.25">
      <c r="A526" s="8"/>
      <c r="B526" s="8"/>
      <c r="C526" s="8"/>
      <c r="D526" s="8"/>
      <c r="E526" s="8"/>
    </row>
    <row r="527" spans="1:5" ht="14.25" customHeight="1" x14ac:dyDescent="0.25">
      <c r="A527" s="8"/>
      <c r="B527" s="8"/>
      <c r="C527" s="8"/>
      <c r="D527" s="8"/>
      <c r="E527" s="8"/>
    </row>
    <row r="528" spans="1:5" ht="14.25" customHeight="1" x14ac:dyDescent="0.25">
      <c r="A528" s="8"/>
      <c r="B528" s="8"/>
      <c r="C528" s="8"/>
      <c r="D528" s="8"/>
      <c r="E528" s="8"/>
    </row>
    <row r="529" spans="1:5" ht="14.25" customHeight="1" x14ac:dyDescent="0.25">
      <c r="A529" s="8"/>
      <c r="B529" s="8"/>
      <c r="C529" s="8"/>
      <c r="D529" s="8"/>
      <c r="E529" s="8"/>
    </row>
    <row r="530" spans="1:5" ht="14.25" customHeight="1" x14ac:dyDescent="0.25">
      <c r="A530" s="8"/>
      <c r="B530" s="8"/>
      <c r="C530" s="8"/>
      <c r="D530" s="8"/>
      <c r="E530" s="8"/>
    </row>
    <row r="531" spans="1:5" ht="14.25" customHeight="1" x14ac:dyDescent="0.25">
      <c r="A531" s="8"/>
      <c r="B531" s="8"/>
      <c r="C531" s="8"/>
      <c r="D531" s="8"/>
      <c r="E531" s="8"/>
    </row>
    <row r="532" spans="1:5" ht="14.25" customHeight="1" x14ac:dyDescent="0.25">
      <c r="A532" s="8"/>
      <c r="B532" s="8"/>
      <c r="C532" s="8"/>
      <c r="D532" s="8"/>
      <c r="E532" s="8"/>
    </row>
    <row r="533" spans="1:5" ht="14.25" customHeight="1" x14ac:dyDescent="0.25">
      <c r="A533" s="8"/>
      <c r="B533" s="8"/>
      <c r="C533" s="8"/>
      <c r="D533" s="8"/>
      <c r="E533" s="8"/>
    </row>
    <row r="534" spans="1:5" ht="14.25" customHeight="1" x14ac:dyDescent="0.25">
      <c r="A534" s="8"/>
      <c r="B534" s="8"/>
      <c r="C534" s="8"/>
      <c r="D534" s="8"/>
      <c r="E534" s="8"/>
    </row>
    <row r="535" spans="1:5" ht="14.25" customHeight="1" x14ac:dyDescent="0.25">
      <c r="A535" s="8"/>
      <c r="B535" s="8"/>
      <c r="C535" s="8"/>
      <c r="D535" s="8"/>
      <c r="E535" s="8"/>
    </row>
    <row r="536" spans="1:5" ht="14.25" customHeight="1" x14ac:dyDescent="0.25">
      <c r="A536" s="8"/>
      <c r="B536" s="8"/>
      <c r="C536" s="8"/>
      <c r="D536" s="8"/>
      <c r="E536" s="8"/>
    </row>
    <row r="537" spans="1:5" ht="14.25" customHeight="1" x14ac:dyDescent="0.25">
      <c r="A537" s="8"/>
      <c r="B537" s="8"/>
      <c r="C537" s="8"/>
      <c r="D537" s="8"/>
      <c r="E537" s="8"/>
    </row>
    <row r="538" spans="1:5" ht="14.25" customHeight="1" x14ac:dyDescent="0.25">
      <c r="A538" s="8"/>
      <c r="B538" s="8"/>
      <c r="C538" s="8"/>
      <c r="D538" s="8"/>
      <c r="E538" s="8"/>
    </row>
    <row r="539" spans="1:5" ht="14.25" customHeight="1" x14ac:dyDescent="0.25">
      <c r="A539" s="8"/>
      <c r="B539" s="8"/>
      <c r="C539" s="8"/>
      <c r="D539" s="8"/>
      <c r="E539" s="8"/>
    </row>
    <row r="540" spans="1:5" ht="14.25" customHeight="1" x14ac:dyDescent="0.25">
      <c r="A540" s="8"/>
      <c r="B540" s="8"/>
      <c r="C540" s="8"/>
      <c r="D540" s="8"/>
      <c r="E540" s="8"/>
    </row>
    <row r="541" spans="1:5" ht="14.25" customHeight="1" x14ac:dyDescent="0.25">
      <c r="A541" s="8"/>
      <c r="B541" s="8"/>
      <c r="C541" s="8"/>
      <c r="D541" s="8"/>
      <c r="E541" s="8"/>
    </row>
    <row r="542" spans="1:5" ht="14.25" customHeight="1" x14ac:dyDescent="0.25">
      <c r="A542" s="8"/>
      <c r="B542" s="8"/>
      <c r="C542" s="8"/>
      <c r="D542" s="8"/>
      <c r="E542" s="8"/>
    </row>
    <row r="543" spans="1:5" ht="14.25" customHeight="1" x14ac:dyDescent="0.25">
      <c r="A543" s="8"/>
      <c r="B543" s="8"/>
      <c r="C543" s="8"/>
      <c r="D543" s="8"/>
      <c r="E543" s="8"/>
    </row>
    <row r="544" spans="1:5" ht="14.25" customHeight="1" x14ac:dyDescent="0.25">
      <c r="A544" s="8"/>
      <c r="B544" s="8"/>
      <c r="C544" s="8"/>
      <c r="D544" s="8"/>
      <c r="E544" s="8"/>
    </row>
    <row r="545" spans="1:5" ht="14.25" customHeight="1" x14ac:dyDescent="0.25">
      <c r="A545" s="8"/>
      <c r="B545" s="8"/>
      <c r="C545" s="8"/>
      <c r="D545" s="8"/>
      <c r="E545" s="8"/>
    </row>
    <row r="546" spans="1:5" ht="14.25" customHeight="1" x14ac:dyDescent="0.25">
      <c r="A546" s="8"/>
      <c r="B546" s="8"/>
      <c r="C546" s="8"/>
      <c r="D546" s="8"/>
      <c r="E546" s="8"/>
    </row>
    <row r="547" spans="1:5" ht="14.25" customHeight="1" x14ac:dyDescent="0.25">
      <c r="A547" s="8"/>
      <c r="B547" s="8"/>
      <c r="C547" s="8"/>
      <c r="D547" s="8"/>
      <c r="E547" s="8"/>
    </row>
    <row r="548" spans="1:5" ht="14.25" customHeight="1" x14ac:dyDescent="0.25">
      <c r="A548" s="8"/>
      <c r="B548" s="8"/>
      <c r="C548" s="8"/>
      <c r="D548" s="8"/>
      <c r="E548" s="8"/>
    </row>
    <row r="549" spans="1:5" ht="14.25" customHeight="1" x14ac:dyDescent="0.25">
      <c r="A549" s="8"/>
      <c r="B549" s="8"/>
      <c r="C549" s="8"/>
      <c r="D549" s="8"/>
      <c r="E549" s="8"/>
    </row>
    <row r="550" spans="1:5" ht="14.25" customHeight="1" x14ac:dyDescent="0.25">
      <c r="A550" s="8"/>
      <c r="B550" s="8"/>
      <c r="C550" s="8"/>
      <c r="D550" s="8"/>
      <c r="E550" s="8"/>
    </row>
    <row r="551" spans="1:5" ht="14.25" customHeight="1" x14ac:dyDescent="0.25">
      <c r="A551" s="8"/>
      <c r="B551" s="8"/>
      <c r="C551" s="8"/>
      <c r="D551" s="8"/>
      <c r="E551" s="8"/>
    </row>
    <row r="552" spans="1:5" ht="14.25" customHeight="1" x14ac:dyDescent="0.25">
      <c r="A552" s="8"/>
      <c r="B552" s="8"/>
      <c r="C552" s="8"/>
      <c r="D552" s="8"/>
      <c r="E552" s="8"/>
    </row>
    <row r="553" spans="1:5" ht="14.25" customHeight="1" x14ac:dyDescent="0.25">
      <c r="A553" s="8"/>
      <c r="B553" s="8"/>
      <c r="C553" s="8"/>
      <c r="D553" s="8"/>
      <c r="E553" s="8"/>
    </row>
    <row r="554" spans="1:5" ht="14.25" customHeight="1" x14ac:dyDescent="0.25">
      <c r="A554" s="8"/>
      <c r="B554" s="8"/>
      <c r="C554" s="8"/>
      <c r="D554" s="8"/>
      <c r="E554" s="8"/>
    </row>
    <row r="555" spans="1:5" ht="14.25" customHeight="1" x14ac:dyDescent="0.25">
      <c r="A555" s="8"/>
      <c r="B555" s="8"/>
      <c r="C555" s="8"/>
      <c r="D555" s="8"/>
      <c r="E555" s="8"/>
    </row>
    <row r="556" spans="1:5" ht="14.25" customHeight="1" x14ac:dyDescent="0.25">
      <c r="A556" s="8"/>
      <c r="B556" s="8"/>
      <c r="C556" s="8"/>
      <c r="D556" s="8"/>
      <c r="E556" s="8"/>
    </row>
    <row r="557" spans="1:5" ht="14.25" customHeight="1" x14ac:dyDescent="0.25">
      <c r="A557" s="8"/>
      <c r="B557" s="8"/>
      <c r="C557" s="8"/>
      <c r="D557" s="8"/>
      <c r="E557" s="8"/>
    </row>
    <row r="558" spans="1:5" ht="14.25" customHeight="1" x14ac:dyDescent="0.25">
      <c r="A558" s="8"/>
      <c r="B558" s="8"/>
      <c r="C558" s="8"/>
      <c r="D558" s="8"/>
      <c r="E558" s="8"/>
    </row>
    <row r="559" spans="1:5" ht="14.25" customHeight="1" x14ac:dyDescent="0.25">
      <c r="A559" s="8"/>
      <c r="B559" s="8"/>
      <c r="C559" s="8"/>
      <c r="D559" s="8"/>
      <c r="E559" s="8"/>
    </row>
    <row r="560" spans="1:5" ht="14.25" customHeight="1" x14ac:dyDescent="0.25">
      <c r="A560" s="8"/>
      <c r="B560" s="8"/>
      <c r="C560" s="8"/>
      <c r="D560" s="8"/>
      <c r="E560" s="8"/>
    </row>
    <row r="561" spans="1:5" ht="14.25" customHeight="1" x14ac:dyDescent="0.25">
      <c r="A561" s="8"/>
      <c r="B561" s="8"/>
      <c r="C561" s="8"/>
      <c r="D561" s="8"/>
      <c r="E561" s="8"/>
    </row>
    <row r="562" spans="1:5" ht="14.25" customHeight="1" x14ac:dyDescent="0.25">
      <c r="A562" s="8"/>
      <c r="B562" s="8"/>
      <c r="C562" s="8"/>
      <c r="D562" s="8"/>
      <c r="E562" s="8"/>
    </row>
    <row r="563" spans="1:5" ht="14.25" customHeight="1" x14ac:dyDescent="0.25">
      <c r="A563" s="8"/>
      <c r="B563" s="8"/>
      <c r="C563" s="8"/>
      <c r="D563" s="8"/>
      <c r="E563" s="8"/>
    </row>
    <row r="564" spans="1:5" ht="14.25" customHeight="1" x14ac:dyDescent="0.25">
      <c r="A564" s="8"/>
      <c r="B564" s="8"/>
      <c r="C564" s="8"/>
      <c r="D564" s="8"/>
      <c r="E564" s="8"/>
    </row>
    <row r="565" spans="1:5" ht="14.25" customHeight="1" x14ac:dyDescent="0.25">
      <c r="A565" s="8"/>
      <c r="B565" s="8"/>
      <c r="C565" s="8"/>
      <c r="D565" s="8"/>
      <c r="E565" s="8"/>
    </row>
    <row r="566" spans="1:5" ht="14.25" customHeight="1" x14ac:dyDescent="0.25">
      <c r="A566" s="8"/>
      <c r="B566" s="8"/>
      <c r="C566" s="8"/>
      <c r="D566" s="8"/>
      <c r="E566" s="8"/>
    </row>
    <row r="567" spans="1:5" ht="14.25" customHeight="1" x14ac:dyDescent="0.25">
      <c r="A567" s="8"/>
      <c r="B567" s="8"/>
      <c r="C567" s="8"/>
      <c r="D567" s="8"/>
      <c r="E567" s="8"/>
    </row>
    <row r="568" spans="1:5" ht="14.25" customHeight="1" x14ac:dyDescent="0.25">
      <c r="A568" s="8"/>
      <c r="B568" s="8"/>
      <c r="C568" s="8"/>
      <c r="D568" s="8"/>
      <c r="E568" s="8"/>
    </row>
    <row r="569" spans="1:5" ht="14.25" customHeight="1" x14ac:dyDescent="0.25">
      <c r="A569" s="8"/>
      <c r="B569" s="8"/>
      <c r="C569" s="8"/>
      <c r="D569" s="8"/>
      <c r="E569" s="8"/>
    </row>
    <row r="570" spans="1:5" ht="14.25" customHeight="1" x14ac:dyDescent="0.25">
      <c r="A570" s="8"/>
      <c r="B570" s="8"/>
      <c r="C570" s="8"/>
      <c r="D570" s="8"/>
      <c r="E570" s="8"/>
    </row>
    <row r="571" spans="1:5" ht="14.25" customHeight="1" x14ac:dyDescent="0.25">
      <c r="A571" s="8"/>
      <c r="B571" s="8"/>
      <c r="C571" s="8"/>
      <c r="D571" s="8"/>
      <c r="E571" s="8"/>
    </row>
    <row r="572" spans="1:5" ht="14.25" customHeight="1" x14ac:dyDescent="0.25">
      <c r="A572" s="8"/>
      <c r="B572" s="8"/>
      <c r="C572" s="8"/>
      <c r="D572" s="8"/>
      <c r="E572" s="8"/>
    </row>
    <row r="573" spans="1:5" ht="14.25" customHeight="1" x14ac:dyDescent="0.25">
      <c r="A573" s="8"/>
      <c r="B573" s="8"/>
      <c r="C573" s="8"/>
      <c r="D573" s="8"/>
      <c r="E573" s="8"/>
    </row>
    <row r="574" spans="1:5" ht="14.25" customHeight="1" x14ac:dyDescent="0.25">
      <c r="A574" s="8"/>
      <c r="B574" s="8"/>
      <c r="C574" s="8"/>
      <c r="D574" s="8"/>
      <c r="E574" s="8"/>
    </row>
    <row r="575" spans="1:5" ht="14.25" customHeight="1" x14ac:dyDescent="0.25">
      <c r="A575" s="8"/>
      <c r="B575" s="8"/>
      <c r="C575" s="8"/>
      <c r="D575" s="8"/>
      <c r="E575" s="8"/>
    </row>
    <row r="576" spans="1:5" ht="14.25" customHeight="1" x14ac:dyDescent="0.25">
      <c r="A576" s="8"/>
      <c r="B576" s="8"/>
      <c r="C576" s="8"/>
      <c r="D576" s="8"/>
      <c r="E576" s="8"/>
    </row>
    <row r="577" spans="1:5" ht="14.25" customHeight="1" x14ac:dyDescent="0.25">
      <c r="A577" s="8"/>
      <c r="B577" s="8"/>
      <c r="C577" s="8"/>
      <c r="D577" s="8"/>
      <c r="E577" s="8"/>
    </row>
    <row r="578" spans="1:5" ht="14.25" customHeight="1" x14ac:dyDescent="0.25">
      <c r="A578" s="8"/>
      <c r="B578" s="8"/>
      <c r="C578" s="8"/>
      <c r="D578" s="8"/>
      <c r="E578" s="8"/>
    </row>
    <row r="579" spans="1:5" ht="14.25" customHeight="1" x14ac:dyDescent="0.25">
      <c r="A579" s="8"/>
      <c r="B579" s="8"/>
      <c r="C579" s="8"/>
      <c r="D579" s="8"/>
      <c r="E579" s="8"/>
    </row>
    <row r="580" spans="1:5" ht="14.25" customHeight="1" x14ac:dyDescent="0.25">
      <c r="A580" s="8"/>
      <c r="B580" s="8"/>
      <c r="C580" s="8"/>
      <c r="D580" s="8"/>
      <c r="E580" s="8"/>
    </row>
    <row r="581" spans="1:5" ht="14.25" customHeight="1" x14ac:dyDescent="0.25">
      <c r="A581" s="8"/>
      <c r="B581" s="8"/>
      <c r="C581" s="8"/>
      <c r="D581" s="8"/>
      <c r="E581" s="8"/>
    </row>
    <row r="582" spans="1:5" ht="14.25" customHeight="1" x14ac:dyDescent="0.25">
      <c r="A582" s="8"/>
      <c r="B582" s="8"/>
      <c r="C582" s="8"/>
      <c r="D582" s="8"/>
      <c r="E582" s="8"/>
    </row>
    <row r="583" spans="1:5" ht="14.25" customHeight="1" x14ac:dyDescent="0.25">
      <c r="A583" s="8"/>
      <c r="B583" s="8"/>
      <c r="C583" s="8"/>
      <c r="D583" s="8"/>
      <c r="E583" s="8"/>
    </row>
    <row r="584" spans="1:5" ht="14.25" customHeight="1" x14ac:dyDescent="0.25">
      <c r="A584" s="8"/>
      <c r="B584" s="8"/>
      <c r="C584" s="8"/>
      <c r="D584" s="8"/>
      <c r="E584" s="8"/>
    </row>
    <row r="585" spans="1:5" ht="14.25" customHeight="1" x14ac:dyDescent="0.25">
      <c r="A585" s="8"/>
      <c r="B585" s="8"/>
      <c r="C585" s="8"/>
      <c r="D585" s="8"/>
      <c r="E585" s="8"/>
    </row>
    <row r="586" spans="1:5" ht="14.25" customHeight="1" x14ac:dyDescent="0.25">
      <c r="A586" s="8"/>
      <c r="B586" s="8"/>
      <c r="C586" s="8"/>
      <c r="D586" s="8"/>
      <c r="E586" s="8"/>
    </row>
    <row r="587" spans="1:5" ht="14.25" customHeight="1" x14ac:dyDescent="0.25">
      <c r="A587" s="8"/>
      <c r="B587" s="8"/>
      <c r="C587" s="8"/>
      <c r="D587" s="8"/>
      <c r="E587" s="8"/>
    </row>
    <row r="588" spans="1:5" ht="14.25" customHeight="1" x14ac:dyDescent="0.25">
      <c r="A588" s="8"/>
      <c r="B588" s="8"/>
      <c r="C588" s="8"/>
      <c r="D588" s="8"/>
      <c r="E588" s="8"/>
    </row>
    <row r="589" spans="1:5" ht="14.25" customHeight="1" x14ac:dyDescent="0.25">
      <c r="A589" s="8"/>
      <c r="B589" s="8"/>
      <c r="C589" s="8"/>
      <c r="D589" s="8"/>
      <c r="E589" s="8"/>
    </row>
    <row r="590" spans="1:5" ht="14.25" customHeight="1" x14ac:dyDescent="0.25">
      <c r="A590" s="8"/>
      <c r="B590" s="8"/>
      <c r="C590" s="8"/>
      <c r="D590" s="8"/>
      <c r="E590" s="8"/>
    </row>
    <row r="591" spans="1:5" ht="14.25" customHeight="1" x14ac:dyDescent="0.25">
      <c r="A591" s="8"/>
      <c r="B591" s="8"/>
      <c r="C591" s="8"/>
      <c r="D591" s="8"/>
      <c r="E591" s="8"/>
    </row>
    <row r="592" spans="1:5" ht="14.25" customHeight="1" x14ac:dyDescent="0.25">
      <c r="A592" s="8"/>
      <c r="B592" s="8"/>
      <c r="C592" s="8"/>
      <c r="D592" s="8"/>
      <c r="E592" s="8"/>
    </row>
    <row r="593" spans="1:5" ht="14.25" customHeight="1" x14ac:dyDescent="0.25">
      <c r="A593" s="8"/>
      <c r="B593" s="8"/>
      <c r="C593" s="8"/>
      <c r="D593" s="8"/>
      <c r="E593" s="8"/>
    </row>
    <row r="594" spans="1:5" ht="14.25" customHeight="1" x14ac:dyDescent="0.25">
      <c r="A594" s="8"/>
      <c r="B594" s="8"/>
      <c r="C594" s="8"/>
      <c r="D594" s="8"/>
      <c r="E594" s="8"/>
    </row>
    <row r="595" spans="1:5" ht="14.25" customHeight="1" x14ac:dyDescent="0.25">
      <c r="A595" s="8"/>
      <c r="B595" s="8"/>
      <c r="C595" s="8"/>
      <c r="D595" s="8"/>
      <c r="E595" s="8"/>
    </row>
    <row r="596" spans="1:5" ht="14.25" customHeight="1" x14ac:dyDescent="0.25">
      <c r="A596" s="8"/>
      <c r="B596" s="8"/>
      <c r="C596" s="8"/>
      <c r="D596" s="8"/>
      <c r="E596" s="8"/>
    </row>
    <row r="597" spans="1:5" ht="14.25" customHeight="1" x14ac:dyDescent="0.25">
      <c r="A597" s="8"/>
      <c r="B597" s="8"/>
      <c r="C597" s="8"/>
      <c r="D597" s="8"/>
      <c r="E597" s="8"/>
    </row>
    <row r="598" spans="1:5" ht="14.25" customHeight="1" x14ac:dyDescent="0.25">
      <c r="A598" s="8"/>
      <c r="B598" s="8"/>
      <c r="C598" s="8"/>
      <c r="D598" s="8"/>
      <c r="E598" s="8"/>
    </row>
    <row r="599" spans="1:5" ht="14.25" customHeight="1" x14ac:dyDescent="0.25">
      <c r="A599" s="8"/>
      <c r="B599" s="8"/>
      <c r="C599" s="8"/>
      <c r="D599" s="8"/>
      <c r="E599" s="8"/>
    </row>
    <row r="600" spans="1:5" ht="14.25" customHeight="1" x14ac:dyDescent="0.25">
      <c r="A600" s="8"/>
      <c r="B600" s="8"/>
      <c r="C600" s="8"/>
      <c r="D600" s="8"/>
      <c r="E600" s="8"/>
    </row>
    <row r="601" spans="1:5" ht="14.25" customHeight="1" x14ac:dyDescent="0.25">
      <c r="A601" s="8"/>
      <c r="B601" s="8"/>
      <c r="C601" s="8"/>
      <c r="D601" s="8"/>
      <c r="E601" s="8"/>
    </row>
    <row r="602" spans="1:5" ht="14.25" customHeight="1" x14ac:dyDescent="0.25">
      <c r="A602" s="8"/>
      <c r="B602" s="8"/>
      <c r="C602" s="8"/>
      <c r="D602" s="8"/>
      <c r="E602" s="8"/>
    </row>
    <row r="603" spans="1:5" ht="14.25" customHeight="1" x14ac:dyDescent="0.25">
      <c r="A603" s="8"/>
      <c r="B603" s="8"/>
      <c r="C603" s="8"/>
      <c r="D603" s="8"/>
      <c r="E603" s="8"/>
    </row>
    <row r="604" spans="1:5" ht="14.25" customHeight="1" x14ac:dyDescent="0.25">
      <c r="A604" s="8"/>
      <c r="B604" s="8"/>
      <c r="C604" s="8"/>
      <c r="D604" s="8"/>
      <c r="E604" s="8"/>
    </row>
    <row r="605" spans="1:5" ht="14.25" customHeight="1" x14ac:dyDescent="0.25">
      <c r="A605" s="8"/>
      <c r="B605" s="8"/>
      <c r="C605" s="8"/>
      <c r="D605" s="8"/>
      <c r="E605" s="8"/>
    </row>
    <row r="606" spans="1:5" ht="14.25" customHeight="1" x14ac:dyDescent="0.25">
      <c r="A606" s="8"/>
      <c r="B606" s="8"/>
      <c r="C606" s="8"/>
      <c r="D606" s="8"/>
      <c r="E606" s="8"/>
    </row>
    <row r="607" spans="1:5" ht="14.25" customHeight="1" x14ac:dyDescent="0.25">
      <c r="A607" s="8"/>
      <c r="B607" s="8"/>
      <c r="C607" s="8"/>
      <c r="D607" s="8"/>
      <c r="E607" s="8"/>
    </row>
    <row r="608" spans="1:5" ht="14.25" customHeight="1" x14ac:dyDescent="0.25">
      <c r="A608" s="8"/>
      <c r="B608" s="8"/>
      <c r="C608" s="8"/>
      <c r="D608" s="8"/>
      <c r="E608" s="8"/>
    </row>
    <row r="609" spans="1:5" ht="14.25" customHeight="1" x14ac:dyDescent="0.25">
      <c r="A609" s="8"/>
      <c r="B609" s="8"/>
      <c r="C609" s="8"/>
      <c r="D609" s="8"/>
      <c r="E609" s="8"/>
    </row>
    <row r="610" spans="1:5" ht="14.25" customHeight="1" x14ac:dyDescent="0.25">
      <c r="A610" s="8"/>
      <c r="B610" s="8"/>
      <c r="C610" s="8"/>
      <c r="D610" s="8"/>
      <c r="E610" s="8"/>
    </row>
    <row r="611" spans="1:5" ht="14.25" customHeight="1" x14ac:dyDescent="0.25">
      <c r="A611" s="8"/>
      <c r="B611" s="8"/>
      <c r="C611" s="8"/>
      <c r="D611" s="8"/>
      <c r="E611" s="8"/>
    </row>
    <row r="612" spans="1:5" ht="14.25" customHeight="1" x14ac:dyDescent="0.25">
      <c r="A612" s="8"/>
      <c r="B612" s="8"/>
      <c r="C612" s="8"/>
      <c r="D612" s="8"/>
      <c r="E612" s="8"/>
    </row>
    <row r="613" spans="1:5" ht="14.25" customHeight="1" x14ac:dyDescent="0.25">
      <c r="A613" s="8"/>
      <c r="B613" s="8"/>
      <c r="C613" s="8"/>
      <c r="D613" s="8"/>
      <c r="E613" s="8"/>
    </row>
    <row r="614" spans="1:5" ht="14.25" customHeight="1" x14ac:dyDescent="0.25">
      <c r="A614" s="8"/>
      <c r="B614" s="8"/>
      <c r="C614" s="8"/>
      <c r="D614" s="8"/>
      <c r="E614" s="8"/>
    </row>
    <row r="615" spans="1:5" ht="14.25" customHeight="1" x14ac:dyDescent="0.25">
      <c r="A615" s="8"/>
      <c r="B615" s="8"/>
      <c r="C615" s="8"/>
      <c r="D615" s="8"/>
      <c r="E615" s="8"/>
    </row>
    <row r="616" spans="1:5" ht="14.25" customHeight="1" x14ac:dyDescent="0.25">
      <c r="A616" s="8"/>
      <c r="B616" s="8"/>
      <c r="C616" s="8"/>
      <c r="D616" s="8"/>
      <c r="E616" s="8"/>
    </row>
    <row r="617" spans="1:5" ht="14.25" customHeight="1" x14ac:dyDescent="0.25">
      <c r="A617" s="8"/>
      <c r="B617" s="8"/>
      <c r="C617" s="8"/>
      <c r="D617" s="8"/>
      <c r="E617" s="8"/>
    </row>
    <row r="618" spans="1:5" ht="14.25" customHeight="1" x14ac:dyDescent="0.25">
      <c r="A618" s="8"/>
      <c r="B618" s="8"/>
      <c r="C618" s="8"/>
      <c r="D618" s="8"/>
      <c r="E618" s="8"/>
    </row>
    <row r="619" spans="1:5" ht="14.25" customHeight="1" x14ac:dyDescent="0.25">
      <c r="A619" s="8"/>
      <c r="B619" s="8"/>
      <c r="C619" s="8"/>
      <c r="D619" s="8"/>
      <c r="E619" s="8"/>
    </row>
    <row r="620" spans="1:5" ht="14.25" customHeight="1" x14ac:dyDescent="0.25">
      <c r="A620" s="8"/>
      <c r="B620" s="8"/>
      <c r="C620" s="8"/>
      <c r="D620" s="8"/>
      <c r="E620" s="8"/>
    </row>
    <row r="621" spans="1:5" ht="14.25" customHeight="1" x14ac:dyDescent="0.25">
      <c r="A621" s="8"/>
      <c r="B621" s="8"/>
      <c r="C621" s="8"/>
      <c r="D621" s="8"/>
      <c r="E621" s="8"/>
    </row>
    <row r="622" spans="1:5" ht="14.25" customHeight="1" x14ac:dyDescent="0.25">
      <c r="A622" s="8"/>
      <c r="B622" s="8"/>
      <c r="C622" s="8"/>
      <c r="D622" s="8"/>
      <c r="E622" s="8"/>
    </row>
    <row r="623" spans="1:5" ht="14.25" customHeight="1" x14ac:dyDescent="0.25">
      <c r="A623" s="8"/>
      <c r="B623" s="8"/>
      <c r="C623" s="8"/>
      <c r="D623" s="8"/>
      <c r="E623" s="8"/>
    </row>
    <row r="624" spans="1:5" ht="14.25" customHeight="1" x14ac:dyDescent="0.25">
      <c r="A624" s="8"/>
      <c r="B624" s="8"/>
      <c r="C624" s="8"/>
      <c r="D624" s="8"/>
      <c r="E624" s="8"/>
    </row>
    <row r="625" spans="1:5" ht="14.25" customHeight="1" x14ac:dyDescent="0.25">
      <c r="A625" s="8"/>
      <c r="B625" s="8"/>
      <c r="C625" s="8"/>
      <c r="D625" s="8"/>
      <c r="E625" s="8"/>
    </row>
    <row r="626" spans="1:5" ht="14.25" customHeight="1" x14ac:dyDescent="0.25">
      <c r="A626" s="8"/>
      <c r="B626" s="8"/>
      <c r="C626" s="8"/>
      <c r="D626" s="8"/>
      <c r="E626" s="8"/>
    </row>
    <row r="627" spans="1:5" ht="14.25" customHeight="1" x14ac:dyDescent="0.25">
      <c r="A627" s="8"/>
      <c r="B627" s="8"/>
      <c r="C627" s="8"/>
      <c r="D627" s="8"/>
      <c r="E627" s="8"/>
    </row>
    <row r="628" spans="1:5" ht="14.25" customHeight="1" x14ac:dyDescent="0.25">
      <c r="A628" s="8"/>
      <c r="B628" s="8"/>
      <c r="C628" s="8"/>
      <c r="D628" s="8"/>
      <c r="E628" s="8"/>
    </row>
    <row r="629" spans="1:5" ht="14.25" customHeight="1" x14ac:dyDescent="0.25">
      <c r="A629" s="8"/>
      <c r="B629" s="8"/>
      <c r="C629" s="8"/>
      <c r="D629" s="8"/>
      <c r="E629" s="8"/>
    </row>
    <row r="630" spans="1:5" ht="14.25" customHeight="1" x14ac:dyDescent="0.25">
      <c r="A630" s="8"/>
      <c r="B630" s="8"/>
      <c r="C630" s="8"/>
      <c r="D630" s="8"/>
      <c r="E630" s="8"/>
    </row>
    <row r="631" spans="1:5" ht="14.25" customHeight="1" x14ac:dyDescent="0.25">
      <c r="A631" s="8"/>
      <c r="B631" s="8"/>
      <c r="C631" s="8"/>
      <c r="D631" s="8"/>
      <c r="E631" s="8"/>
    </row>
    <row r="632" spans="1:5" ht="14.25" customHeight="1" x14ac:dyDescent="0.25">
      <c r="A632" s="8"/>
      <c r="B632" s="8"/>
      <c r="C632" s="8"/>
      <c r="D632" s="8"/>
      <c r="E632" s="8"/>
    </row>
    <row r="633" spans="1:5" ht="14.25" customHeight="1" x14ac:dyDescent="0.25">
      <c r="A633" s="8"/>
      <c r="B633" s="8"/>
      <c r="C633" s="8"/>
      <c r="D633" s="8"/>
      <c r="E633" s="8"/>
    </row>
    <row r="634" spans="1:5" ht="14.25" customHeight="1" x14ac:dyDescent="0.25">
      <c r="A634" s="8"/>
      <c r="B634" s="8"/>
      <c r="C634" s="8"/>
      <c r="D634" s="8"/>
      <c r="E634" s="8"/>
    </row>
    <row r="635" spans="1:5" ht="14.25" customHeight="1" x14ac:dyDescent="0.25">
      <c r="A635" s="8"/>
      <c r="B635" s="8"/>
      <c r="C635" s="8"/>
      <c r="D635" s="8"/>
      <c r="E635" s="8"/>
    </row>
    <row r="636" spans="1:5" ht="14.25" customHeight="1" x14ac:dyDescent="0.25">
      <c r="A636" s="8"/>
      <c r="B636" s="8"/>
      <c r="C636" s="8"/>
      <c r="D636" s="8"/>
      <c r="E636" s="8"/>
    </row>
    <row r="637" spans="1:5" ht="14.25" customHeight="1" x14ac:dyDescent="0.25">
      <c r="A637" s="8"/>
      <c r="B637" s="8"/>
      <c r="C637" s="8"/>
      <c r="D637" s="8"/>
      <c r="E637" s="8"/>
    </row>
    <row r="638" spans="1:5" ht="14.25" customHeight="1" x14ac:dyDescent="0.25">
      <c r="A638" s="8"/>
      <c r="B638" s="8"/>
      <c r="C638" s="8"/>
      <c r="D638" s="8"/>
      <c r="E638" s="8"/>
    </row>
    <row r="639" spans="1:5" ht="14.25" customHeight="1" x14ac:dyDescent="0.25">
      <c r="A639" s="8"/>
      <c r="B639" s="8"/>
      <c r="C639" s="8"/>
      <c r="D639" s="8"/>
      <c r="E639" s="8"/>
    </row>
    <row r="640" spans="1:5" ht="14.25" customHeight="1" x14ac:dyDescent="0.25">
      <c r="A640" s="8"/>
      <c r="B640" s="8"/>
      <c r="C640" s="8"/>
      <c r="D640" s="8"/>
      <c r="E640" s="8"/>
    </row>
    <row r="641" spans="1:5" ht="14.25" customHeight="1" x14ac:dyDescent="0.25">
      <c r="A641" s="8"/>
      <c r="B641" s="8"/>
      <c r="C641" s="8"/>
      <c r="D641" s="8"/>
      <c r="E641" s="8"/>
    </row>
    <row r="642" spans="1:5" ht="14.25" customHeight="1" x14ac:dyDescent="0.25">
      <c r="A642" s="8"/>
      <c r="B642" s="8"/>
      <c r="C642" s="8"/>
      <c r="D642" s="8"/>
      <c r="E642" s="8"/>
    </row>
    <row r="643" spans="1:5" ht="14.25" customHeight="1" x14ac:dyDescent="0.25">
      <c r="A643" s="8"/>
      <c r="B643" s="8"/>
      <c r="C643" s="8"/>
      <c r="D643" s="8"/>
      <c r="E643" s="8"/>
    </row>
    <row r="644" spans="1:5" ht="14.25" customHeight="1" x14ac:dyDescent="0.25">
      <c r="A644" s="8"/>
      <c r="B644" s="8"/>
      <c r="C644" s="8"/>
      <c r="D644" s="8"/>
      <c r="E644" s="8"/>
    </row>
    <row r="645" spans="1:5" ht="14.25" customHeight="1" x14ac:dyDescent="0.25">
      <c r="A645" s="8"/>
      <c r="B645" s="8"/>
      <c r="C645" s="8"/>
      <c r="D645" s="8"/>
      <c r="E645" s="8"/>
    </row>
    <row r="646" spans="1:5" ht="14.25" customHeight="1" x14ac:dyDescent="0.25">
      <c r="A646" s="8"/>
      <c r="B646" s="8"/>
      <c r="C646" s="8"/>
      <c r="D646" s="8"/>
      <c r="E646" s="8"/>
    </row>
    <row r="647" spans="1:5" ht="14.25" customHeight="1" x14ac:dyDescent="0.25">
      <c r="A647" s="8"/>
      <c r="B647" s="8"/>
      <c r="C647" s="8"/>
      <c r="D647" s="8"/>
      <c r="E647" s="8"/>
    </row>
    <row r="648" spans="1:5" ht="14.25" customHeight="1" x14ac:dyDescent="0.25">
      <c r="A648" s="8"/>
      <c r="B648" s="8"/>
      <c r="C648" s="8"/>
      <c r="D648" s="8"/>
      <c r="E648" s="8"/>
    </row>
    <row r="649" spans="1:5" ht="14.25" customHeight="1" x14ac:dyDescent="0.25">
      <c r="A649" s="8"/>
      <c r="B649" s="8"/>
      <c r="C649" s="8"/>
      <c r="D649" s="8"/>
      <c r="E649" s="8"/>
    </row>
    <row r="650" spans="1:5" ht="14.25" customHeight="1" x14ac:dyDescent="0.25">
      <c r="A650" s="8"/>
      <c r="B650" s="8"/>
      <c r="C650" s="8"/>
      <c r="D650" s="8"/>
      <c r="E650" s="8"/>
    </row>
    <row r="651" spans="1:5" ht="14.25" customHeight="1" x14ac:dyDescent="0.25">
      <c r="A651" s="8"/>
      <c r="B651" s="8"/>
      <c r="C651" s="8"/>
      <c r="D651" s="8"/>
      <c r="E651" s="8"/>
    </row>
    <row r="652" spans="1:5" ht="14.25" customHeight="1" x14ac:dyDescent="0.25">
      <c r="A652" s="8"/>
      <c r="B652" s="8"/>
      <c r="C652" s="8"/>
      <c r="D652" s="8"/>
      <c r="E652" s="8"/>
    </row>
    <row r="653" spans="1:5" ht="14.25" customHeight="1" x14ac:dyDescent="0.25">
      <c r="A653" s="8"/>
      <c r="B653" s="8"/>
      <c r="C653" s="8"/>
      <c r="D653" s="8"/>
      <c r="E653" s="8"/>
    </row>
    <row r="654" spans="1:5" ht="14.25" customHeight="1" x14ac:dyDescent="0.25">
      <c r="A654" s="8"/>
      <c r="B654" s="8"/>
      <c r="C654" s="8"/>
      <c r="D654" s="8"/>
      <c r="E654" s="8"/>
    </row>
    <row r="655" spans="1:5" ht="14.25" customHeight="1" x14ac:dyDescent="0.25">
      <c r="A655" s="8"/>
      <c r="B655" s="8"/>
      <c r="C655" s="8"/>
      <c r="D655" s="8"/>
      <c r="E655" s="8"/>
    </row>
    <row r="656" spans="1:5" ht="14.25" customHeight="1" x14ac:dyDescent="0.25">
      <c r="A656" s="8"/>
      <c r="B656" s="8"/>
      <c r="C656" s="8"/>
      <c r="D656" s="8"/>
      <c r="E656" s="8"/>
    </row>
    <row r="657" spans="1:5" ht="14.25" customHeight="1" x14ac:dyDescent="0.25">
      <c r="A657" s="8"/>
      <c r="B657" s="8"/>
      <c r="C657" s="8"/>
      <c r="D657" s="8"/>
      <c r="E657" s="8"/>
    </row>
    <row r="658" spans="1:5" ht="14.25" customHeight="1" x14ac:dyDescent="0.25">
      <c r="A658" s="8"/>
      <c r="B658" s="8"/>
      <c r="C658" s="8"/>
      <c r="D658" s="8"/>
      <c r="E658" s="8"/>
    </row>
    <row r="659" spans="1:5" ht="14.25" customHeight="1" x14ac:dyDescent="0.25">
      <c r="A659" s="8"/>
      <c r="B659" s="8"/>
      <c r="C659" s="8"/>
      <c r="D659" s="8"/>
      <c r="E659" s="8"/>
    </row>
    <row r="660" spans="1:5" ht="14.25" customHeight="1" x14ac:dyDescent="0.25">
      <c r="A660" s="8"/>
      <c r="B660" s="8"/>
      <c r="C660" s="8"/>
      <c r="D660" s="8"/>
      <c r="E660" s="8"/>
    </row>
    <row r="661" spans="1:5" ht="14.25" customHeight="1" x14ac:dyDescent="0.25">
      <c r="A661" s="8"/>
      <c r="B661" s="8"/>
      <c r="C661" s="8"/>
      <c r="D661" s="8"/>
      <c r="E661" s="8"/>
    </row>
    <row r="662" spans="1:5" ht="14.25" customHeight="1" x14ac:dyDescent="0.25">
      <c r="A662" s="8"/>
      <c r="B662" s="8"/>
      <c r="C662" s="8"/>
      <c r="D662" s="8"/>
      <c r="E662" s="8"/>
    </row>
    <row r="663" spans="1:5" ht="14.25" customHeight="1" x14ac:dyDescent="0.25">
      <c r="A663" s="8"/>
      <c r="B663" s="8"/>
      <c r="C663" s="8"/>
      <c r="D663" s="8"/>
      <c r="E663" s="8"/>
    </row>
    <row r="664" spans="1:5" ht="14.25" customHeight="1" x14ac:dyDescent="0.25">
      <c r="A664" s="8"/>
      <c r="B664" s="8"/>
      <c r="C664" s="8"/>
      <c r="D664" s="8"/>
      <c r="E664" s="8"/>
    </row>
    <row r="665" spans="1:5" ht="14.25" customHeight="1" x14ac:dyDescent="0.25">
      <c r="A665" s="8"/>
      <c r="B665" s="8"/>
      <c r="C665" s="8"/>
      <c r="D665" s="8"/>
      <c r="E665" s="8"/>
    </row>
    <row r="666" spans="1:5" ht="14.25" customHeight="1" x14ac:dyDescent="0.25">
      <c r="A666" s="8"/>
      <c r="B666" s="8"/>
      <c r="C666" s="8"/>
      <c r="D666" s="8"/>
      <c r="E666" s="8"/>
    </row>
    <row r="667" spans="1:5" ht="14.25" customHeight="1" x14ac:dyDescent="0.25">
      <c r="A667" s="8"/>
      <c r="B667" s="8"/>
      <c r="C667" s="8"/>
      <c r="D667" s="8"/>
      <c r="E667" s="8"/>
    </row>
    <row r="668" spans="1:5" ht="14.25" customHeight="1" x14ac:dyDescent="0.25">
      <c r="A668" s="8"/>
      <c r="B668" s="8"/>
      <c r="C668" s="8"/>
      <c r="D668" s="8"/>
      <c r="E668" s="8"/>
    </row>
    <row r="669" spans="1:5" ht="14.25" customHeight="1" x14ac:dyDescent="0.25">
      <c r="A669" s="8"/>
      <c r="B669" s="8"/>
      <c r="C669" s="8"/>
      <c r="D669" s="8"/>
      <c r="E669" s="8"/>
    </row>
    <row r="670" spans="1:5" ht="14.25" customHeight="1" x14ac:dyDescent="0.25">
      <c r="A670" s="8"/>
      <c r="B670" s="8"/>
      <c r="C670" s="8"/>
      <c r="D670" s="8"/>
      <c r="E670" s="8"/>
    </row>
    <row r="671" spans="1:5" ht="14.25" customHeight="1" x14ac:dyDescent="0.25">
      <c r="A671" s="8"/>
      <c r="B671" s="8"/>
      <c r="C671" s="8"/>
      <c r="D671" s="8"/>
      <c r="E671" s="8"/>
    </row>
    <row r="672" spans="1:5" ht="14.25" customHeight="1" x14ac:dyDescent="0.25">
      <c r="A672" s="8"/>
      <c r="B672" s="8"/>
      <c r="C672" s="8"/>
      <c r="D672" s="8"/>
      <c r="E672" s="8"/>
    </row>
    <row r="673" spans="1:5" ht="14.25" customHeight="1" x14ac:dyDescent="0.25">
      <c r="A673" s="8"/>
      <c r="B673" s="8"/>
      <c r="C673" s="8"/>
      <c r="D673" s="8"/>
      <c r="E673" s="8"/>
    </row>
    <row r="674" spans="1:5" ht="14.25" customHeight="1" x14ac:dyDescent="0.25">
      <c r="A674" s="8"/>
      <c r="B674" s="8"/>
      <c r="C674" s="8"/>
      <c r="D674" s="8"/>
      <c r="E674" s="8"/>
    </row>
    <row r="675" spans="1:5" ht="14.25" customHeight="1" x14ac:dyDescent="0.25">
      <c r="A675" s="8"/>
      <c r="B675" s="8"/>
      <c r="C675" s="8"/>
      <c r="D675" s="8"/>
      <c r="E675" s="8"/>
    </row>
    <row r="676" spans="1:5" ht="14.25" customHeight="1" x14ac:dyDescent="0.25">
      <c r="A676" s="8"/>
      <c r="B676" s="8"/>
      <c r="C676" s="8"/>
      <c r="D676" s="8"/>
      <c r="E676" s="8"/>
    </row>
    <row r="677" spans="1:5" ht="14.25" customHeight="1" x14ac:dyDescent="0.25">
      <c r="A677" s="8"/>
      <c r="B677" s="8"/>
      <c r="C677" s="8"/>
      <c r="D677" s="8"/>
      <c r="E677" s="8"/>
    </row>
    <row r="678" spans="1:5" ht="14.25" customHeight="1" x14ac:dyDescent="0.25">
      <c r="A678" s="8"/>
      <c r="B678" s="8"/>
      <c r="C678" s="8"/>
      <c r="D678" s="8"/>
      <c r="E678" s="8"/>
    </row>
    <row r="679" spans="1:5" ht="14.25" customHeight="1" x14ac:dyDescent="0.25">
      <c r="A679" s="8"/>
      <c r="B679" s="8"/>
      <c r="C679" s="8"/>
      <c r="D679" s="8"/>
      <c r="E679" s="8"/>
    </row>
    <row r="680" spans="1:5" ht="14.25" customHeight="1" x14ac:dyDescent="0.25">
      <c r="A680" s="8"/>
      <c r="B680" s="8"/>
      <c r="C680" s="8"/>
      <c r="D680" s="8"/>
      <c r="E680" s="8"/>
    </row>
    <row r="681" spans="1:5" ht="14.25" customHeight="1" x14ac:dyDescent="0.25">
      <c r="A681" s="8"/>
      <c r="B681" s="8"/>
      <c r="C681" s="8"/>
      <c r="D681" s="8"/>
      <c r="E681" s="8"/>
    </row>
    <row r="682" spans="1:5" ht="14.25" customHeight="1" x14ac:dyDescent="0.25">
      <c r="A682" s="8"/>
      <c r="B682" s="8"/>
      <c r="C682" s="8"/>
      <c r="D682" s="8"/>
      <c r="E682" s="8"/>
    </row>
    <row r="683" spans="1:5" ht="14.25" customHeight="1" x14ac:dyDescent="0.25">
      <c r="A683" s="8"/>
      <c r="B683" s="8"/>
      <c r="C683" s="8"/>
      <c r="D683" s="8"/>
      <c r="E683" s="8"/>
    </row>
    <row r="684" spans="1:5" ht="14.25" customHeight="1" x14ac:dyDescent="0.25">
      <c r="A684" s="8"/>
      <c r="B684" s="8"/>
      <c r="C684" s="8"/>
      <c r="D684" s="8"/>
      <c r="E684" s="8"/>
    </row>
    <row r="685" spans="1:5" ht="14.25" customHeight="1" x14ac:dyDescent="0.25">
      <c r="A685" s="8"/>
      <c r="B685" s="8"/>
      <c r="C685" s="8"/>
      <c r="D685" s="8"/>
      <c r="E685" s="8"/>
    </row>
    <row r="686" spans="1:5" ht="14.25" customHeight="1" x14ac:dyDescent="0.25">
      <c r="A686" s="8"/>
      <c r="B686" s="8"/>
      <c r="C686" s="8"/>
      <c r="D686" s="8"/>
      <c r="E686" s="8"/>
    </row>
    <row r="687" spans="1:5" ht="14.25" customHeight="1" x14ac:dyDescent="0.25">
      <c r="A687" s="8"/>
      <c r="B687" s="8"/>
      <c r="C687" s="8"/>
      <c r="D687" s="8"/>
      <c r="E687" s="8"/>
    </row>
    <row r="688" spans="1:5" ht="14.25" customHeight="1" x14ac:dyDescent="0.25">
      <c r="A688" s="8"/>
      <c r="B688" s="8"/>
      <c r="C688" s="8"/>
      <c r="D688" s="8"/>
      <c r="E688" s="8"/>
    </row>
    <row r="689" spans="1:5" ht="14.25" customHeight="1" x14ac:dyDescent="0.25">
      <c r="A689" s="8"/>
      <c r="B689" s="8"/>
      <c r="C689" s="8"/>
      <c r="D689" s="8"/>
      <c r="E689" s="8"/>
    </row>
    <row r="690" spans="1:5" ht="14.25" customHeight="1" x14ac:dyDescent="0.25">
      <c r="A690" s="8"/>
      <c r="B690" s="8"/>
      <c r="C690" s="8"/>
      <c r="D690" s="8"/>
      <c r="E690" s="8"/>
    </row>
    <row r="691" spans="1:5" ht="14.25" customHeight="1" x14ac:dyDescent="0.25">
      <c r="A691" s="8"/>
      <c r="B691" s="8"/>
      <c r="C691" s="8"/>
      <c r="D691" s="8"/>
      <c r="E691" s="8"/>
    </row>
    <row r="692" spans="1:5" ht="14.25" customHeight="1" x14ac:dyDescent="0.25">
      <c r="A692" s="8"/>
      <c r="B692" s="8"/>
      <c r="C692" s="8"/>
      <c r="D692" s="8"/>
      <c r="E692" s="8"/>
    </row>
    <row r="693" spans="1:5" ht="14.25" customHeight="1" x14ac:dyDescent="0.25">
      <c r="A693" s="8"/>
      <c r="B693" s="8"/>
      <c r="C693" s="8"/>
      <c r="D693" s="8"/>
      <c r="E693" s="8"/>
    </row>
    <row r="694" spans="1:5" ht="14.25" customHeight="1" x14ac:dyDescent="0.25">
      <c r="A694" s="8"/>
      <c r="B694" s="8"/>
      <c r="C694" s="8"/>
      <c r="D694" s="8"/>
      <c r="E694" s="8"/>
    </row>
    <row r="695" spans="1:5" ht="14.25" customHeight="1" x14ac:dyDescent="0.25">
      <c r="A695" s="8"/>
      <c r="B695" s="8"/>
      <c r="C695" s="8"/>
      <c r="D695" s="8"/>
      <c r="E695" s="8"/>
    </row>
    <row r="696" spans="1:5" ht="14.25" customHeight="1" x14ac:dyDescent="0.25">
      <c r="A696" s="8"/>
      <c r="B696" s="8"/>
      <c r="C696" s="8"/>
      <c r="D696" s="8"/>
      <c r="E696" s="8"/>
    </row>
    <row r="697" spans="1:5" ht="14.25" customHeight="1" x14ac:dyDescent="0.25">
      <c r="A697" s="8"/>
      <c r="B697" s="8"/>
      <c r="C697" s="8"/>
      <c r="D697" s="8"/>
      <c r="E697" s="8"/>
    </row>
    <row r="698" spans="1:5" ht="14.25" customHeight="1" x14ac:dyDescent="0.25">
      <c r="A698" s="8"/>
      <c r="B698" s="8"/>
      <c r="C698" s="8"/>
      <c r="D698" s="8"/>
      <c r="E698" s="8"/>
    </row>
    <row r="699" spans="1:5" ht="14.25" customHeight="1" x14ac:dyDescent="0.25">
      <c r="A699" s="8"/>
      <c r="B699" s="8"/>
      <c r="C699" s="8"/>
      <c r="D699" s="8"/>
      <c r="E699" s="8"/>
    </row>
    <row r="700" spans="1:5" ht="14.25" customHeight="1" x14ac:dyDescent="0.25">
      <c r="A700" s="8"/>
      <c r="B700" s="8"/>
      <c r="C700" s="8"/>
      <c r="D700" s="8"/>
      <c r="E700" s="8"/>
    </row>
    <row r="701" spans="1:5" ht="14.25" customHeight="1" x14ac:dyDescent="0.25">
      <c r="A701" s="8"/>
      <c r="B701" s="8"/>
      <c r="C701" s="8"/>
      <c r="D701" s="8"/>
      <c r="E701" s="8"/>
    </row>
    <row r="702" spans="1:5" ht="14.25" customHeight="1" x14ac:dyDescent="0.25">
      <c r="A702" s="8"/>
      <c r="B702" s="8"/>
      <c r="C702" s="8"/>
      <c r="D702" s="8"/>
      <c r="E702" s="8"/>
    </row>
    <row r="703" spans="1:5" ht="14.25" customHeight="1" x14ac:dyDescent="0.25">
      <c r="A703" s="8"/>
      <c r="B703" s="8"/>
      <c r="C703" s="8"/>
      <c r="D703" s="8"/>
      <c r="E703" s="8"/>
    </row>
    <row r="704" spans="1:5" ht="14.25" customHeight="1" x14ac:dyDescent="0.25">
      <c r="A704" s="8"/>
      <c r="B704" s="8"/>
      <c r="C704" s="8"/>
      <c r="D704" s="8"/>
      <c r="E704" s="8"/>
    </row>
    <row r="705" spans="1:5" ht="14.25" customHeight="1" x14ac:dyDescent="0.25">
      <c r="A705" s="8"/>
      <c r="B705" s="8"/>
      <c r="C705" s="8"/>
      <c r="D705" s="8"/>
      <c r="E705" s="8"/>
    </row>
    <row r="706" spans="1:5" ht="14.25" customHeight="1" x14ac:dyDescent="0.25">
      <c r="A706" s="8"/>
      <c r="B706" s="8"/>
      <c r="C706" s="8"/>
      <c r="D706" s="8"/>
      <c r="E706" s="8"/>
    </row>
    <row r="707" spans="1:5" ht="14.25" customHeight="1" x14ac:dyDescent="0.25">
      <c r="A707" s="8"/>
      <c r="B707" s="8"/>
      <c r="C707" s="8"/>
      <c r="D707" s="8"/>
      <c r="E707" s="8"/>
    </row>
    <row r="708" spans="1:5" ht="14.25" customHeight="1" x14ac:dyDescent="0.25">
      <c r="A708" s="8"/>
      <c r="B708" s="8"/>
      <c r="C708" s="8"/>
      <c r="D708" s="8"/>
      <c r="E708" s="8"/>
    </row>
    <row r="709" spans="1:5" ht="14.25" customHeight="1" x14ac:dyDescent="0.25">
      <c r="A709" s="8"/>
      <c r="B709" s="8"/>
      <c r="C709" s="8"/>
      <c r="D709" s="8"/>
      <c r="E709" s="8"/>
    </row>
    <row r="710" spans="1:5" ht="14.25" customHeight="1" x14ac:dyDescent="0.25">
      <c r="A710" s="8"/>
      <c r="B710" s="8"/>
      <c r="C710" s="8"/>
      <c r="D710" s="8"/>
      <c r="E710" s="8"/>
    </row>
    <row r="711" spans="1:5" ht="14.25" customHeight="1" x14ac:dyDescent="0.25">
      <c r="A711" s="8"/>
      <c r="B711" s="8"/>
      <c r="C711" s="8"/>
      <c r="D711" s="8"/>
      <c r="E711" s="8"/>
    </row>
    <row r="712" spans="1:5" ht="14.25" customHeight="1" x14ac:dyDescent="0.25">
      <c r="A712" s="8"/>
      <c r="B712" s="8"/>
      <c r="C712" s="8"/>
      <c r="D712" s="8"/>
      <c r="E712" s="8"/>
    </row>
    <row r="713" spans="1:5" ht="14.25" customHeight="1" x14ac:dyDescent="0.25">
      <c r="A713" s="8"/>
      <c r="B713" s="8"/>
      <c r="C713" s="8"/>
      <c r="D713" s="8"/>
      <c r="E713" s="8"/>
    </row>
    <row r="714" spans="1:5" ht="14.25" customHeight="1" x14ac:dyDescent="0.25">
      <c r="A714" s="8"/>
      <c r="B714" s="8"/>
      <c r="C714" s="8"/>
      <c r="D714" s="8"/>
      <c r="E714" s="8"/>
    </row>
    <row r="715" spans="1:5" ht="14.25" customHeight="1" x14ac:dyDescent="0.25">
      <c r="A715" s="8"/>
      <c r="B715" s="8"/>
      <c r="C715" s="8"/>
      <c r="D715" s="8"/>
      <c r="E715" s="8"/>
    </row>
    <row r="716" spans="1:5" ht="14.25" customHeight="1" x14ac:dyDescent="0.25">
      <c r="A716" s="8"/>
      <c r="B716" s="8"/>
      <c r="C716" s="8"/>
      <c r="D716" s="8"/>
      <c r="E716" s="8"/>
    </row>
    <row r="717" spans="1:5" ht="14.25" customHeight="1" x14ac:dyDescent="0.25">
      <c r="A717" s="8"/>
      <c r="B717" s="8"/>
      <c r="C717" s="8"/>
      <c r="D717" s="8"/>
      <c r="E717" s="8"/>
    </row>
    <row r="718" spans="1:5" ht="14.25" customHeight="1" x14ac:dyDescent="0.25">
      <c r="A718" s="8"/>
      <c r="B718" s="8"/>
      <c r="C718" s="8"/>
      <c r="D718" s="8"/>
      <c r="E718" s="8"/>
    </row>
    <row r="719" spans="1:5" ht="14.25" customHeight="1" x14ac:dyDescent="0.25">
      <c r="A719" s="8"/>
      <c r="B719" s="8"/>
      <c r="C719" s="8"/>
      <c r="D719" s="8"/>
      <c r="E719" s="8"/>
    </row>
    <row r="720" spans="1:5" ht="14.25" customHeight="1" x14ac:dyDescent="0.25">
      <c r="A720" s="8"/>
      <c r="B720" s="8"/>
      <c r="C720" s="8"/>
      <c r="D720" s="8"/>
      <c r="E720" s="8"/>
    </row>
    <row r="721" spans="1:5" ht="14.25" customHeight="1" x14ac:dyDescent="0.25">
      <c r="A721" s="8"/>
      <c r="B721" s="8"/>
      <c r="C721" s="8"/>
      <c r="D721" s="8"/>
      <c r="E721" s="8"/>
    </row>
    <row r="722" spans="1:5" ht="14.25" customHeight="1" x14ac:dyDescent="0.25">
      <c r="A722" s="8"/>
      <c r="B722" s="8"/>
      <c r="C722" s="8"/>
      <c r="D722" s="8"/>
      <c r="E722" s="8"/>
    </row>
    <row r="723" spans="1:5" ht="14.25" customHeight="1" x14ac:dyDescent="0.25">
      <c r="A723" s="8"/>
      <c r="B723" s="8"/>
      <c r="C723" s="8"/>
      <c r="D723" s="8"/>
      <c r="E723" s="8"/>
    </row>
    <row r="724" spans="1:5" ht="14.25" customHeight="1" x14ac:dyDescent="0.25">
      <c r="A724" s="8"/>
      <c r="B724" s="8"/>
      <c r="C724" s="8"/>
      <c r="D724" s="8"/>
      <c r="E724" s="8"/>
    </row>
    <row r="725" spans="1:5" ht="14.25" customHeight="1" x14ac:dyDescent="0.25">
      <c r="A725" s="8"/>
      <c r="B725" s="8"/>
      <c r="C725" s="8"/>
      <c r="D725" s="8"/>
      <c r="E725" s="8"/>
    </row>
    <row r="726" spans="1:5" ht="14.25" customHeight="1" x14ac:dyDescent="0.25">
      <c r="A726" s="8"/>
      <c r="B726" s="8"/>
      <c r="C726" s="8"/>
      <c r="D726" s="8"/>
      <c r="E726" s="8"/>
    </row>
    <row r="727" spans="1:5" ht="14.25" customHeight="1" x14ac:dyDescent="0.25">
      <c r="A727" s="8"/>
      <c r="B727" s="8"/>
      <c r="C727" s="8"/>
      <c r="D727" s="8"/>
      <c r="E727" s="8"/>
    </row>
    <row r="728" spans="1:5" ht="14.25" customHeight="1" x14ac:dyDescent="0.25">
      <c r="A728" s="8"/>
      <c r="B728" s="8"/>
      <c r="C728" s="8"/>
      <c r="D728" s="8"/>
      <c r="E728" s="8"/>
    </row>
    <row r="729" spans="1:5" ht="14.25" customHeight="1" x14ac:dyDescent="0.25">
      <c r="A729" s="8"/>
      <c r="B729" s="8"/>
      <c r="C729" s="8"/>
      <c r="D729" s="8"/>
      <c r="E729" s="8"/>
    </row>
    <row r="730" spans="1:5" ht="14.25" customHeight="1" x14ac:dyDescent="0.25">
      <c r="A730" s="8"/>
      <c r="B730" s="8"/>
      <c r="C730" s="8"/>
      <c r="D730" s="8"/>
      <c r="E730" s="8"/>
    </row>
    <row r="731" spans="1:5" ht="14.25" customHeight="1" x14ac:dyDescent="0.25">
      <c r="A731" s="8"/>
      <c r="B731" s="8"/>
      <c r="C731" s="8"/>
      <c r="D731" s="8"/>
      <c r="E731" s="8"/>
    </row>
    <row r="732" spans="1:5" ht="14.25" customHeight="1" x14ac:dyDescent="0.25">
      <c r="A732" s="8"/>
      <c r="B732" s="8"/>
      <c r="C732" s="8"/>
      <c r="D732" s="8"/>
      <c r="E732" s="8"/>
    </row>
    <row r="733" spans="1:5" ht="14.25" customHeight="1" x14ac:dyDescent="0.25">
      <c r="A733" s="8"/>
      <c r="B733" s="8"/>
      <c r="C733" s="8"/>
      <c r="D733" s="8"/>
      <c r="E733" s="8"/>
    </row>
    <row r="734" spans="1:5" ht="14.25" customHeight="1" x14ac:dyDescent="0.25">
      <c r="A734" s="8"/>
      <c r="B734" s="8"/>
      <c r="C734" s="8"/>
      <c r="D734" s="8"/>
      <c r="E734" s="8"/>
    </row>
    <row r="735" spans="1:5" ht="14.25" customHeight="1" x14ac:dyDescent="0.25">
      <c r="A735" s="8"/>
      <c r="B735" s="8"/>
      <c r="C735" s="8"/>
      <c r="D735" s="8"/>
      <c r="E735" s="8"/>
    </row>
    <row r="736" spans="1:5" ht="14.25" customHeight="1" x14ac:dyDescent="0.25">
      <c r="A736" s="8"/>
      <c r="B736" s="8"/>
      <c r="C736" s="8"/>
      <c r="D736" s="8"/>
      <c r="E736" s="8"/>
    </row>
    <row r="737" spans="1:5" ht="14.25" customHeight="1" x14ac:dyDescent="0.25">
      <c r="A737" s="8"/>
      <c r="B737" s="8"/>
      <c r="C737" s="8"/>
      <c r="D737" s="8"/>
      <c r="E737" s="8"/>
    </row>
    <row r="738" spans="1:5" ht="14.25" customHeight="1" x14ac:dyDescent="0.25">
      <c r="A738" s="8"/>
      <c r="B738" s="8"/>
      <c r="C738" s="8"/>
      <c r="D738" s="8"/>
      <c r="E738" s="8"/>
    </row>
    <row r="739" spans="1:5" ht="14.25" customHeight="1" x14ac:dyDescent="0.25">
      <c r="A739" s="8"/>
      <c r="B739" s="8"/>
      <c r="C739" s="8"/>
      <c r="D739" s="8"/>
      <c r="E739" s="8"/>
    </row>
    <row r="740" spans="1:5" ht="14.25" customHeight="1" x14ac:dyDescent="0.25">
      <c r="A740" s="8"/>
      <c r="B740" s="8"/>
      <c r="C740" s="8"/>
      <c r="D740" s="8"/>
      <c r="E740" s="8"/>
    </row>
    <row r="741" spans="1:5" ht="14.25" customHeight="1" x14ac:dyDescent="0.25">
      <c r="A741" s="8"/>
      <c r="B741" s="8"/>
      <c r="C741" s="8"/>
      <c r="D741" s="8"/>
      <c r="E741" s="8"/>
    </row>
    <row r="742" spans="1:5" ht="14.25" customHeight="1" x14ac:dyDescent="0.25">
      <c r="A742" s="8"/>
      <c r="B742" s="8"/>
      <c r="C742" s="8"/>
      <c r="D742" s="8"/>
      <c r="E742" s="8"/>
    </row>
    <row r="743" spans="1:5" ht="14.25" customHeight="1" x14ac:dyDescent="0.25">
      <c r="A743" s="8"/>
      <c r="B743" s="8"/>
      <c r="C743" s="8"/>
      <c r="D743" s="8"/>
      <c r="E743" s="8"/>
    </row>
    <row r="744" spans="1:5" ht="14.25" customHeight="1" x14ac:dyDescent="0.25">
      <c r="A744" s="8"/>
      <c r="B744" s="8"/>
      <c r="C744" s="8"/>
      <c r="D744" s="8"/>
      <c r="E744" s="8"/>
    </row>
    <row r="745" spans="1:5" ht="14.25" customHeight="1" x14ac:dyDescent="0.25">
      <c r="A745" s="8"/>
      <c r="B745" s="8"/>
      <c r="C745" s="8"/>
      <c r="D745" s="8"/>
      <c r="E745" s="8"/>
    </row>
    <row r="746" spans="1:5" ht="14.25" customHeight="1" x14ac:dyDescent="0.25">
      <c r="A746" s="8"/>
      <c r="B746" s="8"/>
      <c r="C746" s="8"/>
      <c r="D746" s="8"/>
      <c r="E746" s="8"/>
    </row>
    <row r="747" spans="1:5" ht="14.25" customHeight="1" x14ac:dyDescent="0.25">
      <c r="A747" s="8"/>
      <c r="B747" s="8"/>
      <c r="C747" s="8"/>
      <c r="D747" s="8"/>
      <c r="E747" s="8"/>
    </row>
    <row r="748" spans="1:5" ht="14.25" customHeight="1" x14ac:dyDescent="0.25">
      <c r="A748" s="8"/>
      <c r="B748" s="8"/>
      <c r="C748" s="8"/>
      <c r="D748" s="8"/>
      <c r="E748" s="8"/>
    </row>
    <row r="749" spans="1:5" ht="14.25" customHeight="1" x14ac:dyDescent="0.25">
      <c r="A749" s="8"/>
      <c r="B749" s="8"/>
      <c r="C749" s="8"/>
      <c r="D749" s="8"/>
      <c r="E749" s="8"/>
    </row>
    <row r="750" spans="1:5" ht="14.25" customHeight="1" x14ac:dyDescent="0.25">
      <c r="A750" s="8"/>
      <c r="B750" s="8"/>
      <c r="C750" s="8"/>
      <c r="D750" s="8"/>
      <c r="E750" s="8"/>
    </row>
    <row r="751" spans="1:5" ht="14.25" customHeight="1" x14ac:dyDescent="0.25">
      <c r="A751" s="8"/>
      <c r="B751" s="8"/>
      <c r="C751" s="8"/>
      <c r="D751" s="8"/>
      <c r="E751" s="8"/>
    </row>
    <row r="752" spans="1:5" ht="14.25" customHeight="1" x14ac:dyDescent="0.25">
      <c r="A752" s="8"/>
      <c r="B752" s="8"/>
      <c r="C752" s="8"/>
      <c r="D752" s="8"/>
      <c r="E752" s="8"/>
    </row>
    <row r="753" spans="1:5" ht="14.25" customHeight="1" x14ac:dyDescent="0.25">
      <c r="A753" s="8"/>
      <c r="B753" s="8"/>
      <c r="C753" s="8"/>
      <c r="D753" s="8"/>
      <c r="E753" s="8"/>
    </row>
    <row r="754" spans="1:5" ht="14.25" customHeight="1" x14ac:dyDescent="0.25">
      <c r="A754" s="8"/>
      <c r="B754" s="8"/>
      <c r="C754" s="8"/>
      <c r="D754" s="8"/>
      <c r="E754" s="8"/>
    </row>
    <row r="755" spans="1:5" ht="14.25" customHeight="1" x14ac:dyDescent="0.25">
      <c r="A755" s="8"/>
      <c r="B755" s="8"/>
      <c r="C755" s="8"/>
      <c r="D755" s="8"/>
      <c r="E755" s="8"/>
    </row>
    <row r="756" spans="1:5" ht="14.25" customHeight="1" x14ac:dyDescent="0.25">
      <c r="A756" s="8"/>
      <c r="B756" s="8"/>
      <c r="C756" s="8"/>
      <c r="D756" s="8"/>
      <c r="E756" s="8"/>
    </row>
    <row r="757" spans="1:5" ht="14.25" customHeight="1" x14ac:dyDescent="0.25">
      <c r="A757" s="8"/>
      <c r="B757" s="8"/>
      <c r="C757" s="8"/>
      <c r="D757" s="8"/>
      <c r="E757" s="8"/>
    </row>
    <row r="758" spans="1:5" ht="14.25" customHeight="1" x14ac:dyDescent="0.25">
      <c r="A758" s="8"/>
      <c r="B758" s="8"/>
      <c r="C758" s="8"/>
      <c r="D758" s="8"/>
      <c r="E758" s="8"/>
    </row>
    <row r="759" spans="1:5" ht="14.25" customHeight="1" x14ac:dyDescent="0.25">
      <c r="A759" s="8"/>
      <c r="B759" s="8"/>
      <c r="C759" s="8"/>
      <c r="D759" s="8"/>
      <c r="E759" s="8"/>
    </row>
    <row r="760" spans="1:5" ht="14.25" customHeight="1" x14ac:dyDescent="0.25">
      <c r="A760" s="8"/>
      <c r="B760" s="8"/>
      <c r="C760" s="8"/>
      <c r="D760" s="8"/>
      <c r="E760" s="8"/>
    </row>
    <row r="761" spans="1:5" ht="14.25" customHeight="1" x14ac:dyDescent="0.25">
      <c r="A761" s="8"/>
      <c r="B761" s="8"/>
      <c r="C761" s="8"/>
      <c r="D761" s="8"/>
      <c r="E761" s="8"/>
    </row>
    <row r="762" spans="1:5" ht="14.25" customHeight="1" x14ac:dyDescent="0.25">
      <c r="A762" s="8"/>
      <c r="B762" s="8"/>
      <c r="C762" s="8"/>
      <c r="D762" s="8"/>
      <c r="E762" s="8"/>
    </row>
    <row r="763" spans="1:5" ht="14.25" customHeight="1" x14ac:dyDescent="0.25">
      <c r="A763" s="8"/>
      <c r="B763" s="8"/>
      <c r="C763" s="8"/>
      <c r="D763" s="8"/>
      <c r="E763" s="8"/>
    </row>
    <row r="764" spans="1:5" ht="14.25" customHeight="1" x14ac:dyDescent="0.25">
      <c r="A764" s="8"/>
      <c r="B764" s="8"/>
      <c r="C764" s="8"/>
      <c r="D764" s="8"/>
      <c r="E764" s="8"/>
    </row>
    <row r="765" spans="1:5" ht="14.25" customHeight="1" x14ac:dyDescent="0.25">
      <c r="A765" s="8"/>
      <c r="B765" s="8"/>
      <c r="C765" s="8"/>
      <c r="D765" s="8"/>
      <c r="E765" s="8"/>
    </row>
    <row r="766" spans="1:5" ht="14.25" customHeight="1" x14ac:dyDescent="0.25">
      <c r="A766" s="8"/>
      <c r="B766" s="8"/>
      <c r="C766" s="8"/>
      <c r="D766" s="8"/>
      <c r="E766" s="8"/>
    </row>
    <row r="767" spans="1:5" ht="14.25" customHeight="1" x14ac:dyDescent="0.25">
      <c r="A767" s="8"/>
      <c r="B767" s="8"/>
      <c r="C767" s="8"/>
      <c r="D767" s="8"/>
      <c r="E767" s="8"/>
    </row>
    <row r="768" spans="1:5" ht="14.25" customHeight="1" x14ac:dyDescent="0.25">
      <c r="A768" s="8"/>
      <c r="B768" s="8"/>
      <c r="C768" s="8"/>
      <c r="D768" s="8"/>
      <c r="E768" s="8"/>
    </row>
    <row r="769" spans="1:5" ht="14.25" customHeight="1" x14ac:dyDescent="0.25">
      <c r="A769" s="8"/>
      <c r="B769" s="8"/>
      <c r="C769" s="8"/>
      <c r="D769" s="8"/>
      <c r="E769" s="8"/>
    </row>
    <row r="770" spans="1:5" ht="14.25" customHeight="1" x14ac:dyDescent="0.25">
      <c r="A770" s="8"/>
      <c r="B770" s="8"/>
      <c r="C770" s="8"/>
      <c r="D770" s="8"/>
      <c r="E770" s="8"/>
    </row>
    <row r="771" spans="1:5" ht="14.25" customHeight="1" x14ac:dyDescent="0.25">
      <c r="A771" s="8"/>
      <c r="B771" s="8"/>
      <c r="C771" s="8"/>
      <c r="D771" s="8"/>
      <c r="E771" s="8"/>
    </row>
    <row r="772" spans="1:5" ht="14.25" customHeight="1" x14ac:dyDescent="0.25">
      <c r="A772" s="8"/>
      <c r="B772" s="8"/>
      <c r="C772" s="8"/>
      <c r="D772" s="8"/>
      <c r="E772" s="8"/>
    </row>
    <row r="773" spans="1:5" ht="14.25" customHeight="1" x14ac:dyDescent="0.25">
      <c r="A773" s="8"/>
      <c r="B773" s="8"/>
      <c r="C773" s="8"/>
      <c r="D773" s="8"/>
      <c r="E773" s="8"/>
    </row>
    <row r="774" spans="1:5" ht="14.25" customHeight="1" x14ac:dyDescent="0.25">
      <c r="A774" s="8"/>
      <c r="B774" s="8"/>
      <c r="C774" s="8"/>
      <c r="D774" s="8"/>
      <c r="E774" s="8"/>
    </row>
    <row r="775" spans="1:5" ht="14.25" customHeight="1" x14ac:dyDescent="0.25">
      <c r="A775" s="8"/>
      <c r="B775" s="8"/>
      <c r="C775" s="8"/>
      <c r="D775" s="8"/>
      <c r="E775" s="8"/>
    </row>
    <row r="776" spans="1:5" ht="14.25" customHeight="1" x14ac:dyDescent="0.25">
      <c r="A776" s="8"/>
      <c r="B776" s="8"/>
      <c r="C776" s="8"/>
      <c r="D776" s="8"/>
      <c r="E776" s="8"/>
    </row>
    <row r="777" spans="1:5" ht="14.25" customHeight="1" x14ac:dyDescent="0.25">
      <c r="A777" s="8"/>
      <c r="B777" s="8"/>
      <c r="C777" s="8"/>
      <c r="D777" s="8"/>
      <c r="E777" s="8"/>
    </row>
    <row r="778" spans="1:5" ht="14.25" customHeight="1" x14ac:dyDescent="0.25">
      <c r="A778" s="8"/>
      <c r="B778" s="8"/>
      <c r="C778" s="8"/>
      <c r="D778" s="8"/>
      <c r="E778" s="8"/>
    </row>
    <row r="779" spans="1:5" ht="14.25" customHeight="1" x14ac:dyDescent="0.25">
      <c r="A779" s="8"/>
      <c r="B779" s="8"/>
      <c r="C779" s="8"/>
      <c r="D779" s="8"/>
      <c r="E779" s="8"/>
    </row>
    <row r="780" spans="1:5" ht="14.25" customHeight="1" x14ac:dyDescent="0.25">
      <c r="A780" s="8"/>
      <c r="B780" s="8"/>
      <c r="C780" s="8"/>
      <c r="D780" s="8"/>
      <c r="E780" s="8"/>
    </row>
    <row r="781" spans="1:5" ht="14.25" customHeight="1" x14ac:dyDescent="0.25">
      <c r="A781" s="8"/>
      <c r="B781" s="8"/>
      <c r="C781" s="8"/>
      <c r="D781" s="8"/>
      <c r="E781" s="8"/>
    </row>
    <row r="782" spans="1:5" ht="14.25" customHeight="1" x14ac:dyDescent="0.25">
      <c r="A782" s="8"/>
      <c r="B782" s="8"/>
      <c r="C782" s="8"/>
      <c r="D782" s="8"/>
      <c r="E782" s="8"/>
    </row>
    <row r="783" spans="1:5" ht="14.25" customHeight="1" x14ac:dyDescent="0.25">
      <c r="A783" s="8"/>
      <c r="B783" s="8"/>
      <c r="C783" s="8"/>
      <c r="D783" s="8"/>
      <c r="E783" s="8"/>
    </row>
    <row r="784" spans="1:5" ht="14.25" customHeight="1" x14ac:dyDescent="0.25">
      <c r="A784" s="8"/>
      <c r="B784" s="8"/>
      <c r="C784" s="8"/>
      <c r="D784" s="8"/>
      <c r="E784" s="8"/>
    </row>
    <row r="785" spans="1:5" ht="14.25" customHeight="1" x14ac:dyDescent="0.25">
      <c r="A785" s="8"/>
      <c r="B785" s="8"/>
      <c r="C785" s="8"/>
      <c r="D785" s="8"/>
      <c r="E785" s="8"/>
    </row>
    <row r="786" spans="1:5" ht="14.25" customHeight="1" x14ac:dyDescent="0.25">
      <c r="A786" s="8"/>
      <c r="B786" s="8"/>
      <c r="C786" s="8"/>
      <c r="D786" s="8"/>
      <c r="E786" s="8"/>
    </row>
    <row r="787" spans="1:5" ht="14.25" customHeight="1" x14ac:dyDescent="0.25">
      <c r="A787" s="8"/>
      <c r="B787" s="8"/>
      <c r="C787" s="8"/>
      <c r="D787" s="8"/>
      <c r="E787" s="8"/>
    </row>
    <row r="788" spans="1:5" ht="14.25" customHeight="1" x14ac:dyDescent="0.25">
      <c r="A788" s="8"/>
      <c r="B788" s="8"/>
      <c r="C788" s="8"/>
      <c r="D788" s="8"/>
      <c r="E788" s="8"/>
    </row>
    <row r="789" spans="1:5" ht="14.25" customHeight="1" x14ac:dyDescent="0.25">
      <c r="A789" s="8"/>
      <c r="B789" s="8"/>
      <c r="C789" s="8"/>
      <c r="D789" s="8"/>
      <c r="E789" s="8"/>
    </row>
    <row r="790" spans="1:5" ht="14.25" customHeight="1" x14ac:dyDescent="0.25">
      <c r="A790" s="8"/>
      <c r="B790" s="8"/>
      <c r="C790" s="8"/>
      <c r="D790" s="8"/>
      <c r="E790" s="8"/>
    </row>
    <row r="791" spans="1:5" ht="14.25" customHeight="1" x14ac:dyDescent="0.25">
      <c r="A791" s="8"/>
      <c r="B791" s="8"/>
      <c r="C791" s="8"/>
      <c r="D791" s="8"/>
      <c r="E791" s="8"/>
    </row>
    <row r="792" spans="1:5" ht="14.25" customHeight="1" x14ac:dyDescent="0.25">
      <c r="A792" s="8"/>
      <c r="B792" s="8"/>
      <c r="C792" s="8"/>
      <c r="D792" s="8"/>
      <c r="E792" s="8"/>
    </row>
    <row r="793" spans="1:5" ht="14.25" customHeight="1" x14ac:dyDescent="0.25">
      <c r="A793" s="8"/>
      <c r="B793" s="8"/>
      <c r="C793" s="8"/>
      <c r="D793" s="8"/>
      <c r="E793" s="8"/>
    </row>
    <row r="794" spans="1:5" ht="14.25" customHeight="1" x14ac:dyDescent="0.25">
      <c r="A794" s="8"/>
      <c r="B794" s="8"/>
      <c r="C794" s="8"/>
      <c r="D794" s="8"/>
      <c r="E794" s="8"/>
    </row>
    <row r="795" spans="1:5" ht="14.25" customHeight="1" x14ac:dyDescent="0.25">
      <c r="A795" s="8"/>
      <c r="B795" s="8"/>
      <c r="C795" s="8"/>
      <c r="D795" s="8"/>
      <c r="E795" s="8"/>
    </row>
    <row r="796" spans="1:5" ht="14.25" customHeight="1" x14ac:dyDescent="0.25">
      <c r="A796" s="8"/>
      <c r="B796" s="8"/>
      <c r="C796" s="8"/>
      <c r="D796" s="8"/>
      <c r="E796" s="8"/>
    </row>
    <row r="797" spans="1:5" ht="14.25" customHeight="1" x14ac:dyDescent="0.25">
      <c r="A797" s="8"/>
      <c r="B797" s="8"/>
      <c r="C797" s="8"/>
      <c r="D797" s="8"/>
      <c r="E797" s="8"/>
    </row>
    <row r="798" spans="1:5" ht="14.25" customHeight="1" x14ac:dyDescent="0.25">
      <c r="A798" s="8"/>
      <c r="B798" s="8"/>
      <c r="C798" s="8"/>
      <c r="D798" s="8"/>
      <c r="E798" s="8"/>
    </row>
    <row r="799" spans="1:5" ht="14.25" customHeight="1" x14ac:dyDescent="0.25">
      <c r="A799" s="8"/>
      <c r="B799" s="8"/>
      <c r="C799" s="8"/>
      <c r="D799" s="8"/>
      <c r="E799" s="8"/>
    </row>
    <row r="800" spans="1:5" ht="14.25" customHeight="1" x14ac:dyDescent="0.25">
      <c r="A800" s="8"/>
      <c r="B800" s="8"/>
      <c r="C800" s="8"/>
      <c r="D800" s="8"/>
      <c r="E800" s="8"/>
    </row>
    <row r="801" spans="1:5" ht="14.25" customHeight="1" x14ac:dyDescent="0.25">
      <c r="A801" s="8"/>
      <c r="B801" s="8"/>
      <c r="C801" s="8"/>
      <c r="D801" s="8"/>
      <c r="E801" s="8"/>
    </row>
    <row r="802" spans="1:5" ht="14.25" customHeight="1" x14ac:dyDescent="0.25">
      <c r="A802" s="8"/>
      <c r="B802" s="8"/>
      <c r="C802" s="8"/>
      <c r="D802" s="8"/>
      <c r="E802" s="8"/>
    </row>
    <row r="803" spans="1:5" ht="14.25" customHeight="1" x14ac:dyDescent="0.25">
      <c r="A803" s="8"/>
      <c r="B803" s="8"/>
      <c r="C803" s="8"/>
      <c r="D803" s="8"/>
      <c r="E803" s="8"/>
    </row>
    <row r="804" spans="1:5" ht="14.25" customHeight="1" x14ac:dyDescent="0.25">
      <c r="A804" s="8"/>
      <c r="B804" s="8"/>
      <c r="C804" s="8"/>
      <c r="D804" s="8"/>
      <c r="E804" s="8"/>
    </row>
    <row r="805" spans="1:5" ht="14.25" customHeight="1" x14ac:dyDescent="0.25">
      <c r="A805" s="8"/>
      <c r="B805" s="8"/>
      <c r="C805" s="8"/>
      <c r="D805" s="8"/>
      <c r="E805" s="8"/>
    </row>
    <row r="806" spans="1:5" ht="14.25" customHeight="1" x14ac:dyDescent="0.25">
      <c r="A806" s="8"/>
      <c r="B806" s="8"/>
      <c r="C806" s="8"/>
      <c r="D806" s="8"/>
      <c r="E806" s="8"/>
    </row>
    <row r="807" spans="1:5" ht="14.25" customHeight="1" x14ac:dyDescent="0.25">
      <c r="A807" s="8"/>
      <c r="B807" s="8"/>
      <c r="C807" s="8"/>
      <c r="D807" s="8"/>
      <c r="E807" s="8"/>
    </row>
    <row r="808" spans="1:5" ht="14.25" customHeight="1" x14ac:dyDescent="0.25">
      <c r="A808" s="8"/>
      <c r="B808" s="8"/>
      <c r="C808" s="8"/>
      <c r="D808" s="8"/>
      <c r="E808" s="8"/>
    </row>
    <row r="809" spans="1:5" ht="14.25" customHeight="1" x14ac:dyDescent="0.25">
      <c r="A809" s="8"/>
      <c r="B809" s="8"/>
      <c r="C809" s="8"/>
      <c r="D809" s="8"/>
      <c r="E809" s="8"/>
    </row>
    <row r="810" spans="1:5" ht="14.25" customHeight="1" x14ac:dyDescent="0.25">
      <c r="A810" s="8"/>
      <c r="B810" s="8"/>
      <c r="C810" s="8"/>
      <c r="D810" s="8"/>
      <c r="E810" s="8"/>
    </row>
    <row r="811" spans="1:5" ht="14.25" customHeight="1" x14ac:dyDescent="0.25">
      <c r="A811" s="8"/>
      <c r="B811" s="8"/>
      <c r="C811" s="8"/>
      <c r="D811" s="8"/>
      <c r="E811" s="8"/>
    </row>
    <row r="812" spans="1:5" ht="14.25" customHeight="1" x14ac:dyDescent="0.25">
      <c r="A812" s="8"/>
      <c r="B812" s="8"/>
      <c r="C812" s="8"/>
      <c r="D812" s="8"/>
      <c r="E812" s="8"/>
    </row>
    <row r="813" spans="1:5" ht="14.25" customHeight="1" x14ac:dyDescent="0.25">
      <c r="A813" s="8"/>
      <c r="B813" s="8"/>
      <c r="C813" s="8"/>
      <c r="D813" s="8"/>
      <c r="E813" s="8"/>
    </row>
    <row r="814" spans="1:5" ht="14.25" customHeight="1" x14ac:dyDescent="0.25">
      <c r="A814" s="8"/>
      <c r="B814" s="8"/>
      <c r="C814" s="8"/>
      <c r="D814" s="8"/>
      <c r="E814" s="8"/>
    </row>
    <row r="815" spans="1:5" ht="14.25" customHeight="1" x14ac:dyDescent="0.25">
      <c r="A815" s="8"/>
      <c r="B815" s="8"/>
      <c r="C815" s="8"/>
      <c r="D815" s="8"/>
      <c r="E815" s="8"/>
    </row>
    <row r="816" spans="1:5" ht="14.25" customHeight="1" x14ac:dyDescent="0.25">
      <c r="A816" s="8"/>
      <c r="B816" s="8"/>
      <c r="C816" s="8"/>
      <c r="D816" s="8"/>
      <c r="E816" s="8"/>
    </row>
    <row r="817" spans="1:5" ht="14.25" customHeight="1" x14ac:dyDescent="0.25">
      <c r="A817" s="8"/>
      <c r="B817" s="8"/>
      <c r="C817" s="8"/>
      <c r="D817" s="8"/>
      <c r="E817" s="8"/>
    </row>
    <row r="818" spans="1:5" ht="14.25" customHeight="1" x14ac:dyDescent="0.25">
      <c r="A818" s="8"/>
      <c r="B818" s="8"/>
      <c r="C818" s="8"/>
      <c r="D818" s="8"/>
      <c r="E818" s="8"/>
    </row>
    <row r="819" spans="1:5" ht="14.25" customHeight="1" x14ac:dyDescent="0.25">
      <c r="A819" s="8"/>
      <c r="B819" s="8"/>
      <c r="C819" s="8"/>
      <c r="D819" s="8"/>
      <c r="E819" s="8"/>
    </row>
    <row r="820" spans="1:5" ht="14.25" customHeight="1" x14ac:dyDescent="0.25">
      <c r="A820" s="8"/>
      <c r="B820" s="8"/>
      <c r="C820" s="8"/>
      <c r="D820" s="8"/>
      <c r="E820" s="8"/>
    </row>
    <row r="821" spans="1:5" ht="14.25" customHeight="1" x14ac:dyDescent="0.25">
      <c r="A821" s="8"/>
      <c r="B821" s="8"/>
      <c r="C821" s="8"/>
      <c r="D821" s="8"/>
      <c r="E821" s="8"/>
    </row>
    <row r="822" spans="1:5" ht="14.25" customHeight="1" x14ac:dyDescent="0.25">
      <c r="A822" s="8"/>
      <c r="B822" s="8"/>
      <c r="C822" s="8"/>
      <c r="D822" s="8"/>
      <c r="E822" s="8"/>
    </row>
    <row r="823" spans="1:5" ht="14.25" customHeight="1" x14ac:dyDescent="0.25">
      <c r="A823" s="8"/>
      <c r="B823" s="8"/>
      <c r="C823" s="8"/>
      <c r="D823" s="8"/>
      <c r="E823" s="8"/>
    </row>
    <row r="824" spans="1:5" ht="14.25" customHeight="1" x14ac:dyDescent="0.25">
      <c r="A824" s="8"/>
      <c r="B824" s="8"/>
      <c r="C824" s="8"/>
      <c r="D824" s="8"/>
      <c r="E824" s="8"/>
    </row>
    <row r="825" spans="1:5" ht="14.25" customHeight="1" x14ac:dyDescent="0.25">
      <c r="A825" s="8"/>
      <c r="B825" s="8"/>
      <c r="C825" s="8"/>
      <c r="D825" s="8"/>
      <c r="E825" s="8"/>
    </row>
    <row r="826" spans="1:5" ht="14.25" customHeight="1" x14ac:dyDescent="0.25">
      <c r="A826" s="8"/>
      <c r="B826" s="8"/>
      <c r="C826" s="8"/>
      <c r="D826" s="8"/>
      <c r="E826" s="8"/>
    </row>
    <row r="827" spans="1:5" ht="14.25" customHeight="1" x14ac:dyDescent="0.25">
      <c r="A827" s="8"/>
      <c r="B827" s="8"/>
      <c r="C827" s="8"/>
      <c r="D827" s="8"/>
      <c r="E827" s="8"/>
    </row>
    <row r="828" spans="1:5" ht="14.25" customHeight="1" x14ac:dyDescent="0.25">
      <c r="A828" s="8"/>
      <c r="B828" s="8"/>
      <c r="C828" s="8"/>
      <c r="D828" s="8"/>
      <c r="E828" s="8"/>
    </row>
    <row r="829" spans="1:5" ht="14.25" customHeight="1" x14ac:dyDescent="0.25">
      <c r="A829" s="8"/>
      <c r="B829" s="8"/>
      <c r="C829" s="8"/>
      <c r="D829" s="8"/>
      <c r="E829" s="8"/>
    </row>
    <row r="830" spans="1:5" ht="14.25" customHeight="1" x14ac:dyDescent="0.25">
      <c r="A830" s="8"/>
      <c r="B830" s="8"/>
      <c r="C830" s="8"/>
      <c r="D830" s="8"/>
      <c r="E830" s="8"/>
    </row>
    <row r="831" spans="1:5" ht="14.25" customHeight="1" x14ac:dyDescent="0.25">
      <c r="A831" s="8"/>
      <c r="B831" s="8"/>
      <c r="C831" s="8"/>
      <c r="D831" s="8"/>
      <c r="E831" s="8"/>
    </row>
    <row r="832" spans="1:5" ht="14.25" customHeight="1" x14ac:dyDescent="0.25">
      <c r="A832" s="8"/>
      <c r="B832" s="8"/>
      <c r="C832" s="8"/>
      <c r="D832" s="8"/>
      <c r="E832" s="8"/>
    </row>
    <row r="833" spans="1:5" ht="14.25" customHeight="1" x14ac:dyDescent="0.25">
      <c r="A833" s="8"/>
      <c r="B833" s="8"/>
      <c r="C833" s="8"/>
      <c r="D833" s="8"/>
      <c r="E833" s="8"/>
    </row>
    <row r="834" spans="1:5" ht="14.25" customHeight="1" x14ac:dyDescent="0.25">
      <c r="A834" s="8"/>
      <c r="B834" s="8"/>
      <c r="C834" s="8"/>
      <c r="D834" s="8"/>
      <c r="E834" s="8"/>
    </row>
    <row r="835" spans="1:5" ht="14.25" customHeight="1" x14ac:dyDescent="0.25">
      <c r="A835" s="8"/>
      <c r="B835" s="8"/>
      <c r="C835" s="8"/>
      <c r="D835" s="8"/>
      <c r="E835" s="8"/>
    </row>
    <row r="836" spans="1:5" ht="14.25" customHeight="1" x14ac:dyDescent="0.25">
      <c r="A836" s="8"/>
      <c r="B836" s="8"/>
      <c r="C836" s="8"/>
      <c r="D836" s="8"/>
      <c r="E836" s="8"/>
    </row>
    <row r="837" spans="1:5" ht="14.25" customHeight="1" x14ac:dyDescent="0.25">
      <c r="A837" s="8"/>
      <c r="B837" s="8"/>
      <c r="C837" s="8"/>
      <c r="D837" s="8"/>
      <c r="E837" s="8"/>
    </row>
    <row r="838" spans="1:5" ht="14.25" customHeight="1" x14ac:dyDescent="0.25">
      <c r="A838" s="8"/>
      <c r="B838" s="8"/>
      <c r="C838" s="8"/>
      <c r="D838" s="8"/>
      <c r="E838" s="8"/>
    </row>
    <row r="839" spans="1:5" ht="14.25" customHeight="1" x14ac:dyDescent="0.25">
      <c r="A839" s="8"/>
      <c r="B839" s="8"/>
      <c r="C839" s="8"/>
      <c r="D839" s="8"/>
      <c r="E839" s="8"/>
    </row>
    <row r="840" spans="1:5" ht="14.25" customHeight="1" x14ac:dyDescent="0.25">
      <c r="A840" s="8"/>
      <c r="B840" s="8"/>
      <c r="C840" s="8"/>
      <c r="D840" s="8"/>
      <c r="E840" s="8"/>
    </row>
    <row r="841" spans="1:5" ht="14.25" customHeight="1" x14ac:dyDescent="0.25">
      <c r="A841" s="8"/>
      <c r="B841" s="8"/>
      <c r="C841" s="8"/>
      <c r="D841" s="8"/>
      <c r="E841" s="8"/>
    </row>
    <row r="842" spans="1:5" ht="14.25" customHeight="1" x14ac:dyDescent="0.25">
      <c r="A842" s="8"/>
      <c r="B842" s="8"/>
      <c r="C842" s="8"/>
      <c r="D842" s="8"/>
      <c r="E842" s="8"/>
    </row>
    <row r="843" spans="1:5" ht="14.25" customHeight="1" x14ac:dyDescent="0.25">
      <c r="A843" s="8"/>
      <c r="B843" s="8"/>
      <c r="C843" s="8"/>
      <c r="D843" s="8"/>
      <c r="E843" s="8"/>
    </row>
    <row r="844" spans="1:5" ht="14.25" customHeight="1" x14ac:dyDescent="0.25">
      <c r="A844" s="8"/>
      <c r="B844" s="8"/>
      <c r="C844" s="8"/>
      <c r="D844" s="8"/>
      <c r="E844" s="8"/>
    </row>
    <row r="845" spans="1:5" ht="14.25" customHeight="1" x14ac:dyDescent="0.25">
      <c r="A845" s="8"/>
      <c r="B845" s="8"/>
      <c r="C845" s="8"/>
      <c r="D845" s="8"/>
      <c r="E845" s="8"/>
    </row>
    <row r="846" spans="1:5" ht="14.25" customHeight="1" x14ac:dyDescent="0.25">
      <c r="A846" s="8"/>
      <c r="B846" s="8"/>
      <c r="C846" s="8"/>
      <c r="D846" s="8"/>
      <c r="E846" s="8"/>
    </row>
    <row r="847" spans="1:5" ht="14.25" customHeight="1" x14ac:dyDescent="0.25">
      <c r="A847" s="8"/>
      <c r="B847" s="8"/>
      <c r="C847" s="8"/>
      <c r="D847" s="8"/>
      <c r="E847" s="8"/>
    </row>
    <row r="848" spans="1:5" ht="14.25" customHeight="1" x14ac:dyDescent="0.25">
      <c r="A848" s="8"/>
      <c r="B848" s="8"/>
      <c r="C848" s="8"/>
      <c r="D848" s="8"/>
      <c r="E848" s="8"/>
    </row>
    <row r="849" spans="1:5" ht="14.25" customHeight="1" x14ac:dyDescent="0.25">
      <c r="A849" s="8"/>
      <c r="B849" s="8"/>
      <c r="C849" s="8"/>
      <c r="D849" s="8"/>
      <c r="E849" s="8"/>
    </row>
    <row r="850" spans="1:5" ht="14.25" customHeight="1" x14ac:dyDescent="0.25">
      <c r="A850" s="8"/>
      <c r="B850" s="8"/>
      <c r="C850" s="8"/>
      <c r="D850" s="8"/>
      <c r="E850" s="8"/>
    </row>
    <row r="851" spans="1:5" ht="14.25" customHeight="1" x14ac:dyDescent="0.25">
      <c r="A851" s="8"/>
      <c r="B851" s="8"/>
      <c r="C851" s="8"/>
      <c r="D851" s="8"/>
      <c r="E851" s="8"/>
    </row>
    <row r="852" spans="1:5" ht="14.25" customHeight="1" x14ac:dyDescent="0.25">
      <c r="A852" s="8"/>
      <c r="B852" s="8"/>
      <c r="C852" s="8"/>
      <c r="D852" s="8"/>
      <c r="E852" s="8"/>
    </row>
    <row r="853" spans="1:5" ht="14.25" customHeight="1" x14ac:dyDescent="0.25">
      <c r="A853" s="8"/>
      <c r="B853" s="8"/>
      <c r="C853" s="8"/>
      <c r="D853" s="8"/>
      <c r="E853" s="8"/>
    </row>
    <row r="854" spans="1:5" ht="14.25" customHeight="1" x14ac:dyDescent="0.25">
      <c r="A854" s="8"/>
      <c r="B854" s="8"/>
      <c r="C854" s="8"/>
      <c r="D854" s="8"/>
      <c r="E854" s="8"/>
    </row>
    <row r="855" spans="1:5" ht="14.25" customHeight="1" x14ac:dyDescent="0.25">
      <c r="A855" s="8"/>
      <c r="B855" s="8"/>
      <c r="C855" s="8"/>
      <c r="D855" s="8"/>
      <c r="E855" s="8"/>
    </row>
    <row r="856" spans="1:5" ht="14.25" customHeight="1" x14ac:dyDescent="0.25">
      <c r="A856" s="8"/>
      <c r="B856" s="8"/>
      <c r="C856" s="8"/>
      <c r="D856" s="8"/>
      <c r="E856" s="8"/>
    </row>
    <row r="857" spans="1:5" ht="14.25" customHeight="1" x14ac:dyDescent="0.25">
      <c r="A857" s="8"/>
      <c r="B857" s="8"/>
      <c r="C857" s="8"/>
      <c r="D857" s="8"/>
      <c r="E857" s="8"/>
    </row>
    <row r="858" spans="1:5" ht="14.25" customHeight="1" x14ac:dyDescent="0.25">
      <c r="A858" s="8"/>
      <c r="B858" s="8"/>
      <c r="C858" s="8"/>
      <c r="D858" s="8"/>
      <c r="E858" s="8"/>
    </row>
    <row r="859" spans="1:5" ht="14.25" customHeight="1" x14ac:dyDescent="0.25">
      <c r="A859" s="8"/>
      <c r="B859" s="8"/>
      <c r="C859" s="8"/>
      <c r="D859" s="8"/>
      <c r="E859" s="8"/>
    </row>
    <row r="860" spans="1:5" ht="14.25" customHeight="1" x14ac:dyDescent="0.25">
      <c r="A860" s="8"/>
      <c r="B860" s="8"/>
      <c r="C860" s="8"/>
      <c r="D860" s="8"/>
      <c r="E860" s="8"/>
    </row>
    <row r="861" spans="1:5" ht="14.25" customHeight="1" x14ac:dyDescent="0.25">
      <c r="A861" s="8"/>
      <c r="B861" s="8"/>
      <c r="C861" s="8"/>
      <c r="D861" s="8"/>
      <c r="E861" s="8"/>
    </row>
    <row r="862" spans="1:5" ht="14.25" customHeight="1" x14ac:dyDescent="0.25">
      <c r="A862" s="8"/>
      <c r="B862" s="8"/>
      <c r="C862" s="8"/>
      <c r="D862" s="8"/>
      <c r="E862" s="8"/>
    </row>
    <row r="863" spans="1:5" ht="14.25" customHeight="1" x14ac:dyDescent="0.25">
      <c r="A863" s="8"/>
      <c r="B863" s="8"/>
      <c r="C863" s="8"/>
      <c r="D863" s="8"/>
      <c r="E863" s="8"/>
    </row>
    <row r="864" spans="1:5" ht="14.25" customHeight="1" x14ac:dyDescent="0.25">
      <c r="A864" s="8"/>
      <c r="B864" s="8"/>
      <c r="C864" s="8"/>
      <c r="D864" s="8"/>
      <c r="E864" s="8"/>
    </row>
    <row r="865" spans="1:5" ht="14.25" customHeight="1" x14ac:dyDescent="0.25">
      <c r="A865" s="8"/>
      <c r="B865" s="8"/>
      <c r="C865" s="8"/>
      <c r="D865" s="8"/>
      <c r="E865" s="8"/>
    </row>
    <row r="866" spans="1:5" ht="14.25" customHeight="1" x14ac:dyDescent="0.25">
      <c r="A866" s="8"/>
      <c r="B866" s="8"/>
      <c r="C866" s="8"/>
      <c r="D866" s="8"/>
      <c r="E866" s="8"/>
    </row>
    <row r="867" spans="1:5" ht="14.25" customHeight="1" x14ac:dyDescent="0.25">
      <c r="A867" s="8"/>
      <c r="B867" s="8"/>
      <c r="C867" s="8"/>
      <c r="D867" s="8"/>
      <c r="E867" s="8"/>
    </row>
    <row r="868" spans="1:5" ht="14.25" customHeight="1" x14ac:dyDescent="0.25">
      <c r="A868" s="8"/>
      <c r="B868" s="8"/>
      <c r="C868" s="8"/>
      <c r="D868" s="8"/>
      <c r="E868" s="8"/>
    </row>
    <row r="869" spans="1:5" ht="14.25" customHeight="1" x14ac:dyDescent="0.25">
      <c r="A869" s="8"/>
      <c r="B869" s="8"/>
      <c r="C869" s="8"/>
      <c r="D869" s="8"/>
      <c r="E869" s="8"/>
    </row>
    <row r="870" spans="1:5" ht="14.25" customHeight="1" x14ac:dyDescent="0.25">
      <c r="A870" s="8"/>
      <c r="B870" s="8"/>
      <c r="C870" s="8"/>
      <c r="D870" s="8"/>
      <c r="E870" s="8"/>
    </row>
    <row r="871" spans="1:5" ht="14.25" customHeight="1" x14ac:dyDescent="0.25">
      <c r="A871" s="8"/>
      <c r="B871" s="8"/>
      <c r="C871" s="8"/>
      <c r="D871" s="8"/>
      <c r="E871" s="8"/>
    </row>
    <row r="872" spans="1:5" ht="14.25" customHeight="1" x14ac:dyDescent="0.25">
      <c r="A872" s="8"/>
      <c r="B872" s="8"/>
      <c r="C872" s="8"/>
      <c r="D872" s="8"/>
      <c r="E872" s="8"/>
    </row>
    <row r="873" spans="1:5" ht="14.25" customHeight="1" x14ac:dyDescent="0.25">
      <c r="A873" s="8"/>
      <c r="B873" s="8"/>
      <c r="C873" s="8"/>
      <c r="D873" s="8"/>
      <c r="E873" s="8"/>
    </row>
    <row r="874" spans="1:5" ht="14.25" customHeight="1" x14ac:dyDescent="0.25">
      <c r="A874" s="8"/>
      <c r="B874" s="8"/>
      <c r="C874" s="8"/>
      <c r="D874" s="8"/>
      <c r="E874" s="8"/>
    </row>
    <row r="875" spans="1:5" ht="14.25" customHeight="1" x14ac:dyDescent="0.25">
      <c r="A875" s="8"/>
      <c r="B875" s="8"/>
      <c r="C875" s="8"/>
      <c r="D875" s="8"/>
      <c r="E875" s="8"/>
    </row>
    <row r="876" spans="1:5" ht="14.25" customHeight="1" x14ac:dyDescent="0.25">
      <c r="A876" s="8"/>
      <c r="B876" s="8"/>
      <c r="C876" s="8"/>
      <c r="D876" s="8"/>
      <c r="E876" s="8"/>
    </row>
    <row r="877" spans="1:5" ht="14.25" customHeight="1" x14ac:dyDescent="0.25">
      <c r="A877" s="8"/>
      <c r="B877" s="8"/>
      <c r="C877" s="8"/>
      <c r="D877" s="8"/>
      <c r="E877" s="8"/>
    </row>
    <row r="878" spans="1:5" ht="14.25" customHeight="1" x14ac:dyDescent="0.25">
      <c r="A878" s="8"/>
      <c r="B878" s="8"/>
      <c r="C878" s="8"/>
      <c r="D878" s="8"/>
      <c r="E878" s="8"/>
    </row>
    <row r="879" spans="1:5" ht="14.25" customHeight="1" x14ac:dyDescent="0.25">
      <c r="A879" s="8"/>
      <c r="B879" s="8"/>
      <c r="C879" s="8"/>
      <c r="D879" s="8"/>
      <c r="E879" s="8"/>
    </row>
    <row r="880" spans="1:5" ht="14.25" customHeight="1" x14ac:dyDescent="0.25">
      <c r="A880" s="8"/>
      <c r="B880" s="8"/>
      <c r="C880" s="8"/>
      <c r="D880" s="8"/>
      <c r="E880" s="8"/>
    </row>
    <row r="881" spans="1:5" ht="14.25" customHeight="1" x14ac:dyDescent="0.25">
      <c r="A881" s="8"/>
      <c r="B881" s="8"/>
      <c r="C881" s="8"/>
      <c r="D881" s="8"/>
      <c r="E881" s="8"/>
    </row>
    <row r="882" spans="1:5" ht="14.25" customHeight="1" x14ac:dyDescent="0.25">
      <c r="A882" s="8"/>
      <c r="B882" s="8"/>
      <c r="C882" s="8"/>
      <c r="D882" s="8"/>
      <c r="E882" s="8"/>
    </row>
    <row r="883" spans="1:5" ht="14.25" customHeight="1" x14ac:dyDescent="0.25">
      <c r="A883" s="8"/>
      <c r="B883" s="8"/>
      <c r="C883" s="8"/>
      <c r="D883" s="8"/>
      <c r="E883" s="8"/>
    </row>
    <row r="884" spans="1:5" ht="14.25" customHeight="1" x14ac:dyDescent="0.25">
      <c r="A884" s="8"/>
      <c r="B884" s="8"/>
      <c r="C884" s="8"/>
      <c r="D884" s="8"/>
      <c r="E884" s="8"/>
    </row>
    <row r="885" spans="1:5" ht="14.25" customHeight="1" x14ac:dyDescent="0.25">
      <c r="A885" s="8"/>
      <c r="B885" s="8"/>
      <c r="C885" s="8"/>
      <c r="D885" s="8"/>
      <c r="E885" s="8"/>
    </row>
    <row r="886" spans="1:5" ht="14.25" customHeight="1" x14ac:dyDescent="0.25">
      <c r="A886" s="8"/>
      <c r="B886" s="8"/>
      <c r="C886" s="8"/>
      <c r="D886" s="8"/>
      <c r="E886" s="8"/>
    </row>
    <row r="887" spans="1:5" ht="14.25" customHeight="1" x14ac:dyDescent="0.25">
      <c r="A887" s="8"/>
      <c r="B887" s="8"/>
      <c r="C887" s="8"/>
      <c r="D887" s="8"/>
      <c r="E887" s="8"/>
    </row>
    <row r="888" spans="1:5" ht="14.25" customHeight="1" x14ac:dyDescent="0.25">
      <c r="A888" s="8"/>
      <c r="B888" s="8"/>
      <c r="C888" s="8"/>
      <c r="D888" s="8"/>
      <c r="E888" s="8"/>
    </row>
    <row r="889" spans="1:5" ht="14.25" customHeight="1" x14ac:dyDescent="0.25">
      <c r="A889" s="8"/>
      <c r="B889" s="8"/>
      <c r="C889" s="8"/>
      <c r="D889" s="8"/>
      <c r="E889" s="8"/>
    </row>
    <row r="890" spans="1:5" ht="14.25" customHeight="1" x14ac:dyDescent="0.25">
      <c r="A890" s="8"/>
      <c r="B890" s="8"/>
      <c r="C890" s="8"/>
      <c r="D890" s="8"/>
      <c r="E890" s="8"/>
    </row>
    <row r="891" spans="1:5" ht="14.25" customHeight="1" x14ac:dyDescent="0.25">
      <c r="A891" s="8"/>
      <c r="B891" s="8"/>
      <c r="C891" s="8"/>
      <c r="D891" s="8"/>
      <c r="E891" s="8"/>
    </row>
    <row r="892" spans="1:5" ht="14.25" customHeight="1" x14ac:dyDescent="0.25">
      <c r="A892" s="8"/>
      <c r="B892" s="8"/>
      <c r="C892" s="8"/>
      <c r="D892" s="8"/>
      <c r="E892" s="8"/>
    </row>
    <row r="893" spans="1:5" ht="14.25" customHeight="1" x14ac:dyDescent="0.25">
      <c r="A893" s="8"/>
      <c r="B893" s="8"/>
      <c r="C893" s="8"/>
      <c r="D893" s="8"/>
      <c r="E893" s="8"/>
    </row>
    <row r="894" spans="1:5" ht="14.25" customHeight="1" x14ac:dyDescent="0.25">
      <c r="A894" s="8"/>
      <c r="B894" s="8"/>
      <c r="C894" s="8"/>
      <c r="D894" s="8"/>
      <c r="E894" s="8"/>
    </row>
    <row r="895" spans="1:5" ht="14.25" customHeight="1" x14ac:dyDescent="0.25">
      <c r="A895" s="8"/>
      <c r="B895" s="8"/>
      <c r="C895" s="8"/>
      <c r="D895" s="8"/>
      <c r="E895" s="8"/>
    </row>
    <row r="896" spans="1:5" ht="14.25" customHeight="1" x14ac:dyDescent="0.25">
      <c r="A896" s="8"/>
      <c r="B896" s="8"/>
      <c r="C896" s="8"/>
      <c r="D896" s="8"/>
      <c r="E896" s="8"/>
    </row>
    <row r="897" spans="1:5" ht="14.25" customHeight="1" x14ac:dyDescent="0.25">
      <c r="A897" s="8"/>
      <c r="B897" s="8"/>
      <c r="C897" s="8"/>
      <c r="D897" s="8"/>
      <c r="E897" s="8"/>
    </row>
    <row r="898" spans="1:5" ht="14.25" customHeight="1" x14ac:dyDescent="0.25">
      <c r="A898" s="8"/>
      <c r="B898" s="8"/>
      <c r="C898" s="8"/>
      <c r="D898" s="8"/>
      <c r="E898" s="8"/>
    </row>
    <row r="899" spans="1:5" ht="14.25" customHeight="1" x14ac:dyDescent="0.25">
      <c r="A899" s="8"/>
      <c r="B899" s="8"/>
      <c r="C899" s="8"/>
      <c r="D899" s="8"/>
      <c r="E899" s="8"/>
    </row>
    <row r="900" spans="1:5" ht="14.25" customHeight="1" x14ac:dyDescent="0.25">
      <c r="A900" s="8"/>
      <c r="B900" s="8"/>
      <c r="C900" s="8"/>
      <c r="D900" s="8"/>
      <c r="E900" s="8"/>
    </row>
    <row r="901" spans="1:5" ht="14.25" customHeight="1" x14ac:dyDescent="0.25">
      <c r="A901" s="8"/>
      <c r="B901" s="8"/>
      <c r="C901" s="8"/>
      <c r="D901" s="8"/>
      <c r="E901" s="8"/>
    </row>
    <row r="902" spans="1:5" ht="14.25" customHeight="1" x14ac:dyDescent="0.25">
      <c r="A902" s="8"/>
      <c r="B902" s="8"/>
      <c r="C902" s="8"/>
      <c r="D902" s="8"/>
      <c r="E902" s="8"/>
    </row>
    <row r="903" spans="1:5" ht="14.25" customHeight="1" x14ac:dyDescent="0.25">
      <c r="A903" s="8"/>
      <c r="B903" s="8"/>
      <c r="C903" s="8"/>
      <c r="D903" s="8"/>
      <c r="E903" s="8"/>
    </row>
    <row r="904" spans="1:5" ht="14.25" customHeight="1" x14ac:dyDescent="0.25">
      <c r="A904" s="8"/>
      <c r="B904" s="8"/>
      <c r="C904" s="8"/>
      <c r="D904" s="8"/>
      <c r="E904" s="8"/>
    </row>
    <row r="905" spans="1:5" ht="14.25" customHeight="1" x14ac:dyDescent="0.25">
      <c r="A905" s="8"/>
      <c r="B905" s="8"/>
      <c r="C905" s="8"/>
      <c r="D905" s="8"/>
      <c r="E905" s="8"/>
    </row>
    <row r="906" spans="1:5" ht="14.25" customHeight="1" x14ac:dyDescent="0.25">
      <c r="A906" s="8"/>
      <c r="B906" s="8"/>
      <c r="C906" s="8"/>
      <c r="D906" s="8"/>
      <c r="E906" s="8"/>
    </row>
    <row r="907" spans="1:5" ht="14.25" customHeight="1" x14ac:dyDescent="0.25">
      <c r="A907" s="8"/>
      <c r="B907" s="8"/>
      <c r="C907" s="8"/>
      <c r="D907" s="8"/>
      <c r="E907" s="8"/>
    </row>
    <row r="908" spans="1:5" ht="14.25" customHeight="1" x14ac:dyDescent="0.25">
      <c r="A908" s="8"/>
      <c r="B908" s="8"/>
      <c r="C908" s="8"/>
      <c r="D908" s="8"/>
      <c r="E908" s="8"/>
    </row>
    <row r="909" spans="1:5" ht="14.25" customHeight="1" x14ac:dyDescent="0.25">
      <c r="A909" s="8"/>
      <c r="B909" s="8"/>
      <c r="C909" s="8"/>
      <c r="D909" s="8"/>
      <c r="E909" s="8"/>
    </row>
    <row r="910" spans="1:5" ht="14.25" customHeight="1" x14ac:dyDescent="0.25">
      <c r="A910" s="8"/>
      <c r="B910" s="8"/>
      <c r="C910" s="8"/>
      <c r="D910" s="8"/>
      <c r="E910" s="8"/>
    </row>
    <row r="911" spans="1:5" ht="14.25" customHeight="1" x14ac:dyDescent="0.25">
      <c r="A911" s="8"/>
      <c r="B911" s="8"/>
      <c r="C911" s="8"/>
      <c r="D911" s="8"/>
      <c r="E911" s="8"/>
    </row>
    <row r="912" spans="1:5" ht="14.25" customHeight="1" x14ac:dyDescent="0.25">
      <c r="A912" s="8"/>
      <c r="B912" s="8"/>
      <c r="C912" s="8"/>
      <c r="D912" s="8"/>
      <c r="E912" s="8"/>
    </row>
    <row r="913" spans="1:5" ht="14.25" customHeight="1" x14ac:dyDescent="0.25">
      <c r="A913" s="8"/>
      <c r="B913" s="8"/>
      <c r="C913" s="8"/>
      <c r="D913" s="8"/>
      <c r="E913" s="8"/>
    </row>
    <row r="914" spans="1:5" ht="14.25" customHeight="1" x14ac:dyDescent="0.25">
      <c r="A914" s="8"/>
      <c r="B914" s="8"/>
      <c r="C914" s="8"/>
      <c r="D914" s="8"/>
      <c r="E914" s="8"/>
    </row>
    <row r="915" spans="1:5" ht="14.25" customHeight="1" x14ac:dyDescent="0.25">
      <c r="A915" s="8"/>
      <c r="B915" s="8"/>
      <c r="C915" s="8"/>
      <c r="D915" s="8"/>
      <c r="E915" s="8"/>
    </row>
    <row r="916" spans="1:5" ht="14.25" customHeight="1" x14ac:dyDescent="0.25">
      <c r="A916" s="8"/>
      <c r="B916" s="8"/>
      <c r="C916" s="8"/>
      <c r="D916" s="8"/>
      <c r="E916" s="8"/>
    </row>
    <row r="917" spans="1:5" ht="14.25" customHeight="1" x14ac:dyDescent="0.25">
      <c r="A917" s="8"/>
      <c r="B917" s="8"/>
      <c r="C917" s="8"/>
      <c r="D917" s="8"/>
      <c r="E917" s="8"/>
    </row>
    <row r="918" spans="1:5" ht="14.25" customHeight="1" x14ac:dyDescent="0.25">
      <c r="A918" s="8"/>
      <c r="B918" s="8"/>
      <c r="C918" s="8"/>
      <c r="D918" s="8"/>
      <c r="E918" s="8"/>
    </row>
    <row r="919" spans="1:5" ht="14.25" customHeight="1" x14ac:dyDescent="0.25">
      <c r="A919" s="8"/>
      <c r="B919" s="8"/>
      <c r="C919" s="8"/>
      <c r="D919" s="8"/>
      <c r="E919" s="8"/>
    </row>
    <row r="920" spans="1:5" ht="14.25" customHeight="1" x14ac:dyDescent="0.25">
      <c r="A920" s="8"/>
      <c r="B920" s="8"/>
      <c r="C920" s="8"/>
      <c r="D920" s="8"/>
      <c r="E920" s="8"/>
    </row>
    <row r="921" spans="1:5" ht="14.25" customHeight="1" x14ac:dyDescent="0.25">
      <c r="A921" s="8"/>
      <c r="B921" s="8"/>
      <c r="C921" s="8"/>
      <c r="D921" s="8"/>
      <c r="E921" s="8"/>
    </row>
    <row r="922" spans="1:5" ht="14.25" customHeight="1" x14ac:dyDescent="0.25">
      <c r="A922" s="8"/>
      <c r="B922" s="8"/>
      <c r="C922" s="8"/>
      <c r="D922" s="8"/>
      <c r="E922" s="8"/>
    </row>
    <row r="923" spans="1:5" ht="14.25" customHeight="1" x14ac:dyDescent="0.25">
      <c r="A923" s="8"/>
      <c r="B923" s="8"/>
      <c r="C923" s="8"/>
      <c r="D923" s="8"/>
      <c r="E923" s="8"/>
    </row>
    <row r="924" spans="1:5" ht="14.25" customHeight="1" x14ac:dyDescent="0.25">
      <c r="A924" s="8"/>
      <c r="B924" s="8"/>
      <c r="C924" s="8"/>
      <c r="D924" s="8"/>
      <c r="E924" s="8"/>
    </row>
    <row r="925" spans="1:5" ht="14.25" customHeight="1" x14ac:dyDescent="0.25">
      <c r="A925" s="8"/>
      <c r="B925" s="8"/>
      <c r="C925" s="8"/>
      <c r="D925" s="8"/>
      <c r="E925" s="8"/>
    </row>
    <row r="926" spans="1:5" ht="14.25" customHeight="1" x14ac:dyDescent="0.25">
      <c r="A926" s="8"/>
      <c r="B926" s="8"/>
      <c r="C926" s="8"/>
      <c r="D926" s="8"/>
      <c r="E926" s="8"/>
    </row>
    <row r="927" spans="1:5" ht="14.25" customHeight="1" x14ac:dyDescent="0.25">
      <c r="A927" s="8"/>
      <c r="B927" s="8"/>
      <c r="C927" s="8"/>
      <c r="D927" s="8"/>
      <c r="E927" s="8"/>
    </row>
    <row r="928" spans="1:5" ht="14.25" customHeight="1" x14ac:dyDescent="0.25">
      <c r="A928" s="8"/>
      <c r="B928" s="8"/>
      <c r="C928" s="8"/>
      <c r="D928" s="8"/>
      <c r="E928" s="8"/>
    </row>
    <row r="929" spans="1:5" ht="14.25" customHeight="1" x14ac:dyDescent="0.25">
      <c r="A929" s="8"/>
      <c r="B929" s="8"/>
      <c r="C929" s="8"/>
      <c r="D929" s="8"/>
      <c r="E929" s="8"/>
    </row>
    <row r="930" spans="1:5" ht="14.25" customHeight="1" x14ac:dyDescent="0.25">
      <c r="A930" s="8"/>
      <c r="B930" s="8"/>
      <c r="C930" s="8"/>
      <c r="D930" s="8"/>
      <c r="E930" s="8"/>
    </row>
    <row r="931" spans="1:5" ht="14.25" customHeight="1" x14ac:dyDescent="0.25">
      <c r="A931" s="8"/>
      <c r="B931" s="8"/>
      <c r="C931" s="8"/>
      <c r="D931" s="8"/>
      <c r="E931" s="8"/>
    </row>
    <row r="932" spans="1:5" ht="14.25" customHeight="1" x14ac:dyDescent="0.25">
      <c r="A932" s="8"/>
      <c r="B932" s="8"/>
      <c r="C932" s="8"/>
      <c r="D932" s="8"/>
      <c r="E932" s="8"/>
    </row>
    <row r="933" spans="1:5" ht="14.25" customHeight="1" x14ac:dyDescent="0.25">
      <c r="A933" s="8"/>
      <c r="B933" s="8"/>
      <c r="C933" s="8"/>
      <c r="D933" s="8"/>
      <c r="E933" s="8"/>
    </row>
    <row r="934" spans="1:5" ht="14.25" customHeight="1" x14ac:dyDescent="0.25">
      <c r="A934" s="8"/>
      <c r="B934" s="8"/>
      <c r="C934" s="8"/>
      <c r="D934" s="8"/>
      <c r="E934" s="8"/>
    </row>
    <row r="935" spans="1:5" ht="14.25" customHeight="1" x14ac:dyDescent="0.25">
      <c r="A935" s="8"/>
      <c r="B935" s="8"/>
      <c r="C935" s="8"/>
      <c r="D935" s="8"/>
      <c r="E935" s="8"/>
    </row>
    <row r="936" spans="1:5" ht="14.25" customHeight="1" x14ac:dyDescent="0.25">
      <c r="A936" s="8"/>
      <c r="B936" s="8"/>
      <c r="C936" s="8"/>
      <c r="D936" s="8"/>
      <c r="E936" s="8"/>
    </row>
    <row r="937" spans="1:5" ht="14.25" customHeight="1" x14ac:dyDescent="0.25">
      <c r="A937" s="8"/>
      <c r="B937" s="8"/>
      <c r="C937" s="8"/>
      <c r="D937" s="8"/>
      <c r="E937" s="8"/>
    </row>
    <row r="938" spans="1:5" ht="14.25" customHeight="1" x14ac:dyDescent="0.25">
      <c r="A938" s="8"/>
      <c r="B938" s="8"/>
      <c r="C938" s="8"/>
      <c r="D938" s="8"/>
      <c r="E938" s="8"/>
    </row>
    <row r="939" spans="1:5" ht="14.25" customHeight="1" x14ac:dyDescent="0.25">
      <c r="A939" s="8"/>
      <c r="B939" s="8"/>
      <c r="C939" s="8"/>
      <c r="D939" s="8"/>
      <c r="E939" s="8"/>
    </row>
    <row r="940" spans="1:5" ht="14.25" customHeight="1" x14ac:dyDescent="0.25">
      <c r="A940" s="8"/>
      <c r="B940" s="8"/>
      <c r="C940" s="8"/>
      <c r="D940" s="8"/>
      <c r="E940" s="8"/>
    </row>
    <row r="941" spans="1:5" ht="14.25" customHeight="1" x14ac:dyDescent="0.25">
      <c r="A941" s="8"/>
      <c r="B941" s="8"/>
      <c r="C941" s="8"/>
      <c r="D941" s="8"/>
      <c r="E941" s="8"/>
    </row>
    <row r="942" spans="1:5" ht="14.25" customHeight="1" x14ac:dyDescent="0.25">
      <c r="A942" s="8"/>
      <c r="B942" s="8"/>
      <c r="C942" s="8"/>
      <c r="D942" s="8"/>
      <c r="E942" s="8"/>
    </row>
    <row r="943" spans="1:5" ht="14.25" customHeight="1" x14ac:dyDescent="0.25">
      <c r="A943" s="8"/>
      <c r="B943" s="8"/>
      <c r="C943" s="8"/>
      <c r="D943" s="8"/>
      <c r="E943" s="8"/>
    </row>
    <row r="944" spans="1:5" ht="14.25" customHeight="1" x14ac:dyDescent="0.25">
      <c r="A944" s="8"/>
      <c r="B944" s="8"/>
      <c r="C944" s="8"/>
      <c r="D944" s="8"/>
      <c r="E944" s="8"/>
    </row>
    <row r="945" spans="1:5" ht="14.25" customHeight="1" x14ac:dyDescent="0.25">
      <c r="A945" s="8"/>
      <c r="B945" s="8"/>
      <c r="C945" s="8"/>
      <c r="D945" s="8"/>
      <c r="E945" s="8"/>
    </row>
    <row r="946" spans="1:5" ht="14.25" customHeight="1" x14ac:dyDescent="0.25">
      <c r="A946" s="8"/>
      <c r="B946" s="8"/>
      <c r="C946" s="8"/>
      <c r="D946" s="8"/>
      <c r="E946" s="8"/>
    </row>
    <row r="947" spans="1:5" ht="14.25" customHeight="1" x14ac:dyDescent="0.25">
      <c r="A947" s="8"/>
      <c r="B947" s="8"/>
      <c r="C947" s="8"/>
      <c r="D947" s="8"/>
      <c r="E947" s="8"/>
    </row>
    <row r="948" spans="1:5" ht="14.25" customHeight="1" x14ac:dyDescent="0.25">
      <c r="A948" s="8"/>
      <c r="B948" s="8"/>
      <c r="C948" s="8"/>
      <c r="D948" s="8"/>
      <c r="E948" s="8"/>
    </row>
    <row r="949" spans="1:5" ht="14.25" customHeight="1" x14ac:dyDescent="0.25">
      <c r="A949" s="8"/>
      <c r="B949" s="8"/>
      <c r="C949" s="8"/>
      <c r="D949" s="8"/>
      <c r="E949" s="8"/>
    </row>
    <row r="950" spans="1:5" ht="14.25" customHeight="1" x14ac:dyDescent="0.25">
      <c r="A950" s="8"/>
      <c r="B950" s="8"/>
      <c r="C950" s="8"/>
      <c r="D950" s="8"/>
      <c r="E950" s="8"/>
    </row>
    <row r="951" spans="1:5" ht="14.25" customHeight="1" x14ac:dyDescent="0.25">
      <c r="A951" s="8"/>
      <c r="B951" s="8"/>
      <c r="C951" s="8"/>
      <c r="D951" s="8"/>
      <c r="E951" s="8"/>
    </row>
    <row r="952" spans="1:5" ht="14.25" customHeight="1" x14ac:dyDescent="0.25">
      <c r="A952" s="8"/>
      <c r="B952" s="8"/>
      <c r="C952" s="8"/>
      <c r="D952" s="8"/>
      <c r="E952" s="8"/>
    </row>
    <row r="953" spans="1:5" ht="14.25" customHeight="1" x14ac:dyDescent="0.25">
      <c r="A953" s="8"/>
      <c r="B953" s="8"/>
      <c r="C953" s="8"/>
      <c r="D953" s="8"/>
      <c r="E953" s="8"/>
    </row>
    <row r="954" spans="1:5" ht="14.25" customHeight="1" x14ac:dyDescent="0.25">
      <c r="A954" s="8"/>
      <c r="B954" s="8"/>
      <c r="C954" s="8"/>
      <c r="D954" s="8"/>
      <c r="E954" s="8"/>
    </row>
    <row r="955" spans="1:5" ht="14.25" customHeight="1" x14ac:dyDescent="0.25">
      <c r="A955" s="8"/>
      <c r="B955" s="8"/>
      <c r="C955" s="8"/>
      <c r="D955" s="8"/>
      <c r="E955" s="8"/>
    </row>
    <row r="956" spans="1:5" ht="14.25" customHeight="1" x14ac:dyDescent="0.25">
      <c r="A956" s="8"/>
      <c r="B956" s="8"/>
      <c r="C956" s="8"/>
      <c r="D956" s="8"/>
      <c r="E956" s="8"/>
    </row>
    <row r="957" spans="1:5" ht="14.25" customHeight="1" x14ac:dyDescent="0.25">
      <c r="A957" s="8"/>
      <c r="B957" s="8"/>
      <c r="C957" s="8"/>
      <c r="D957" s="8"/>
      <c r="E957" s="8"/>
    </row>
    <row r="958" spans="1:5" ht="14.25" customHeight="1" x14ac:dyDescent="0.25">
      <c r="A958" s="8"/>
      <c r="B958" s="8"/>
      <c r="C958" s="8"/>
      <c r="D958" s="8"/>
      <c r="E958" s="8"/>
    </row>
    <row r="959" spans="1:5" ht="14.25" customHeight="1" x14ac:dyDescent="0.25">
      <c r="A959" s="8"/>
      <c r="B959" s="8"/>
      <c r="C959" s="8"/>
      <c r="D959" s="8"/>
      <c r="E959" s="8"/>
    </row>
    <row r="960" spans="1:5" ht="14.25" customHeight="1" x14ac:dyDescent="0.25">
      <c r="A960" s="8"/>
      <c r="B960" s="8"/>
      <c r="C960" s="8"/>
      <c r="D960" s="8"/>
      <c r="E960" s="8"/>
    </row>
    <row r="961" spans="1:5" ht="14.25" customHeight="1" x14ac:dyDescent="0.25">
      <c r="A961" s="8"/>
      <c r="B961" s="8"/>
      <c r="C961" s="8"/>
      <c r="D961" s="8"/>
      <c r="E961" s="8"/>
    </row>
    <row r="962" spans="1:5" ht="14.25" customHeight="1" x14ac:dyDescent="0.25">
      <c r="A962" s="8"/>
      <c r="B962" s="8"/>
      <c r="C962" s="8"/>
      <c r="D962" s="8"/>
      <c r="E962" s="8"/>
    </row>
    <row r="963" spans="1:5" ht="14.25" customHeight="1" x14ac:dyDescent="0.25">
      <c r="A963" s="8"/>
      <c r="B963" s="8"/>
      <c r="C963" s="8"/>
      <c r="D963" s="8"/>
      <c r="E963" s="8"/>
    </row>
    <row r="964" spans="1:5" ht="14.25" customHeight="1" x14ac:dyDescent="0.25">
      <c r="A964" s="8"/>
      <c r="B964" s="8"/>
      <c r="C964" s="8"/>
      <c r="D964" s="8"/>
      <c r="E964" s="8"/>
    </row>
    <row r="965" spans="1:5" ht="14.25" customHeight="1" x14ac:dyDescent="0.25">
      <c r="A965" s="8"/>
      <c r="B965" s="8"/>
      <c r="C965" s="8"/>
      <c r="D965" s="8"/>
      <c r="E965" s="8"/>
    </row>
    <row r="966" spans="1:5" ht="14.25" customHeight="1" x14ac:dyDescent="0.25">
      <c r="A966" s="8"/>
      <c r="B966" s="8"/>
      <c r="C966" s="8"/>
      <c r="D966" s="8"/>
      <c r="E966" s="8"/>
    </row>
    <row r="967" spans="1:5" ht="14.25" customHeight="1" x14ac:dyDescent="0.25">
      <c r="A967" s="8"/>
      <c r="B967" s="8"/>
      <c r="C967" s="8"/>
      <c r="D967" s="8"/>
      <c r="E967" s="8"/>
    </row>
    <row r="968" spans="1:5" ht="14.25" customHeight="1" x14ac:dyDescent="0.25">
      <c r="A968" s="8"/>
      <c r="B968" s="8"/>
      <c r="C968" s="8"/>
      <c r="D968" s="8"/>
      <c r="E968" s="8"/>
    </row>
    <row r="969" spans="1:5" ht="14.25" customHeight="1" x14ac:dyDescent="0.25">
      <c r="A969" s="8"/>
      <c r="B969" s="8"/>
      <c r="C969" s="8"/>
      <c r="D969" s="8"/>
      <c r="E969" s="8"/>
    </row>
    <row r="970" spans="1:5" ht="14.25" customHeight="1" x14ac:dyDescent="0.25">
      <c r="A970" s="8"/>
      <c r="B970" s="8"/>
      <c r="C970" s="8"/>
      <c r="D970" s="8"/>
      <c r="E970" s="8"/>
    </row>
    <row r="971" spans="1:5" ht="14.25" customHeight="1" x14ac:dyDescent="0.25">
      <c r="A971" s="8"/>
      <c r="B971" s="8"/>
      <c r="C971" s="8"/>
      <c r="D971" s="8"/>
      <c r="E971" s="8"/>
    </row>
    <row r="972" spans="1:5" ht="14.25" customHeight="1" x14ac:dyDescent="0.25">
      <c r="A972" s="8"/>
      <c r="B972" s="8"/>
      <c r="C972" s="8"/>
      <c r="D972" s="8"/>
      <c r="E972" s="8"/>
    </row>
    <row r="973" spans="1:5" ht="14.25" customHeight="1" x14ac:dyDescent="0.25">
      <c r="A973" s="8"/>
      <c r="B973" s="8"/>
      <c r="C973" s="8"/>
      <c r="D973" s="8"/>
      <c r="E973" s="8"/>
    </row>
    <row r="974" spans="1:5" ht="14.25" customHeight="1" x14ac:dyDescent="0.25">
      <c r="A974" s="8"/>
      <c r="B974" s="8"/>
      <c r="C974" s="8"/>
      <c r="D974" s="8"/>
      <c r="E974" s="8"/>
    </row>
    <row r="975" spans="1:5" ht="14.25" customHeight="1" x14ac:dyDescent="0.25">
      <c r="A975" s="8"/>
      <c r="B975" s="8"/>
      <c r="C975" s="8"/>
      <c r="D975" s="8"/>
      <c r="E975" s="8"/>
    </row>
    <row r="976" spans="1:5" ht="14.25" customHeight="1" x14ac:dyDescent="0.25">
      <c r="A976" s="8"/>
      <c r="B976" s="8"/>
      <c r="C976" s="8"/>
      <c r="D976" s="8"/>
      <c r="E976" s="8"/>
    </row>
    <row r="977" spans="1:5" ht="14.25" customHeight="1" x14ac:dyDescent="0.25">
      <c r="A977" s="8"/>
      <c r="B977" s="8"/>
      <c r="C977" s="8"/>
      <c r="D977" s="8"/>
      <c r="E977" s="8"/>
    </row>
    <row r="978" spans="1:5" ht="14.25" customHeight="1" x14ac:dyDescent="0.25">
      <c r="A978" s="8"/>
      <c r="B978" s="8"/>
      <c r="C978" s="8"/>
      <c r="D978" s="8"/>
      <c r="E978" s="8"/>
    </row>
    <row r="979" spans="1:5" ht="14.25" customHeight="1" x14ac:dyDescent="0.25">
      <c r="A979" s="8"/>
      <c r="B979" s="8"/>
      <c r="C979" s="8"/>
      <c r="D979" s="8"/>
      <c r="E979" s="8"/>
    </row>
    <row r="980" spans="1:5" ht="14.25" customHeight="1" x14ac:dyDescent="0.25">
      <c r="A980" s="8"/>
      <c r="B980" s="8"/>
      <c r="C980" s="8"/>
      <c r="D980" s="8"/>
      <c r="E980" s="8"/>
    </row>
    <row r="981" spans="1:5" ht="14.25" customHeight="1" x14ac:dyDescent="0.25">
      <c r="A981" s="8"/>
      <c r="B981" s="8"/>
      <c r="C981" s="8"/>
      <c r="D981" s="8"/>
      <c r="E981" s="8"/>
    </row>
    <row r="982" spans="1:5" ht="14.25" customHeight="1" x14ac:dyDescent="0.25">
      <c r="A982" s="8"/>
      <c r="B982" s="8"/>
      <c r="C982" s="8"/>
      <c r="D982" s="8"/>
      <c r="E982" s="8"/>
    </row>
    <row r="983" spans="1:5" ht="14.25" customHeight="1" x14ac:dyDescent="0.25">
      <c r="A983" s="8"/>
      <c r="B983" s="8"/>
      <c r="C983" s="8"/>
      <c r="D983" s="8"/>
      <c r="E983" s="8"/>
    </row>
    <row r="984" spans="1:5" ht="14.25" customHeight="1" x14ac:dyDescent="0.25">
      <c r="A984" s="8"/>
      <c r="B984" s="8"/>
      <c r="C984" s="8"/>
      <c r="D984" s="8"/>
      <c r="E984" s="8"/>
    </row>
    <row r="985" spans="1:5" ht="14.25" customHeight="1" x14ac:dyDescent="0.25">
      <c r="A985" s="8"/>
      <c r="B985" s="8"/>
      <c r="C985" s="8"/>
      <c r="D985" s="8"/>
      <c r="E985" s="8"/>
    </row>
    <row r="986" spans="1:5" ht="14.25" customHeight="1" x14ac:dyDescent="0.25">
      <c r="A986" s="8"/>
      <c r="B986" s="8"/>
      <c r="C986" s="8"/>
      <c r="D986" s="8"/>
      <c r="E986" s="8"/>
    </row>
    <row r="987" spans="1:5" ht="14.25" customHeight="1" x14ac:dyDescent="0.25">
      <c r="A987" s="8"/>
      <c r="B987" s="8"/>
      <c r="C987" s="8"/>
      <c r="D987" s="8"/>
      <c r="E987" s="8"/>
    </row>
    <row r="988" spans="1:5" ht="14.25" customHeight="1" x14ac:dyDescent="0.25">
      <c r="A988" s="8"/>
      <c r="B988" s="8"/>
      <c r="C988" s="8"/>
      <c r="D988" s="8"/>
      <c r="E988" s="8"/>
    </row>
    <row r="989" spans="1:5" ht="14.25" customHeight="1" x14ac:dyDescent="0.25">
      <c r="A989" s="8"/>
      <c r="B989" s="8"/>
      <c r="C989" s="8"/>
      <c r="D989" s="8"/>
      <c r="E989" s="8"/>
    </row>
    <row r="990" spans="1:5" ht="14.25" customHeight="1" x14ac:dyDescent="0.25">
      <c r="A990" s="8"/>
      <c r="B990" s="8"/>
      <c r="C990" s="8"/>
      <c r="D990" s="8"/>
      <c r="E990" s="8"/>
    </row>
    <row r="991" spans="1:5" ht="14.25" customHeight="1" x14ac:dyDescent="0.25">
      <c r="A991" s="8"/>
      <c r="B991" s="8"/>
      <c r="C991" s="8"/>
      <c r="D991" s="8"/>
      <c r="E991" s="8"/>
    </row>
    <row r="992" spans="1:5" ht="14.25" customHeight="1" x14ac:dyDescent="0.25">
      <c r="A992" s="8"/>
      <c r="B992" s="8"/>
      <c r="C992" s="8"/>
      <c r="D992" s="8"/>
      <c r="E992" s="8"/>
    </row>
    <row r="993" spans="1:5" ht="14.25" customHeight="1" x14ac:dyDescent="0.25">
      <c r="A993" s="8"/>
      <c r="B993" s="8"/>
      <c r="C993" s="8"/>
      <c r="D993" s="8"/>
      <c r="E993" s="8"/>
    </row>
    <row r="994" spans="1:5" ht="14.25" customHeight="1" x14ac:dyDescent="0.25">
      <c r="A994" s="8"/>
      <c r="B994" s="8"/>
      <c r="C994" s="8"/>
      <c r="D994" s="8"/>
      <c r="E994" s="8"/>
    </row>
    <row r="995" spans="1:5" ht="14.25" customHeight="1" x14ac:dyDescent="0.25">
      <c r="A995" s="8"/>
      <c r="B995" s="8"/>
      <c r="C995" s="8"/>
      <c r="D995" s="8"/>
      <c r="E995" s="8"/>
    </row>
    <row r="996" spans="1:5" ht="14.25" customHeight="1" x14ac:dyDescent="0.25">
      <c r="A996" s="8"/>
      <c r="B996" s="8"/>
      <c r="C996" s="8"/>
      <c r="D996" s="8"/>
      <c r="E996" s="8"/>
    </row>
    <row r="997" spans="1:5" ht="14.25" customHeight="1" x14ac:dyDescent="0.25">
      <c r="A997" s="8"/>
      <c r="B997" s="8"/>
      <c r="C997" s="8"/>
      <c r="D997" s="8"/>
      <c r="E997" s="8"/>
    </row>
    <row r="998" spans="1:5" ht="14.25" customHeight="1" x14ac:dyDescent="0.25">
      <c r="A998" s="8"/>
      <c r="B998" s="8"/>
      <c r="C998" s="8"/>
      <c r="D998" s="8"/>
      <c r="E998" s="8"/>
    </row>
    <row r="999" spans="1:5" ht="14.25" customHeight="1" x14ac:dyDescent="0.25">
      <c r="A999" s="8"/>
      <c r="B999" s="8"/>
      <c r="C999" s="8"/>
      <c r="D999" s="8"/>
      <c r="E999" s="8"/>
    </row>
    <row r="1000" spans="1:5" ht="14.25" customHeight="1" x14ac:dyDescent="0.25">
      <c r="A1000" s="8"/>
      <c r="B1000" s="8"/>
      <c r="C1000" s="8"/>
      <c r="D1000" s="8"/>
      <c r="E1000" s="8"/>
    </row>
    <row r="1001" spans="1:5" ht="14.25" customHeight="1" x14ac:dyDescent="0.25">
      <c r="A1001" s="8"/>
      <c r="B1001" s="8"/>
      <c r="C1001" s="8"/>
      <c r="D1001" s="8"/>
      <c r="E1001" s="8"/>
    </row>
    <row r="1002" spans="1:5" ht="14.25" customHeight="1" x14ac:dyDescent="0.25">
      <c r="A1002" s="8"/>
      <c r="B1002" s="8"/>
      <c r="C1002" s="8"/>
      <c r="D1002" s="8"/>
      <c r="E1002" s="8"/>
    </row>
    <row r="1003" spans="1:5" ht="14.25" customHeight="1" x14ac:dyDescent="0.25">
      <c r="A1003" s="8"/>
      <c r="B1003" s="8"/>
      <c r="C1003" s="8"/>
      <c r="D1003" s="8"/>
      <c r="E1003" s="8"/>
    </row>
    <row r="1004" spans="1:5" ht="14.25" customHeight="1" x14ac:dyDescent="0.25">
      <c r="A1004" s="8"/>
      <c r="B1004" s="8"/>
      <c r="C1004" s="8"/>
      <c r="D1004" s="8"/>
      <c r="E1004" s="8"/>
    </row>
    <row r="1005" spans="1:5" ht="14.25" customHeight="1" x14ac:dyDescent="0.25">
      <c r="A1005" s="8"/>
      <c r="B1005" s="8"/>
      <c r="C1005" s="8"/>
      <c r="D1005" s="8"/>
      <c r="E1005" s="8"/>
    </row>
    <row r="1006" spans="1:5" ht="14.25" customHeight="1" x14ac:dyDescent="0.25">
      <c r="A1006" s="8"/>
      <c r="B1006" s="8"/>
      <c r="C1006" s="8"/>
      <c r="D1006" s="8"/>
      <c r="E1006" s="8"/>
    </row>
    <row r="1007" spans="1:5" ht="14.25" customHeight="1" x14ac:dyDescent="0.25">
      <c r="A1007" s="8"/>
      <c r="B1007" s="8"/>
      <c r="C1007" s="8"/>
      <c r="D1007" s="8"/>
      <c r="E1007" s="8"/>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Note</vt:lpstr>
      <vt:lpstr>Statistics</vt:lpstr>
      <vt:lpstr>Statistics_helper</vt:lpstr>
      <vt:lpstr>Access time</vt:lpstr>
      <vt:lpstr>Cost</vt:lpstr>
      <vt:lpstr>Cost calculation</vt:lpstr>
      <vt:lpstr>Cost_statistic</vt:lpstr>
      <vt:lpstr>Vertiport number</vt:lpstr>
      <vt:lpstr>Vertiport number (population si</vt:lpstr>
      <vt:lpstr>Vertiport number (area size)</vt:lpstr>
      <vt:lpstr>Time spent at vertiports</vt:lpstr>
      <vt:lpstr>Speed_statistic</vt:lpstr>
      <vt:lpstr>Speed</vt:lpstr>
      <vt:lpstr>Capacity</vt:lpstr>
      <vt:lpstr>Altitude</vt:lpstr>
      <vt:lpstr>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Wu, Chenyang</cp:lastModifiedBy>
  <dcterms:modified xsi:type="dcterms:W3CDTF">2026-10-05T14:05:34Z</dcterms:modified>
</cp:coreProperties>
</file>